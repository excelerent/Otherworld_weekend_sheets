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rticipants-Parties" sheetId="1" r:id="rId5"/>
    <sheet state="visible" name="StaffCamp" sheetId="2" r:id="rId6"/>
    <sheet state="visible" name="Dashboard" sheetId="3" r:id="rId7"/>
    <sheet state="hidden" name="Combat Log" sheetId="4" r:id="rId8"/>
    <sheet state="hidden" name="All Party Summary" sheetId="5" r:id="rId9"/>
    <sheet state="visible" name="Arden_Party Sheet" sheetId="6" r:id="rId10"/>
    <sheet state="hidden" name="Combat_Import" sheetId="7" r:id="rId11"/>
    <sheet state="visible" name="Clairia_Party Sheet" sheetId="8" r:id="rId12"/>
    <sheet state="hidden" name="Arden_Import" sheetId="9" r:id="rId13"/>
    <sheet state="hidden" name="Clairia_Import" sheetId="10" r:id="rId14"/>
    <sheet state="visible" name="Doloron_Party Sheet" sheetId="11" r:id="rId15"/>
    <sheet state="visible" name="Elsewhich_Party Sheet" sheetId="12" r:id="rId16"/>
    <sheet state="hidden" name="Dolorón_Import" sheetId="13" r:id="rId17"/>
    <sheet state="hidden" name="Elsewhich_Import" sheetId="14" r:id="rId18"/>
    <sheet state="visible" name="Glendeep_Party Sheet" sheetId="15" r:id="rId19"/>
    <sheet state="hidden" name="Glendeep_Import" sheetId="16" r:id="rId20"/>
    <sheet state="visible" name="Keer_Party Sheet" sheetId="17" r:id="rId21"/>
    <sheet state="hidden" name="Keer_Import" sheetId="18" r:id="rId22"/>
    <sheet state="visible" name="Noctara_Party Sheet" sheetId="19" r:id="rId23"/>
    <sheet state="hidden" name="Noctara_Import" sheetId="20" r:id="rId24"/>
    <sheet state="visible" name="Ploa_Party Sheet" sheetId="21" r:id="rId25"/>
    <sheet state="hidden" name="Ploa_Import" sheetId="22" r:id="rId26"/>
    <sheet state="visible" name="Sythwan_Party Sheet" sheetId="23" r:id="rId27"/>
    <sheet state="visible" name="UriKesh_Party Sheet" sheetId="24" r:id="rId28"/>
    <sheet state="visible" name="Waylon_Party Sheet" sheetId="25" r:id="rId29"/>
    <sheet state="hidden" name="Sythwan_Import" sheetId="26" r:id="rId30"/>
    <sheet state="hidden" name="Document Studio Logs" sheetId="27" r:id="rId31"/>
    <sheet state="hidden" name="UriKesh_Import" sheetId="28" r:id="rId32"/>
    <sheet state="hidden" name="Waylon_Import" sheetId="29" r:id="rId33"/>
  </sheets>
  <definedNames>
    <definedName hidden="1" localSheetId="1" name="Z_2C7218CC_D5AB_4E0D_A693_8373A7D0F1EB_.wvu.FilterData">StaffCamp!$A$1:$G$140</definedName>
    <definedName hidden="1" localSheetId="0" name="Z_3DB92C38_FBF1_4574_83D4_D36E33291680_.wvu.FilterData">'Participants-Parties'!$A$1:$H$71</definedName>
    <definedName hidden="1" localSheetId="0" name="Z_6CCD31E3_C386_494F_9391_980F52EFB23B_.wvu.FilterData">'Participants-Parties'!$A$1:$H$71</definedName>
    <definedName hidden="1" localSheetId="0" name="Z_182C7E0B_BC29_4023_84F6_F5958F226D43_.wvu.FilterData">'Participants-Parties'!$A$1:$H$71</definedName>
  </definedNames>
  <calcPr/>
  <customWorkbookViews>
    <customWorkbookView activeSheetId="0" maximized="1" windowHeight="0" windowWidth="0" guid="{2C7218CC-D5AB-4E0D-A693-8373A7D0F1EB}" name="Group by Priority"/>
    <customWorkbookView activeSheetId="0" maximized="1" windowHeight="0" windowWidth="0" guid="{3DB92C38-FBF1-4574-83D4-D36E33291680}" name="Sort by Priority"/>
    <customWorkbookView activeSheetId="0" maximized="1" windowHeight="0" windowWidth="0" guid="{6CCD31E3-C386-494F-9391-980F52EFB23B}" name="Sort by Status"/>
    <customWorkbookView activeSheetId="0" maximized="1" windowHeight="0" windowWidth="0" guid="{182C7E0B-BC29-4023-84F6-F5958F226D43}" name="Sort by Party"/>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tc={710f56bc-f9fb-4a11-914b-eeed74ece9a6}</author>
  </authors>
  <commentList>
    <comment authorId="0" xr:uid="{710f56bc-f9fb-4a11-914b-eeed74ece9a6}" ref="E2">
      <text>
        <t xml:space="preserve">[Threaded comment]
 Your version of Excel allows you to read this threaded comment; however, any edits to it will get removed if the file is opened in a newer version of Excel. Learn more: https://go.microsoft.com/fwlink/?linkid=870924
Comment:
	@hello@robdaviau.com it looks like these are pulling from incorrect sources -- some of them are linked to companion check-in and some to PP sheets.
Reply:
	Thank you! Fixed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tc={1c1e95be-e0c6-4977-b5db-6a230ee9e479}</author>
  </authors>
  <commentList>
    <comment authorId="0" xr:uid="{1c1e95be-e0c6-4977-b5db-6a230ee9e479}" ref="A14">
      <text>
        <t xml:space="preserve">[Threaded comment]
 Your version of Excel allows you to read this threaded comment; however, any edits to it will get removed if the file is opened in a newer version of Excel. Learn more: https://go.microsoft.com/fwlink/?linkid=870924
Comment:
	Switched -- Pascal's check activates Buzzkill &amp; vice versa
Reply:
	So...can you please just flag errors and not fix them. Also, in this case, the formula NOW has Pascal and Buzzkill reversed so I think you actually introduced a bug?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tc={26fc00a3-233b-44fa-b0db-62fcad4b31c5}</author>
    <author>tc={35d6b958-0266-4933-a6a2-e945b6eb8928}</author>
    <author>tc={989bb857-5a95-4277-91de-9bccb4f98ae7}</author>
    <author>tc={9df62646-ac6e-4727-b2d3-fd659c7544ac}</author>
    <author>tc={d03835a6-afd8-4518-b107-ba5b19fabd34}</author>
    <author>tc={dc32eef6-a433-4f89-a202-c0096a2d60d9}</author>
    <author>tc={e57b1dd2-cc80-4b8d-9e9e-f7ed06051c33}</author>
  </authors>
  <commentList>
    <comment authorId="0" xr:uid="{26fc00a3-233b-44fa-b0db-62fcad4b31c5}" ref="F13">
      <text>
        <t xml:space="preserve">[Threaded comment]
 Your version of Excel allows you to read this threaded comment; however, any edits to it will get removed if the file is opened in a newer version of Excel. Learn more: https://go.microsoft.com/fwlink/?linkid=870924
Comment:
	I checked Aleeya Witchborn and Elliot Peacock, and it gave Ned Crochett and Aleeya Witchborn the yes instead!
</t>
      </text>
    </comment>
    <comment authorId="1" xr:uid="{35d6b958-0266-4933-a6a2-e945b6eb8928}" ref="F32">
      <text>
        <t xml:space="preserve">[Threaded comment]
 Your version of Excel allows you to read this threaded comment; however, any edits to it will get removed if the file is opened in a newer version of Excel. Learn more: https://go.microsoft.com/fwlink/?linkid=870924
Comment:
	I could not check if this row was working due to the character assignment being one off
</t>
      </text>
    </comment>
    <comment authorId="2" xr:uid="{989bb857-5a95-4277-91de-9bccb4f98ae7}" ref="F33">
      <text>
        <t xml:space="preserve">[Threaded comment]
 Your version of Excel allows you to read this threaded comment; however, any edits to it will get removed if the file is opened in a newer version of Excel. Learn more: https://go.microsoft.com/fwlink/?linkid=870924
Comment:
	No checkmark for this, assumed other spreadsheet
</t>
      </text>
    </comment>
    <comment authorId="3" xr:uid="{9df62646-ac6e-4727-b2d3-fd659c7544ac}" ref="F9">
      <text>
        <t xml:space="preserve">[Threaded comment]
 Your version of Excel allows you to read this threaded comment; however, any edits to it will get removed if the file is opened in a newer version of Excel. Learn more: https://go.microsoft.com/fwlink/?linkid=870924
Comment:
	The entire table is off by 1 where Honore's check does nothing and Aria's activates Honore's and so on... All other functionality seems to be working!
Reply:
	Fixed it. I had made cosmetic change based on a Nadav note and broke all charge tables in the process. All fixed.
</t>
      </text>
    </comment>
    <comment authorId="4" xr:uid="{d03835a6-afd8-4518-b107-ba5b19fabd34}" ref="F37">
      <text>
        <t xml:space="preserve">[Threaded comment]
 Your version of Excel allows you to read this threaded comment; however, any edits to it will get removed if the file is opened in a newer version of Excel. Learn more: https://go.microsoft.com/fwlink/?linkid=870924
Comment:
	I could not check if this row was working due to the character assignment being one off
</t>
      </text>
    </comment>
    <comment authorId="5" xr:uid="{dc32eef6-a433-4f89-a202-c0096a2d60d9}" ref="F17">
      <text>
        <t xml:space="preserve">[Threaded comment]
 Your version of Excel allows you to read this threaded comment; however, any edits to it will get removed if the file is opened in a newer version of Excel. Learn more: https://go.microsoft.com/fwlink/?linkid=870924
Comment:
	Checked Electra, Kovi, and Huxley and updates were Stevie and Phyllis
</t>
      </text>
    </comment>
    <comment authorId="6" xr:uid="{e57b1dd2-cc80-4b8d-9e9e-f7ed06051c33}" ref="F11">
      <text>
        <t xml:space="preserve">[Threaded comment]
 Your version of Excel allows you to read this threaded comment; however, any edits to it will get removed if the file is opened in a newer version of Excel. Learn more: https://go.microsoft.com/fwlink/?linkid=870924
Comment:
	I've noticed for these two single row section that the update doesn't happen until the person underneath them gets checked off. I tested Danny to see if it would update if I checked Aleeya, but Danny didn't change to Yes until I checked Ned Crochett. Tested and it's the same thing with Eugenie Bright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tc={23637644-b121-43dd-a101-873781257d3b}</author>
    <author>tc={2e21ba9e-5cbe-449c-b6de-71a7fbe7bd19}</author>
    <author>tc={48035386-130f-426e-acd9-f82a8baf9290}</author>
    <author>tc={9a4adad2-328c-4fcc-bcba-98743c073f39}</author>
    <author>tc={a44178b0-178f-4c0b-976a-cf90f35d72e1}</author>
  </authors>
  <commentList>
    <comment authorId="0" xr:uid="{23637644-b121-43dd-a101-873781257d3b}" ref="A27">
      <text>
        <t xml:space="preserve">[Threaded comment]
 Your version of Excel allows you to read this threaded comment; however, any edits to it will get removed if the file is opened in a newer version of Excel. Learn more: https://go.microsoft.com/fwlink/?linkid=870924
Comment:
	No comments or notes appear
Reply:
	Fixed! Thank you!
</t>
      </text>
    </comment>
    <comment authorId="1" xr:uid="{2e21ba9e-5cbe-449c-b6de-71a7fbe7bd19}" ref="F31">
      <text>
        <t xml:space="preserve">[Threaded comment]
 Your version of Excel allows you to read this threaded comment; however, any edits to it will get removed if the file is opened in a newer version of Excel. Learn more: https://go.microsoft.com/fwlink/?linkid=870924
Comment:
	I could not check if this row was working due to the character assignment being one off
</t>
      </text>
    </comment>
    <comment authorId="2" xr:uid="{48035386-130f-426e-acd9-f82a8baf9290}" ref="I25">
      <text>
        <t xml:space="preserve">[Threaded comment]
 Your version of Excel allows you to read this threaded comment; however, any edits to it will get removed if the file is opened in a newer version of Excel. Learn more: https://go.microsoft.com/fwlink/?linkid=870924
Comment:
	Text and color for this cell and the one below?
Reply:
	This is correct. Long story.
</t>
      </text>
    </comment>
    <comment authorId="3" xr:uid="{9a4adad2-328c-4fcc-bcba-98743c073f39}" ref="F39">
      <text>
        <t xml:space="preserve">[Threaded comment]
 Your version of Excel allows you to read this threaded comment; however, any edits to it will get removed if the file is opened in a newer version of Excel. Learn more: https://go.microsoft.com/fwlink/?linkid=870924
Comment:
	I could not check if this row was working due to the characters being one off
</t>
      </text>
    </comment>
    <comment authorId="4" xr:uid="{a44178b0-178f-4c0b-976a-cf90f35d72e1}" ref="F9">
      <text>
        <t xml:space="preserve">[Threaded comment]
 Your version of Excel allows you to read this threaded comment; however, any edits to it will get removed if the file is opened in a newer version of Excel. Learn more: https://go.microsoft.com/fwlink/?linkid=870924
Comment:
	The entire table is off by 1 where
Kulis's check does nothing and Adina's activates Kullis's and so on...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tc={13bb6701-3980-40bb-85c6-39aaa729ac63}</author>
    <author>tc={8482ec54-d66c-4c5c-9fe3-87ab4d18b89a}</author>
    <author>tc={948c806c-a2e6-46a2-92d6-4d2fac56c06b}</author>
    <author>tc={c8cbb0f8-c7aa-4d62-8eaf-7db79a5bcae9}</author>
  </authors>
  <commentList>
    <comment authorId="0" xr:uid="{13bb6701-3980-40bb-85c6-39aaa729ac63}" ref="A27">
      <text>
        <t xml:space="preserve">[Threaded comment]
 Your version of Excel allows you to read this threaded comment; however, any edits to it will get removed if the file is opened in a newer version of Excel. Learn more: https://go.microsoft.com/fwlink/?linkid=870924
Comment:
	No comments are importing.
</t>
      </text>
    </comment>
    <comment authorId="1" xr:uid="{8482ec54-d66c-4c5c-9fe3-87ab4d18b89a}" ref="F9">
      <text>
        <t xml:space="preserve">[Threaded comment]
 Your version of Excel allows you to read this threaded comment; however, any edits to it will get removed if the file is opened in a newer version of Excel. Learn more: https://go.microsoft.com/fwlink/?linkid=870924
Comment:
	All of P'loa's charge information is importing from Sythwan.
Reply:
	eek
</t>
      </text>
    </comment>
    <comment authorId="2" xr:uid="{948c806c-a2e6-46a2-92d6-4d2fac56c06b}" ref="A43">
      <text>
        <t xml:space="preserve">[Threaded comment]
 Your version of Excel allows you to read this threaded comment; however, any edits to it will get removed if the file is opened in a newer version of Excel. Learn more: https://go.microsoft.com/fwlink/?linkid=870924
Comment:
	Center justified formatting from here (line 43) through line 62, then returns to left justification
</t>
      </text>
    </comment>
    <comment authorId="3" xr:uid="{c8cbb0f8-c7aa-4d62-8eaf-7db79a5bcae9}" ref="H33">
      <text>
        <t xml:space="preserve">[Threaded comment]
 Your version of Excel allows you to read this threaded comment; however, any edits to it will get removed if the file is opened in a newer version of Excel. Learn more: https://go.microsoft.com/fwlink/?linkid=870924
Comment:
	Bonnie is listed twice - not sure if she will know to check info in more than one place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tc={174fc8dd-30bb-4d4d-aba4-e86630ec4ea6}</author>
    <author>tc={326430b2-6c4c-4d84-84a7-a1b2b4e70758}</author>
    <author>tc={555ab156-6091-4691-bb29-eec8928507d6}</author>
    <author>tc={921b4845-2014-4035-8957-818f7faa0b50}</author>
    <author>tc={a6286b5a-5a1e-4ea6-a003-1cc0f859eb74}</author>
    <author>tc={d3b1cf56-7ba7-4210-ba37-e8db061a92aa}</author>
    <author>tc={d4a0bd52-ce4d-4884-945f-4ed754270261}</author>
  </authors>
  <commentList>
    <comment authorId="0" xr:uid="{174fc8dd-30bb-4d4d-aba4-e86630ec4ea6}" ref="I33">
      <text>
        <t xml:space="preserve">[Threaded comment]
 Your version of Excel allows you to read this threaded comment; however, any edits to it will get removed if the file is opened in a newer version of Excel. Learn more: https://go.microsoft.com/fwlink/?linkid=870924
Comment:
	This appears blank -- is this intentional?
Reply:
	Yes
</t>
      </text>
    </comment>
    <comment authorId="1" xr:uid="{326430b2-6c4c-4d84-84a7-a1b2b4e70758}" ref="A43">
      <text>
        <t xml:space="preserve">[Threaded comment]
 Your version of Excel allows you to read this threaded comment; however, any edits to it will get removed if the file is opened in a newer version of Excel. Learn more: https://go.microsoft.com/fwlink/?linkid=870924
Comment:
	These ones (A43:D61) are center-aligned. Not that it really matters?
</t>
      </text>
    </comment>
    <comment authorId="2" xr:uid="{555ab156-6091-4691-bb29-eec8928507d6}" ref="I13">
      <text>
        <t xml:space="preserve">[Threaded comment]
 Your version of Excel allows you to read this threaded comment; however, any edits to it will get removed if the file is opened in a newer version of Excel. Learn more: https://go.microsoft.com/fwlink/?linkid=870924
Comment:
	This appears blank -- is this intentional?
Reply:
	Yes
</t>
      </text>
    </comment>
    <comment authorId="3" xr:uid="{921b4845-2014-4035-8957-818f7faa0b50}" ref="F35">
      <text>
        <t xml:space="preserve">[Threaded comment]
 Your version of Excel allows you to read this threaded comment; however, any edits to it will get removed if the file is opened in a newer version of Excel. Learn more: https://go.microsoft.com/fwlink/?linkid=870924
Comment:
	The Party Tracker sheet seems to not have a checkbox set for this item
Reply:
	Correct. This is entered by EMs when talking to companions.
</t>
      </text>
    </comment>
    <comment authorId="4" xr:uid="{a6286b5a-5a1e-4ea6-a003-1cc0f859eb74}" ref="A64">
      <text>
        <t xml:space="preserve">[Threaded comment]
 Your version of Excel allows you to read this threaded comment; however, any edits to it will get removed if the file is opened in a newer version of Excel. Learn more: https://go.microsoft.com/fwlink/?linkid=870924
Comment:
	This one -- and everything below it -- are center-aligned. Not that it really matters?
</t>
      </text>
    </comment>
    <comment authorId="5" xr:uid="{d3b1cf56-7ba7-4210-ba37-e8db061a92aa}" ref="I32">
      <text>
        <t xml:space="preserve">[Threaded comment]
 Your version of Excel allows you to read this threaded comment; however, any edits to it will get removed if the file is opened in a newer version of Excel. Learn more: https://go.microsoft.com/fwlink/?linkid=870924
Comment:
	This appears blank -- is this intentional?
Reply:
	Yes
</t>
      </text>
    </comment>
    <comment authorId="6" xr:uid="{d4a0bd52-ce4d-4884-945f-4ed754270261}" ref="A62">
      <text>
        <t xml:space="preserve">[Threaded comment]
 Your version of Excel allows you to read this threaded comment; however, any edits to it will get removed if the file is opened in a newer version of Excel. Learn more: https://go.microsoft.com/fwlink/?linkid=870924
Comment:
	Does it matter if there's not enough reserved location for all potential comments/notes?
Reply:
	It may overflow the box but they will still show up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tc={11c95f9a-9191-45e8-be4a-e4487f5be62d}</author>
    <author>tc={d4dcc572-6c15-4369-b628-032864d064ee}</author>
  </authors>
  <commentList>
    <comment authorId="0" xr:uid="{11c95f9a-9191-45e8-be4a-e4487f5be62d}" ref="I18">
      <text>
        <t xml:space="preserve">[Threaded comment]
 Your version of Excel allows you to read this threaded comment; however, any edits to it will get removed if the file is opened in a newer version of Excel. Learn more: https://go.microsoft.com/fwlink/?linkid=870924
Comment:
	No formatting or text in this cell. Does turn green when checked.
</t>
      </text>
    </comment>
    <comment authorId="1" xr:uid="{d4dcc572-6c15-4369-b628-032864d064ee}" ref="I24">
      <text>
        <t xml:space="preserve">[Threaded comment]
 Your version of Excel allows you to read this threaded comment; however, any edits to it will get removed if the file is opened in a newer version of Excel. Learn more: https://go.microsoft.com/fwlink/?linkid=870924
Comment:
	No formatting or text in this cell. Does turn green when checked.
Reply:
	That's OK if some don't have formatting. Should've been party of the brief.
</t>
      </text>
    </comment>
  </commentList>
</comments>
</file>

<file path=xl/sharedStrings.xml><?xml version="1.0" encoding="utf-8"?>
<sst xmlns="http://schemas.openxmlformats.org/spreadsheetml/2006/main" count="2039" uniqueCount="972">
  <si>
    <t>Saturday</t>
  </si>
  <si>
    <t>Chitter 1</t>
  </si>
  <si>
    <t>Chitter 2</t>
  </si>
  <si>
    <t>Chitter 3</t>
  </si>
  <si>
    <t>Skeever 4</t>
  </si>
  <si>
    <t>Skeever 5</t>
  </si>
  <si>
    <t>Skeever 6</t>
  </si>
  <si>
    <t>Skeever 7</t>
  </si>
  <si>
    <t>Skeever 8</t>
  </si>
  <si>
    <t>Skeever 9</t>
  </si>
  <si>
    <t>Skeever 10</t>
  </si>
  <si>
    <t>Skeever 11</t>
  </si>
  <si>
    <t>Worlog 1</t>
  </si>
  <si>
    <t>Sunday</t>
  </si>
  <si>
    <t>Worlog 2</t>
  </si>
  <si>
    <t>Arden</t>
  </si>
  <si>
    <t>Breakfast</t>
  </si>
  <si>
    <t>Vision?</t>
  </si>
  <si>
    <t>Lunch</t>
  </si>
  <si>
    <t>Clairia</t>
  </si>
  <si>
    <t>Dinner</t>
  </si>
  <si>
    <t>Party Path</t>
  </si>
  <si>
    <t>Doloron</t>
  </si>
  <si>
    <t>Cup of Insight?</t>
  </si>
  <si>
    <t>Got Riddle?</t>
  </si>
  <si>
    <t>Combats</t>
  </si>
  <si>
    <t>Elsewhich</t>
  </si>
  <si>
    <t>Open Issues</t>
  </si>
  <si>
    <t>Got Riddle Item?</t>
  </si>
  <si>
    <t>Glendeep</t>
  </si>
  <si>
    <t>Keer</t>
  </si>
  <si>
    <t>Noctara</t>
  </si>
  <si>
    <t>P'loa</t>
  </si>
  <si>
    <t>Sythwan</t>
  </si>
  <si>
    <t>Uri-Kesh</t>
  </si>
  <si>
    <t>Waylon</t>
  </si>
  <si>
    <t>Opened - Day</t>
  </si>
  <si>
    <t>Wolven 1</t>
  </si>
  <si>
    <t>Wolven 2</t>
  </si>
  <si>
    <t>Wolven 3</t>
  </si>
  <si>
    <t>Wolven 4</t>
  </si>
  <si>
    <t>Wolven 5</t>
  </si>
  <si>
    <t>Wolven 6</t>
  </si>
  <si>
    <t>Wolven 7</t>
  </si>
  <si>
    <t>Wolven 8</t>
  </si>
  <si>
    <t>Wolven 9</t>
  </si>
  <si>
    <t>Wolven 10</t>
  </si>
  <si>
    <t>Wolven 11</t>
  </si>
  <si>
    <t>Wolven 12</t>
  </si>
  <si>
    <t>Bachelorette 1</t>
  </si>
  <si>
    <t>Bachelorette 2</t>
  </si>
  <si>
    <t>TOTALS</t>
  </si>
  <si>
    <t>Opened - Time</t>
  </si>
  <si>
    <t>Staff</t>
  </si>
  <si>
    <t>Status</t>
  </si>
  <si>
    <t>Priority</t>
  </si>
  <si>
    <t>Situation</t>
  </si>
  <si>
    <t>Type</t>
  </si>
  <si>
    <t>Satuday</t>
  </si>
  <si>
    <t>Peggy O'Connell</t>
  </si>
  <si>
    <t>Hopefully fixed</t>
  </si>
  <si>
    <t>Low</t>
  </si>
  <si>
    <t>Peggy is at the Air-BNB icing her knee.  Will be back for 8pm duty. -scaz</t>
  </si>
  <si>
    <t>Bill Sabram</t>
  </si>
  <si>
    <r>
      <rPr>
        <rFont val="Arial"/>
        <b/>
        <color theme="1"/>
      </rPr>
      <t xml:space="preserve">Saturday Breakfast Questions - </t>
    </r>
    <r>
      <rPr>
        <rFont val="Arial"/>
        <b val="0"/>
        <i/>
        <color theme="1"/>
      </rPr>
      <t>Vibe check and vision confirmation</t>
    </r>
  </si>
  <si>
    <t>Chris Reichert</t>
  </si>
  <si>
    <t>How are you doing?</t>
  </si>
  <si>
    <t>CR: Note to future, do wqe need to put towels on the participant packing list?</t>
  </si>
  <si>
    <t>Opportunity!</t>
  </si>
  <si>
    <t>Anna Kelly</t>
  </si>
  <si>
    <t>How did everybody sleep?</t>
  </si>
  <si>
    <t>Chris: Obtain more toilet paper from camp, need to talk to Heather, texted her at 8:10am  Says she will be here before lunch time
CR: Toilet paper surplus place in the single use bathroom, more industrial paper towel rolls are in the downstairs supply closet</t>
  </si>
  <si>
    <t>Alison Morris</t>
  </si>
  <si>
    <t>How’s everybody feeling this morning?</t>
  </si>
  <si>
    <t>camp</t>
  </si>
  <si>
    <t>Kristi: Chelsea reports (via Rowan) that the Hillcrest bathroom has a leaky toilet (which we think is just how it is) and a jammed paper towel dispenser and is low on toilet paper.  Sending GregRo up to hopefully address at least 2 of these (9:45am)
CR: 11:07, Out of Order signs placed on the toilets, more TP is available in the EM bathroom</t>
  </si>
  <si>
    <t>Ariel Jaffee</t>
  </si>
  <si>
    <t>Set Up</t>
  </si>
  <si>
    <t>Kelsey Schultz</t>
  </si>
  <si>
    <t>Monitoring</t>
  </si>
  <si>
    <t>Kelsey has had a lot going on this year and feels a bit fragile/unfocused. Might need extra attention and/or care. -RD</t>
  </si>
  <si>
    <t>Aaron Size</t>
  </si>
  <si>
    <t>Was the Keeper given their vision? Did they share it? Did anyone have thoughts about it?</t>
  </si>
  <si>
    <t>Diana Galanakis</t>
  </si>
  <si>
    <t>Reminder that Diana is pregnant and this is not public knowledge but she might get tired, etc. etc.. - RD</t>
  </si>
  <si>
    <t>Abigail Vargus</t>
  </si>
  <si>
    <t>Do they remember they have the list of things to find today?</t>
  </si>
  <si>
    <t>Party Path Items</t>
  </si>
  <si>
    <t>Received Riddle?</t>
  </si>
  <si>
    <t>Found Riddle Item?</t>
  </si>
  <si>
    <t>Kayla Schlenz</t>
  </si>
  <si>
    <t>Kayla hurt her knee this week so might have limited mobility - RD</t>
  </si>
  <si>
    <t>Alex Sheehan</t>
  </si>
  <si>
    <t>Party</t>
  </si>
  <si>
    <t>Job</t>
  </si>
  <si>
    <t>Michelle Nathan</t>
  </si>
  <si>
    <t>Are there any challenges among people in the group?</t>
  </si>
  <si>
    <t>Keeper</t>
  </si>
  <si>
    <t>Michelle is physically and mentally at low ebb. She will eat breakfast downstairs, get a ride to the Valerius house, and would like someone else to take her madlibs ander duty so that she can be Iolanthe.-AMV
Chris (9:27): Tenille is taking over the Madlib Ander</t>
  </si>
  <si>
    <t>Dolorón</t>
  </si>
  <si>
    <t>Ana Quintana</t>
  </si>
  <si>
    <t>Keeper tweaked an ankle while walking.  Sounds minor, but should have a medical check-in at lunch.  -Scaz
Kristi - JulieL checked her out and she's fine.  "It hurt for a sec; it's fine now."</t>
  </si>
  <si>
    <t>Medical</t>
  </si>
  <si>
    <t>Jim Vincent</t>
  </si>
  <si>
    <t>Fixing</t>
  </si>
  <si>
    <t>High</t>
  </si>
  <si>
    <t>CR: Jim injured his ankle on a porch trip.  Gave ice pack and Tylenol, needs medical follow up.
CR: Dana treated at 12:30pm, confirmed ice and elevation, needs follow up in a few hours
CR (2:30): Flag for Julie L to examine</t>
  </si>
  <si>
    <t>Anyone we should be keeping an eye on?</t>
  </si>
  <si>
    <t>Friday</t>
  </si>
  <si>
    <t>Ben Warren</t>
  </si>
  <si>
    <t>P'Loa</t>
  </si>
  <si>
    <t xml:space="preserve">participant suddenly feeling light-headed, sweaty; Steve found Abigail. Julie Leviter checking in on him.  
Maisie's husband is being sent to hospiatal.  Ab called 911 Maise (compantion) may be going with him.  Jodi 6:50
Maise is going with her husband ... Tennile is talkin to Joyce about being doloron companion for evening jodi 7:15
</t>
  </si>
  <si>
    <t>If party has open issues [COLUMN L], check on them.  Update status [Participants tab] if warranted</t>
  </si>
  <si>
    <t>Katherine Greene</t>
  </si>
  <si>
    <t>Katherine was approached by a staff in an ander mask to address her conversation about combat in last year's event. She is very upset. Scaz is talking to her.-AMV
Much of this seems to revolve around conversation with Tricia.  Katherine's still very upset, but is moving forward with her role for the alt timeline. We will likely need to have a sit-down with Katherine and Tricia later. -scaz
J: Tricia saw Katherine and Scaz talking and has been eyeing the table after getting back from her monster shift, but not engaging with us.  Scaz and Ab briefed Reichert and he is going to talk to Tricia to say that we are aware that something went on and we can talk through it later and hear her side (after tonights festivities). 7:40</t>
  </si>
  <si>
    <t>Bob Coury</t>
  </si>
  <si>
    <t>Anything else we should know?</t>
  </si>
  <si>
    <t>Traveler</t>
  </si>
  <si>
    <t>Linda walked a participant from urikesh through the basement staff area with eyes closed.  Linda said she had been feeling overwhelmed.  Talked to Bill later and participant had gone stragiht into combat workshops.   He didn't know how that went.   - jodi fri 6:50
Chris - checked in with Bill; he is "not concerned at the moment".  They're getting ready to leave the tavern now 8:30pm
Kristi - Raja (the traveler) approached Linda (as Valentina) and says she's doing fine now.  Let's check in with Bill in the morning but if she's still good, we can call this hopefully fixed. I downgraded this to Low. (10:30pm)
Kristi - Bill is not worried.  Closing this (8:45am)</t>
  </si>
  <si>
    <t>peg went back to hotel to ice her knee.  She will be back for evening activies
J: she is back</t>
  </si>
  <si>
    <r>
      <rPr>
        <rFont val="Arial"/>
        <b/>
        <color theme="1"/>
      </rPr>
      <t xml:space="preserve">Saturday Lunch Questions - </t>
    </r>
    <r>
      <rPr>
        <rFont val="Arial"/>
        <b val="0"/>
        <i/>
        <color theme="1"/>
      </rPr>
      <t>How's their adventure beginning?  Any warning signs?</t>
    </r>
  </si>
  <si>
    <t>Blake Geno</t>
  </si>
  <si>
    <r>
      <rPr>
        <rFont val="Arial"/>
        <color theme="1"/>
      </rPr>
      <t xml:space="preserve">It looks like they </t>
    </r>
    <r>
      <rPr>
        <rFont val="Arial"/>
        <b/>
        <color theme="1"/>
      </rPr>
      <t>have/haven't</t>
    </r>
    <r>
      <rPr>
        <rFont val="Arial"/>
        <color theme="1"/>
      </rPr>
      <t xml:space="preserve"> done Cup of Insight yet.  [COLUMN I]  Is that right?</t>
    </r>
  </si>
  <si>
    <r>
      <rPr>
        <rFont val="Arial"/>
        <color theme="1"/>
      </rPr>
      <t xml:space="preserve">It looks like they </t>
    </r>
    <r>
      <rPr>
        <rFont val="Arial"/>
        <b/>
        <color theme="1"/>
      </rPr>
      <t>have/haven't</t>
    </r>
    <r>
      <rPr>
        <rFont val="Arial"/>
        <color theme="1"/>
      </rPr>
      <t xml:space="preserve"> gotten their riddle yet.  [COLUMN J]  Is that right?</t>
    </r>
  </si>
  <si>
    <t>Have they found their riddle item? [IF SO, CHECK COLUMN M]</t>
  </si>
  <si>
    <t>How are they feeling about combat?</t>
  </si>
  <si>
    <t>How is everybody feeling?</t>
  </si>
  <si>
    <t>How are people getting along?</t>
  </si>
  <si>
    <t>Have they encountered challenges impacting their spirits?</t>
  </si>
  <si>
    <t>Does anyone need a personal check in with an EM?</t>
  </si>
  <si>
    <t>What can we do to make their experience magical/wonderful?</t>
  </si>
  <si>
    <r>
      <rPr>
        <rFont val="Arial"/>
        <b/>
        <color theme="1"/>
      </rPr>
      <t xml:space="preserve">Saturday Dinner Questions - </t>
    </r>
    <r>
      <rPr>
        <rFont val="Arial"/>
        <b val="0"/>
        <i/>
        <color theme="1"/>
      </rPr>
      <t>Roadblocks to finishing? For Saturday night activities?</t>
    </r>
  </si>
  <si>
    <t>Nils Klinkenberg</t>
  </si>
  <si>
    <r>
      <rPr>
        <rFont val="Arial"/>
        <color theme="1"/>
      </rPr>
      <t xml:space="preserve">It looks like they have </t>
    </r>
    <r>
      <rPr>
        <rFont val="Arial"/>
        <b/>
        <color theme="1"/>
      </rPr>
      <t>some/most/all</t>
    </r>
    <r>
      <rPr>
        <rFont val="Arial"/>
        <color theme="1"/>
      </rPr>
      <t xml:space="preserve"> of their party path items.  [COLUMN H]. Is that right?</t>
    </r>
  </si>
  <si>
    <t>A cane broke in ghost theater. Is it also his? Check. - Rob
Kristi - the broken cane that's on the EM desk is Edwin Davies' and Otherworld's.  The sunday vision references the cane but I think we can fix it enough if Nils needs to clue hammer the party tomorrow (8:30)</t>
  </si>
  <si>
    <t>Does anyone need a special accommodation for the Saturday night activities? [If so, tell Conductor]</t>
  </si>
  <si>
    <t>Bob Marriott</t>
  </si>
  <si>
    <r>
      <rPr>
        <rFont val="Arial"/>
        <b/>
        <color theme="1"/>
      </rPr>
      <t xml:space="preserve">Sunday Breakfast Questions - </t>
    </r>
    <r>
      <rPr>
        <rFont val="Arial"/>
        <b val="0"/>
        <i/>
        <color theme="1"/>
      </rPr>
      <t>Clue hammers and the final push</t>
    </r>
  </si>
  <si>
    <t>Other</t>
  </si>
  <si>
    <t xml:space="preserve">joyce will be companion for doloron friday night.   She is delivering her contact info to her party and then will meet up with doloron.   She is willing to keep going as companion past today if needed and says her schedule is pretty clear.  (trial coordinator for claria sunday) jodi 7:40
joyce says that since son does not have a guardian ... worth it to get a medical power attorney </t>
  </si>
  <si>
    <r>
      <rPr>
        <rFont val="Arial"/>
        <color theme="1"/>
      </rPr>
      <t xml:space="preserve">It looks like they </t>
    </r>
    <r>
      <rPr>
        <rFont val="Arial"/>
        <b/>
        <color theme="1"/>
      </rPr>
      <t>do/don't</t>
    </r>
    <r>
      <rPr>
        <rFont val="Arial"/>
        <color theme="1"/>
      </rPr>
      <t xml:space="preserve"> have all party path items.  [COLUMN H]  If they don't, make a plan</t>
    </r>
  </si>
  <si>
    <t>Do they remember when their penultimate meeting is? If not, remind them.</t>
  </si>
  <si>
    <t xml:space="preserve">What if anything are they thinking about their charge? </t>
  </si>
  <si>
    <t>Give them the Forcefield Wolven invitation.  They can give to party at their discretion.</t>
  </si>
  <si>
    <t>Is there anything we can do at the last minute to complete their adventure?</t>
  </si>
  <si>
    <t>Bri Taborn</t>
  </si>
  <si>
    <t>Kristi - Maisie mentioned that Orlando (real name) was nervous about attending but was feeling comfortable because he's with Matt.  Matt isn't coming back so we're just making sure Orlando is having fun and not getting too anxious. (10pm)
Kristi - JenP had an early encounter with Orlando and he was given coffee and is in good spirits (7:30am)</t>
  </si>
  <si>
    <t>Brian Neff</t>
  </si>
  <si>
    <t>Seeker</t>
  </si>
  <si>
    <t>Kristi - We have a participant in Clairia (Kai) who's flying out of Logan at 8pm on Sunday.  Would Caro (Seeker) be willing to drive her on Sunday?  If not, we have other options but Caro is the best. Give answer to MattM after we know. (7:30am) 
Kristi - Lori is going to ask Caro.  I told her a No now is better than a Yes that changes later.  (9:15am)
Kristi - DaveN says Lori says Caro says Yes.  Yay!  Telling MattM (9:18am)</t>
  </si>
  <si>
    <t>Melissa (recorded by Reichert)Provided party with 5 towels from the comfort comittee</t>
  </si>
  <si>
    <t>Brian Scassellati</t>
  </si>
  <si>
    <t>Chris -- Need to ask Joyce for her input on handing out party path items today.  War Band is ready to take over for her, want to confirm that she is OK with this</t>
  </si>
  <si>
    <t>Britt Rothauser</t>
  </si>
  <si>
    <t>Ari a bit tired, might need a nap later, we'll see (CR)</t>
  </si>
  <si>
    <t>Maker</t>
  </si>
  <si>
    <t>CR: Companion syas Tarik (Maker ) and SLedge (Keeper) would be good to pair with magic items, will help them engage a bite more</t>
  </si>
  <si>
    <t>Tasar? is tired this morning (blue hair) (group in general has a bit of morning grumbling).  There is a 3:3 split between moving slow and getting going.(CR)</t>
  </si>
  <si>
    <t>Would be good to pair magic items across internal lines (per companion brief) (CR)</t>
  </si>
  <si>
    <t>Cecilia Lindgren</t>
  </si>
  <si>
    <t>Seeker from Uri-Kesh is asking to go home.  Spoke with CR on the tavern porch.  He's clear on his 
reasons and we think getting him away from the rest of the party ASAP is the right move. He came
alone and has his own car.  Sending him out as of lunch.  -BS 12:30
CR: Gray is gone</t>
  </si>
  <si>
    <t>Kristi - Not a problem; just please give Lori the Sunday morning keeper vision!  Thank you! :)</t>
  </si>
  <si>
    <t>Charlotte Wilson</t>
  </si>
  <si>
    <t>Needs a lunch time check in to verify that she is on track</t>
  </si>
  <si>
    <t>Chelsea Hadlock</t>
  </si>
  <si>
    <t>CR: Via companion, they are really into Banshee lore, Pendant of Fortune d'Oro would be a big win for them
RD: Told Margot before she went out. We'll try.
j: they did get the pendant ..recognized immediately and were very excited.</t>
  </si>
  <si>
    <t>Ranger</t>
  </si>
  <si>
    <t>Kristi - BobM reports that Nietz (Martin) is holding himself apart.  Not worried about it yet but worth keeping an eye on.  (He was supposed to be here with his daughter but she had to cancel last minute.  Also note that Martin lost a son to an overdose a couple years back so please just watch this as grief/Rites plot ramps up. - this is just Kristi talking, not BobM) (9am)
CR-Companion reports that this is improving but should remain monitored)</t>
  </si>
  <si>
    <t>Obscura is terrified to be here, need to bring her into things with some attention, suggested hitting som eupbeat sites this AM, like peacocks (CR)
Traveler requested first a cane (given by MMiles at 12:00) and then a knee brace and wrap (given by companion at 12:20).  We should have one 
the medical staff check in at lunch with her. -BS, 12:20SAT
1:15 (CR) Julie L checked in with Natalie, she is coping but may need accomodation at 8[pm meeting.
Kristi - JulieL talked to her again.  She doesn't want to let her group down.  She doesn't know the others in the group (besides her boyfriend and friend) and is feeling worried about letting them down.  The pain is her baseline; she's dealing with it.  Julie is reinforcing that it's okay to take naps or breaks or to speak up.  Julie was also telling her that the story is going to get scarier; that's not her, it's just how the story is. (1:45pm)
Scaz: Julie checked on her again at 4pm.  Thinks she's doing ok.  
Jodi: gave her and other clarian resting in front of the tavern charge information.  They were looking to get back with with group, had been planning on investigating the morg for danny charge (but it was a ghost theater).  A bit timid but engaged.</t>
  </si>
  <si>
    <t>CR: Opportunity for magic: They've been giving out SHell bracelets, would be cool to work this in or ackbnowledge</t>
  </si>
  <si>
    <t>Christine Huebbe</t>
  </si>
  <si>
    <t>CR: Has a past ankle injury, fine for now but Brian is keeping a compression bandage on him in case he needs it later 
JL is talking to this participant
Fine as of dinner SAT - scaz</t>
  </si>
  <si>
    <t>Christine Reeves</t>
  </si>
  <si>
    <t>Caster</t>
  </si>
  <si>
    <t>Caster is a little fixated on rules and doing it "right". Is putting a lot of pressure on himself that he only gets to do this once and doesn't want to screw it up. I encouraged him to take breaks, focus on being in a story, to understand that sometimes the dice go cold and sometimes dice are cocked and you need to just decide what makes a good story and go with it. He understood this intellectually but let's see if he can embody it. 
Companion says things are resolved - Scaz, dinner Sat</t>
  </si>
  <si>
    <t>Cliff Young</t>
  </si>
  <si>
    <t>Clairia is splitting up. Some are napping. One is going to rest their knee at the tavern. Rest are going. Someone needs to do the 4pm "Sky turns black" at the tavern.
Rob (4pm) - Julie talked to the people and they said their health is fine. I think they are a little checked out but they may just be quiet. I told them the sky turned black.</t>
  </si>
  <si>
    <t>Cris Shuldiner</t>
  </si>
  <si>
    <t>Party disregarded Poppy's admonishment to stay out of the Court of Mirrors. She repeatedly told them not to enter, increasing severity. They ultimately entered and shut the door behind them without really acknowledging her. Should Poppy address them directly at dinner that this was disrespectful/otherwise?- laura's thought is that they are disregarding 'side characters as people'... not personally as an staff person but in the adventure.  Abigail &amp; Jodi
Companion thinks that they were trying to disregard the gold-faced characters because of all the changes.  Haven't seen this problem anywhere else. Suggests that we send Poppy to them at dinner to add on some guilt.  -scaz</t>
  </si>
  <si>
    <t>Dana Sullivan</t>
  </si>
  <si>
    <t>Sythwan would like an early soulspeaking if possible</t>
  </si>
  <si>
    <t>Dave Kamin</t>
  </si>
  <si>
    <t>Might have dropped a book. Might have dropped a rope</t>
  </si>
  <si>
    <t>Dave Korka</t>
  </si>
  <si>
    <t>Might have dropped a rope.
Kristi - they don't need it again (Sun 7am)</t>
  </si>
  <si>
    <t>Kristi - is there really not an entry on the Doloron traveler yet? Weird.  Anyway, he's noping out of the Saturday night activities, including being driven to the crypt.  "I've pushed myself way too hard."  Yeah, no shit, dude.  But he's sitting in the tavern and seems okay with that.  Keeping an eye on but hopefully okay. (8:40pm)</t>
  </si>
  <si>
    <t>Dave Nadig</t>
  </si>
  <si>
    <t>CR: Note for future: Seeker was disappointed by the Wolven battle, felt like a meat shield and not a hero</t>
  </si>
  <si>
    <t>David San Clemente</t>
  </si>
  <si>
    <t>Deb Lack</t>
  </si>
  <si>
    <t>Deo Gallotto</t>
  </si>
  <si>
    <t>Dorian Hart</t>
  </si>
  <si>
    <t>Edgar Fisher</t>
  </si>
  <si>
    <t>ARDEN</t>
  </si>
  <si>
    <t>Investigating the charge against:  Bracken</t>
  </si>
  <si>
    <t>Companion:  Ari (Susan Gerow)</t>
  </si>
  <si>
    <t>Keeper’s Saturday morning dream:  The vision shows the citrine shards and leads the party to Valentina.</t>
  </si>
  <si>
    <t>Riddle: "laughing girl" fire riddle, fire circle in Winterhill Clearing</t>
  </si>
  <si>
    <t>Keeper’s Sunday morning dream:  This vision shows the Order of the Black Lantern and suggests that it is a club of a different sort than the party (and Bracken) might have originally thought.</t>
  </si>
  <si>
    <t>Complete?</t>
  </si>
  <si>
    <t>Time</t>
  </si>
  <si>
    <t>Items to give</t>
  </si>
  <si>
    <t>Info to Give</t>
  </si>
  <si>
    <t>Bloc  Requirements</t>
  </si>
  <si>
    <t>Aria Morgan</t>
  </si>
  <si>
    <t>Contact</t>
  </si>
  <si>
    <t>--</t>
  </si>
  <si>
    <t>Angelica Sprink</t>
  </si>
  <si>
    <t>assigns charge</t>
  </si>
  <si>
    <t>Need</t>
  </si>
  <si>
    <t>Eileen Christiansen</t>
  </si>
  <si>
    <t>Ursula Smirch</t>
  </si>
  <si>
    <t>2nd Friday</t>
  </si>
  <si>
    <t>Geneva Sprink</t>
  </si>
  <si>
    <t>Bracken has been telling Angelica about monsters and that she might get attacked, and suggesting she make a plan to defend herself. (life skills: defense)</t>
  </si>
  <si>
    <t>Need 5</t>
  </si>
  <si>
    <t>Nix Valerius</t>
  </si>
  <si>
    <t>3rd Friday</t>
  </si>
  <si>
    <t>Bartleby Sprink</t>
  </si>
  <si>
    <t>Bracken has been telling Angelica about how food is made, or how to wash dishes. (life skills: food prep)</t>
  </si>
  <si>
    <t>Isaiah Cooke</t>
  </si>
  <si>
    <t>4th Friday</t>
  </si>
  <si>
    <t>list of items</t>
  </si>
  <si>
    <t>Lenora Graves</t>
  </si>
  <si>
    <t>Bracken has been telling Angelica about monsters and that she might get attacked. (life skills: defense)</t>
  </si>
  <si>
    <t>Kiko Truthspeaker</t>
  </si>
  <si>
    <t>1st Saturday</t>
  </si>
  <si>
    <t>locus root</t>
  </si>
  <si>
    <t>Kyson Wayseeker</t>
  </si>
  <si>
    <t>Angelica never learned basic survival skills, but “a friend” is now teaching her.</t>
  </si>
  <si>
    <t>Buzzkill</t>
  </si>
  <si>
    <t>11am-6pm</t>
  </si>
  <si>
    <t>none until tomorrow</t>
  </si>
  <si>
    <t>Eleanor Smith-Dufresne</t>
  </si>
  <si>
    <t>Samuelson</t>
  </si>
  <si>
    <t>Angelica has been more independent recently, such as finding out how much her meal costs. (life skills: paying for meals)</t>
  </si>
  <si>
    <t>Pascal Valerius</t>
  </si>
  <si>
    <t>8am-1pm</t>
  </si>
  <si>
    <t>star of direction</t>
  </si>
  <si>
    <t>Pansy Golden</t>
  </si>
  <si>
    <t>Angelica used to be helpless, but recently she seems more self-sufficient (life skills: helping clean).</t>
  </si>
  <si>
    <t>Karmin Smirch</t>
  </si>
  <si>
    <t>9-11am, 1-4pm, 6-8pm</t>
  </si>
  <si>
    <t>riverglass jewelbox</t>
  </si>
  <si>
    <t>Kulinos</t>
  </si>
  <si>
    <t>Angelica used to be helpless, but recently she seems more knowledgeable (life skills: rhubarb leaves are toxic).</t>
  </si>
  <si>
    <t>Valentina</t>
  </si>
  <si>
    <t>10am-4pm</t>
  </si>
  <si>
    <t>citrine shards</t>
  </si>
  <si>
    <t>Aleeya Witchborn</t>
  </si>
  <si>
    <t>Angelica used to be helpless with directions, but Bracken has been teaching her (life skills: understanding directions).</t>
  </si>
  <si>
    <t>Charlie Peacock</t>
  </si>
  <si>
    <t>1-6pm</t>
  </si>
  <si>
    <t>cowry shell</t>
  </si>
  <si>
    <t>Karla Smirch</t>
  </si>
  <si>
    <t>Bracken has given away his belongings to those poorer than himself.</t>
  </si>
  <si>
    <t>Eli Hunt</t>
  </si>
  <si>
    <t>Moxie</t>
  </si>
  <si>
    <t>10am-5pm</t>
  </si>
  <si>
    <t>riddle to argentum heart</t>
  </si>
  <si>
    <t>Dusty Peacock</t>
  </si>
  <si>
    <t>Bracken has been hanging around Angelica. But he seems nice and hard to believe he’s harassing her.</t>
  </si>
  <si>
    <t>Obsidian</t>
  </si>
  <si>
    <t>8am-12noon, 2-4pm</t>
  </si>
  <si>
    <t>spiritstone</t>
  </si>
  <si>
    <t>Phineas Smirch</t>
  </si>
  <si>
    <t>Bracken is a thug and a menace. Born bad.</t>
  </si>
  <si>
    <t>Need 2</t>
  </si>
  <si>
    <t>Ghost Theater</t>
  </si>
  <si>
    <t>4-8pm</t>
  </si>
  <si>
    <t>limelight</t>
  </si>
  <si>
    <t>Equinoxious</t>
  </si>
  <si>
    <t>Bracken had a rough childhood. He’s learned many survival skills, including questionable ones like lock-picking. May be trouble.</t>
  </si>
  <si>
    <t>9:45am Sunday</t>
  </si>
  <si>
    <t>chaos pendant</t>
  </si>
  <si>
    <t>Bracken had a rough childhood. He’s been seen walking near the wildlands. May be trouble.</t>
  </si>
  <si>
    <t>Morgoth &amp; Henchmen</t>
  </si>
  <si>
    <t>10am Sunday</t>
  </si>
  <si>
    <t>Sconce of the Wood</t>
  </si>
  <si>
    <t>Crabtree</t>
  </si>
  <si>
    <t>Crown of St. Mora, which was stolen several years ago, was anonymously left at the Valerius house a couple weeks ago.</t>
  </si>
  <si>
    <t>Need 1</t>
  </si>
  <si>
    <t>riddle item found?</t>
  </si>
  <si>
    <t>Emily Bernier</t>
  </si>
  <si>
    <t>Aesthetika</t>
  </si>
  <si>
    <t>Santiago Valerius</t>
  </si>
  <si>
    <t>Bracken is the person who left the Crown of St. Mora at the Valerius house. But why did he have it?</t>
  </si>
  <si>
    <t>COMMENTS</t>
  </si>
  <si>
    <t>Dimitri</t>
  </si>
  <si>
    <t>Rumor that Smirches had the Crown of St. Mora, although no idea why they had it or would return it.</t>
  </si>
  <si>
    <t>Fenwick Michaels</t>
  </si>
  <si>
    <t>Rumor that a merchant family in WE had the Crown of St. Mora. No idea how/why it was returned.</t>
  </si>
  <si>
    <t>Bracken</t>
  </si>
  <si>
    <t>Barring truth magic, he’s not sure what the party is talking about and/or Left the Crown</t>
  </si>
  <si>
    <t>Pearl Bryce</t>
  </si>
  <si>
    <t>Bracken asked if dragons were real. They’re not.</t>
  </si>
  <si>
    <t>Erhard Konerding</t>
  </si>
  <si>
    <t>Kora Peacekeeper</t>
  </si>
  <si>
    <t>Tinker Bill</t>
  </si>
  <si>
    <t>Tinker Bill found “Ever Vigilant * Ever Fabulous” coasters propping up a table; Solomon &amp; Bonnie said they’re not theirs. The party should keep some!</t>
  </si>
  <si>
    <t>Kyli Talespinner</t>
  </si>
  <si>
    <t>Bracken dropped a piece of black paper. She’s hoping the party can help figure it out. The paper lists quests, with the final one partially ripped away.</t>
  </si>
  <si>
    <t>Keeper’s Sunday Vision</t>
  </si>
  <si>
    <t>Shows the Order of the Black Lantern and suggests that it is a club of a different sort than the party (and Bracken) might have originally thought.</t>
  </si>
  <si>
    <t>Angelica was attacked by wolven, but Bracken’s training let her fend them off.</t>
  </si>
  <si>
    <t>Erin Rohan</t>
  </si>
  <si>
    <t>Bracken reveals details about the order and quests.</t>
  </si>
  <si>
    <t>Has a new set of clothing that is Bracken’s size. The party will help him acquire it.</t>
  </si>
  <si>
    <t>Adina Valerius</t>
  </si>
  <si>
    <t>Bracken is attempting to join a secretive order of knights.
Since one of his missions requires that he rescue a damsel in distress, Bracken has interpreted this to mean he should teach the helpless Angelica Sprink the life skills she was lacking, and this, as well as the other quests he is in the process of completing, explain his potentially questionable behavior.
Although Bracken doesn’t yet know how special and unusual this particular order is, he’ll ultimately be deemed worthy of entry into this secretive and fabulous Knight Club.</t>
  </si>
  <si>
    <t>Esther Lee</t>
  </si>
  <si>
    <t>Gareth Hinds</t>
  </si>
  <si>
    <t>Greg Reid</t>
  </si>
  <si>
    <t>Greg Rothauser</t>
  </si>
  <si>
    <t>Gretchen Albright</t>
  </si>
  <si>
    <t>Henny Admoni</t>
  </si>
  <si>
    <t>James Surano</t>
  </si>
  <si>
    <t>Janet Potter</t>
  </si>
  <si>
    <t>Jeff Anderson</t>
  </si>
  <si>
    <t>Jeff Foley</t>
  </si>
  <si>
    <t>Jeff Yaus</t>
  </si>
  <si>
    <t>Jen Morris</t>
  </si>
  <si>
    <t>Jen Platt</t>
  </si>
  <si>
    <t>Jess Schoolman</t>
  </si>
  <si>
    <t>Jo Agostinelli</t>
  </si>
  <si>
    <t>Jodi Riley</t>
  </si>
  <si>
    <t>John Nann</t>
  </si>
  <si>
    <t>Joyce Farnsworth</t>
  </si>
  <si>
    <t>Julie Gruszynske</t>
  </si>
  <si>
    <t>Julie Leviter</t>
  </si>
  <si>
    <t>Justin Hart</t>
  </si>
  <si>
    <t>Katie Paugh</t>
  </si>
  <si>
    <t>Kenneth Reeves</t>
  </si>
  <si>
    <t>Kevin Kulp</t>
  </si>
  <si>
    <t>Kim Ricket</t>
  </si>
  <si>
    <t>Kris Size</t>
  </si>
  <si>
    <t>CLAIRIA</t>
  </si>
  <si>
    <t>Investigating the charge against:  Danny Donovan</t>
  </si>
  <si>
    <t>Companion:  Clementine (Britt Rothauser)</t>
  </si>
  <si>
    <t>Keeper’s Saturday morning dream:  The vision shows the carbon key and will (hopefully!) lead the party to Ember.</t>
  </si>
  <si>
    <t>Riddle: phoenix-bird riddle; tree straddling Summer Stream</t>
  </si>
  <si>
    <t>Keeper’s Sunday morning dream:   Shows both the ghosts of the Morg and Honoré’s letter to Aria, both of which are faded but also have important messages for the party.</t>
  </si>
  <si>
    <t>Kristi Hayes</t>
  </si>
  <si>
    <t>Honoré Valerius</t>
  </si>
  <si>
    <t>assigns charge, mentions letter</t>
  </si>
  <si>
    <t>Lance Nathan</t>
  </si>
  <si>
    <t>Brimstone</t>
  </si>
  <si>
    <t>She fired Danny Donovan Thursday morning for throwing away important paperwork, Honoré gave her a letter listing all of Danny’s good points, theater burned down Thursday night. Aria has no memory of Thursday night but is sure Danny did this.</t>
  </si>
  <si>
    <t>Danny Donovon</t>
  </si>
  <si>
    <t>Aria fired Danny for throwing away some crumpled old papers, he woke up on tavern cot Friday morning sooty with burned clothes. He thinks he must have used White Noise again and started the fire. He can’t remember.</t>
  </si>
  <si>
    <t>Lane Daniels</t>
  </si>
  <si>
    <t>Eugenie Bright</t>
  </si>
  <si>
    <t>Memories of theater, including Montgomery Morgan + Aria dancing with a white paper crown</t>
  </si>
  <si>
    <t>Dramina</t>
  </si>
  <si>
    <t>dragon’s egg ring</t>
  </si>
  <si>
    <t>Ned Crochett</t>
  </si>
  <si>
    <t>Danny came out of his room at the tavern Friday morning sooty and smelling of smoke, no idea what happened to him</t>
  </si>
  <si>
    <t>featherflame herb</t>
  </si>
  <si>
    <t>Laura Hiatt</t>
  </si>
  <si>
    <t>8am-2pm</t>
  </si>
  <si>
    <t>Elliott Peacock</t>
  </si>
  <si>
    <t>Danny came out of tavern Friday morning, sooty and smelling of smoke, and stared at the theater in shock</t>
  </si>
  <si>
    <t>Natasha</t>
  </si>
  <si>
    <t>12noon-8pm</t>
  </si>
  <si>
    <t>winterheart gem</t>
  </si>
  <si>
    <t>Electra</t>
  </si>
  <si>
    <t>Danny had been clean for six months, and Aria took a risk hiring him early in his sobriety.</t>
  </si>
  <si>
    <t>Need 3</t>
  </si>
  <si>
    <t>Jack Johnson</t>
  </si>
  <si>
    <t>fool’s gold</t>
  </si>
  <si>
    <t>Stevie Peacock</t>
  </si>
  <si>
    <t>Leah Shuldiner</t>
  </si>
  <si>
    <t>Danny told her last week he didn’t want to let Aria down after she gave him a chance, but maybe he went back to using or maybe he burned the theater down out of spite?</t>
  </si>
  <si>
    <t>Cal Coleman</t>
  </si>
  <si>
    <t>8am-4pm</t>
  </si>
  <si>
    <t>gold essence</t>
  </si>
  <si>
    <t>Kovi Woundtender</t>
  </si>
  <si>
    <t>Danny did something very hard by giving up White Noise</t>
  </si>
  <si>
    <t>8-11am, 1-4pm, 6-8pm</t>
  </si>
  <si>
    <t>riddle for phoenix egg</t>
  </si>
  <si>
    <t>Phyllis Fieri</t>
  </si>
  <si>
    <t>Danny’s a nice guy and good worker but not always reliable even when he’s not using</t>
  </si>
  <si>
    <t>Ember</t>
  </si>
  <si>
    <t>carbon key</t>
  </si>
  <si>
    <t>Huxley</t>
  </si>
  <si>
    <t>Court of Mirrors</t>
  </si>
  <si>
    <t>favor</t>
  </si>
  <si>
    <t>Linda Bennet</t>
  </si>
  <si>
    <t>Theater was built by Aria’s great-grandfather and his wife and was closed for 24 years before Aria</t>
  </si>
  <si>
    <t>Penultimate: 10 am</t>
  </si>
  <si>
    <t>silver snowflake amulets</t>
  </si>
  <si>
    <t>Diesel</t>
  </si>
  <si>
    <t>Rumors of ghosts at theater, and had a feeling of being watched</t>
  </si>
  <si>
    <t>Staff of Ignatius</t>
  </si>
  <si>
    <t>10:15 Sunday</t>
  </si>
  <si>
    <t>the staff!</t>
  </si>
  <si>
    <t>Celeste Wilde</t>
  </si>
  <si>
    <t>Theater was famous, and famously haunted by Aria’s legendary great grandparents</t>
  </si>
  <si>
    <t>Lindsay Daviau</t>
  </si>
  <si>
    <t>Overheard Aria firing Danny LOUDLY on Thursday, but Danny didn’t seem angry</t>
  </si>
  <si>
    <t>Cary Montalvo</t>
  </si>
  <si>
    <t>Overheard Aria firing Danny on Thursday but Danny didn’t seem angry</t>
  </si>
  <si>
    <t>Danny is druggie and lowlife, and his burning down the theater was predictable</t>
  </si>
  <si>
    <t>Lori Nadig</t>
  </si>
  <si>
    <t>Vernon Gill</t>
  </si>
  <si>
    <t>Danny is druggie and lowlife and burned the theater down when he got fired</t>
  </si>
  <si>
    <t>Danny was kind and helpful</t>
  </si>
  <si>
    <t>Danny was kind and helpful, wouldn’t have set the fire on purpose</t>
  </si>
  <si>
    <t>Maisie Sturtevant</t>
  </si>
  <si>
    <t>Mick Peacock</t>
  </si>
  <si>
    <t>White Noise causes bloodshot eyes and headache the next day, but Danny didn’t show these Friday morning</t>
  </si>
  <si>
    <t>Apologizes for taking away everyone’s memories of Thursday night; spell worked on ALL LIVING CREATURES</t>
  </si>
  <si>
    <t>Malachi</t>
  </si>
  <si>
    <t>Malachi hid a small stash of White Noise for Danny when he decided to go clean last winter- he checked it recently and it was all still there</t>
  </si>
  <si>
    <t>Mara Feingold-Link</t>
  </si>
  <si>
    <t>Vision shows both the ghosts of the Morg and Honoré’s letter to Aria, both of which are faded but have important messages for Clairia</t>
  </si>
  <si>
    <t>Mila</t>
  </si>
  <si>
    <t>Recognizes them from her vision; leaves to ponder</t>
  </si>
  <si>
    <t>Mila, Ghosts Of Montgomery Morgan, Delia Morgan, Horatio Morgan, Veena Morgan</t>
  </si>
  <si>
    <t>Leads party to ghosts’ reenactment of Aria’s knocking over candle and Danny saving her</t>
  </si>
  <si>
    <t>Party tells Aria what they have learned from the ghosts. She is disbelieving at first but after the Spun Sugar dance reference and when she sees the soaked letter from Honore, she understands that she started the fire and Danny saved her.</t>
  </si>
  <si>
    <t>Margot Holmes</t>
  </si>
  <si>
    <t>Danny didn’t accidentally or purposefully set this fire; Aria’s accidental knocking over a candle did.
Aria’s still alive because Danny heard her screams and ran inside to save her.
“Every living soul” in World’s Edge has forgotten what happened on Thursday night, but the ghosts who haunt the Morg saw everything, and they remember.</t>
  </si>
  <si>
    <t>Marlena Soble</t>
  </si>
  <si>
    <t>Marsha Gershon-Aguilera</t>
  </si>
  <si>
    <t>Matt Miles</t>
  </si>
  <si>
    <t>Matthew Scott</t>
  </si>
  <si>
    <t>Melissa Crouch Chang</t>
  </si>
  <si>
    <t>Mike Dion</t>
  </si>
  <si>
    <t>Mike Hsieh</t>
  </si>
  <si>
    <t>Mike Robb</t>
  </si>
  <si>
    <t>Mike Scandizzo</t>
  </si>
  <si>
    <t>Mirin Scassellati</t>
  </si>
  <si>
    <t>Morgan Harris-Warrick</t>
  </si>
  <si>
    <t>Nadav Barkaee</t>
  </si>
  <si>
    <t>Neal Desai</t>
  </si>
  <si>
    <t>Ozzie Osborne</t>
  </si>
  <si>
    <t>Paul San Clemente</t>
  </si>
  <si>
    <t>Rich Longmore</t>
  </si>
  <si>
    <t>Rich Pellosie</t>
  </si>
  <si>
    <t>Rob Daviau</t>
  </si>
  <si>
    <t>Rowan Scassellati</t>
  </si>
  <si>
    <t>Sarah San Clemente</t>
  </si>
  <si>
    <t>Scott Moore</t>
  </si>
  <si>
    <t>DOLORÓN</t>
  </si>
  <si>
    <t>Investigating the charge against:  Katherine Carmichael</t>
  </si>
  <si>
    <t>Companion:  Dodi (Maisie Sturtevant)</t>
  </si>
  <si>
    <t>Keeper’s Saturday morning dream:  The vision shows the gemwing butterfly and will (hopefully!) lead the party to Eugenie Bright.</t>
  </si>
  <si>
    <t>Riddle: Large Rock, fallen over, along Big Bow Trail halfway between Peaceful Crossing Bridge  and entrance to Forsaken Forest</t>
  </si>
  <si>
    <t>Keeper’s Sunday morning dream:  Shows Vernon Gill and suggests both that his injury is feigned and also that he’s motivated by greed.</t>
  </si>
  <si>
    <t>Sherry Rinell</t>
  </si>
  <si>
    <t>Steve Spodaryk</t>
  </si>
  <si>
    <t>Lexia</t>
  </si>
  <si>
    <t>Vernon was a soldier until K shot him ten years ago, and wants restitution. K admits she did it.</t>
  </si>
  <si>
    <t>JPeg</t>
  </si>
  <si>
    <t>Melados</t>
  </si>
  <si>
    <t>Tasi O'Malley</t>
  </si>
  <si>
    <t>snake-eye talisman</t>
  </si>
  <si>
    <t>K shot Vernon ten years ago after he mouthed off. Afterwards, she reclaimed the crossbow bolts.</t>
  </si>
  <si>
    <t>Tenille Reichert</t>
  </si>
  <si>
    <t>riddle leading to silver incense burner</t>
  </si>
  <si>
    <t>Malachi (PEN Saturday)</t>
  </si>
  <si>
    <t>8am-2pm, 4-8pm</t>
  </si>
  <si>
    <t>Is unpleasant/K shot him and reclaimed the crossbow bolts.</t>
  </si>
  <si>
    <t>9am-4pm</t>
  </si>
  <si>
    <t>whiteleaf sage</t>
  </si>
  <si>
    <t>Tom Ricket</t>
  </si>
  <si>
    <t>Katherine Carmichael</t>
  </si>
  <si>
    <t>Is competent and likable/doesn’t want to talk about Vernon Gill.</t>
  </si>
  <si>
    <t>8am-3pm</t>
  </si>
  <si>
    <t>seafoam sphere</t>
  </si>
  <si>
    <t>K really IS Kit Carson. The books are inspiring. The books’ physical description of Kit matches K.</t>
  </si>
  <si>
    <t>Need 4</t>
  </si>
  <si>
    <t>8-11am, 3-8pm</t>
  </si>
  <si>
    <t>signalstone ring</t>
  </si>
  <si>
    <t>K really IS Kit Carson. The books are inspiring.</t>
  </si>
  <si>
    <t>Tricia Boynton</t>
  </si>
  <si>
    <t>gemwing butterfly</t>
  </si>
  <si>
    <t>8-11am, 1-4pm</t>
  </si>
  <si>
    <t>water from River Sigh</t>
  </si>
  <si>
    <t>Belle Bishop</t>
  </si>
  <si>
    <t>Donna Peacock</t>
  </si>
  <si>
    <t>PEN 9:45am</t>
  </si>
  <si>
    <t>merula-fruit cordial</t>
  </si>
  <si>
    <t>Vanessa Robb</t>
  </si>
  <si>
    <t>Pixies</t>
  </si>
  <si>
    <t>pixie dust</t>
  </si>
  <si>
    <t>Lincroft Spence</t>
  </si>
  <si>
    <t>K really IS Kit Carson. The books are great, but many people have a dismissive attitude towards her books.</t>
  </si>
  <si>
    <t>K really IS Kit Carson. Karmin has a dismissive attitude towards her books.</t>
  </si>
  <si>
    <t>Zak Terry</t>
  </si>
  <si>
    <t>K really IS Kit Carson. Bartleby has a dismissive attitude towards her books, which encourage young girls to behave badly.</t>
  </si>
  <si>
    <t>Carmina Bordeaux</t>
  </si>
  <si>
    <t>K really IS Kit Carson. Carmina has a dismissive attitude towards her books, which encourage children to behave badly.</t>
  </si>
  <si>
    <t xml:space="preserve"> </t>
  </si>
  <si>
    <t>Edwin Davies</t>
  </si>
  <si>
    <t>K really IS Kit Carson. Edwin has a dismissive attitude towards her books, which encourage children to behave badly.</t>
  </si>
  <si>
    <t>Bonnie Stillwater</t>
  </si>
  <si>
    <t>Electra had nosebleed. K was faint at sight of blood.</t>
  </si>
  <si>
    <t>ELSEWHICH</t>
  </si>
  <si>
    <t>Gets shaky and tells party she doesn’t want to talk about it. [Does Sunday 10am scene if they press her.]</t>
  </si>
  <si>
    <t>Investigating the charge against:  Evelyn</t>
  </si>
  <si>
    <t>Cameron Light-Astor</t>
  </si>
  <si>
    <t>Vernon didn’t know a marching song that every soldier should know.</t>
  </si>
  <si>
    <t>Companion:  Elvie (Christine Huebbe)</t>
  </si>
  <si>
    <t>Keeper’s Saturday morning dream:  Shows the gold laceleaf pendant and (hopefully!) leads the party to Belle Bishop</t>
  </si>
  <si>
    <t>Riddle:  Heliotrope Candle, ~120 paces beyond the entrance to the Forsaken Forest, left side of the path are two joined trees with their roots spreading over a grey rock. Candle hidden behind the trees (that is, away from the path.)</t>
  </si>
  <si>
    <t>Keeper’s Sunday morning dream:  Suggests that Kira is the one who has magical ability but doesn't know it, and that she is thus the one who can successfully do the ritual with the magic cup.</t>
  </si>
  <si>
    <t>This vision shows Vernon Gill and suggests both that his injury is feigned and also that he’s motivated by greed.</t>
  </si>
  <si>
    <t>Yes!</t>
  </si>
  <si>
    <t>She didn’t shoot Gill. She’s not Kit Carnage. But she doesn’t want to let down her fans, so is pleading guilty.</t>
  </si>
  <si>
    <t>Pearl Bryce, Nix Valerius, Joni Peacock, Donna Peacock, Nina Bliss</t>
  </si>
  <si>
    <t>They cannot let K go to jail; they love the books so much. When party tells them the truth: K is so brave!!</t>
  </si>
  <si>
    <t>Ember And Karmin Smirch</t>
  </si>
  <si>
    <t>The party is brought to Ember as their party path second encounter and she is hanging out with Karmin. (sets charge context )</t>
  </si>
  <si>
    <t>• Vernon Gill lied about everything; Katherine never shot him and he isn’t actually injured. 
• Katherine was willing to take the fall for this crime because she believes her readers will be disillusioned if they learn she’s not actually courageous like her heroine Kit Carnage. 
• In actuality, the true story of Katherine being willing to sacrifice herself for others is even more inspiring.</t>
  </si>
  <si>
    <t>Teknos</t>
  </si>
  <si>
    <t>Nice to meet the party before his Sunday prototype.</t>
  </si>
  <si>
    <t>Kira</t>
  </si>
  <si>
    <t>Kerrick Dealbinder</t>
  </si>
  <si>
    <t>Evelyn threatened to put Ursula out of business after Ursula spoke of a machine that could replace Crabtree. Doesn’t sound like Evelyn</t>
  </si>
  <si>
    <t>amethyst sphere</t>
  </si>
  <si>
    <t>Poppy Golden</t>
  </si>
  <si>
    <t>Evelyn threatened to put Ursula out of business after Ursula spoke of a machine that could replace Crabtree
Doesn’t sound like Evelyn</t>
  </si>
  <si>
    <t>Danny Donovan</t>
  </si>
  <si>
    <t>10am - 4pm</t>
  </si>
  <si>
    <t>crummy magic chalice</t>
  </si>
  <si>
    <t>10am - 3pm</t>
  </si>
  <si>
    <t>Evelyn</t>
  </si>
  <si>
    <t>Evelyn threatened to put Ursula out of business after Ursula spoke of a machine that could replace Crabtree (and Evelyn claims she isn’t guilty of the charge)</t>
  </si>
  <si>
    <t>8am - 2pm</t>
  </si>
  <si>
    <t>gold laceleaf pendant</t>
  </si>
  <si>
    <t>Merchandise has been knocked off of Smirch shelves (probably Evelyn)</t>
  </si>
  <si>
    <t>Need 7</t>
  </si>
  <si>
    <t>12noon - 8pm</t>
  </si>
  <si>
    <t>cat’s-eye jewelbox</t>
  </si>
  <si>
    <t>Nina Bliss</t>
  </si>
  <si>
    <t>Merchandise has been knocked off of Smirch shelves</t>
  </si>
  <si>
    <t>8am - 2pm, 6-8pm</t>
  </si>
  <si>
    <t>gospel weed</t>
  </si>
  <si>
    <t>Smirch shipping containers have been crushed.
Evelyn must have climbed on top of them</t>
  </si>
  <si>
    <t>riddle to heliotrope candle</t>
  </si>
  <si>
    <t>Smirch shipping containers have been crushed
Phineas says Evelyn climbed on top of the boxes</t>
  </si>
  <si>
    <t>doveroot seeds</t>
  </si>
  <si>
    <t>Bloody animal carcasses are being left by the Smirch shop (probably by Evelyn)</t>
  </si>
  <si>
    <t>(mad) Lincroft Spence</t>
  </si>
  <si>
    <t>4 - 8pm</t>
  </si>
  <si>
    <t>folly dust</t>
  </si>
  <si>
    <t>Bloody animal carcasses are being left by the Smirch shop</t>
  </si>
  <si>
    <t>PEN: 9:45am Sunday</t>
  </si>
  <si>
    <t>Elsewhichian wine</t>
  </si>
  <si>
    <t>magical cup from ritual</t>
  </si>
  <si>
    <t>Someone is leaving gobs of wet hair on the Smirches’ floor (probably Evelyn)</t>
  </si>
  <si>
    <t>Milton Peacock</t>
  </si>
  <si>
    <t>Stepped in gobs of wet slime/lint on the Smirches’ floor</t>
  </si>
  <si>
    <t>There is an odor of urine around the Smirch shop</t>
  </si>
  <si>
    <t>Floria</t>
  </si>
  <si>
    <t>Tanya Peacock</t>
  </si>
  <si>
    <t>Ember is authentic, but hard to get to know (and Tanya adores her)</t>
  </si>
  <si>
    <t>Dorito</t>
  </si>
  <si>
    <t>Ember is authentic, but hard to get to know. She is also stylish and relatable.</t>
  </si>
  <si>
    <t>Bartelby Sprink</t>
  </si>
  <si>
    <t>Ember is stylish.</t>
  </si>
  <si>
    <t>Umberto Dunn</t>
  </si>
  <si>
    <t>Ember is famous for being famous and doesn’t care what people think.</t>
  </si>
  <si>
    <t>Ember has clearly defined boundaries, a healthy sense of self, and practices aspiration self care.</t>
  </si>
  <si>
    <t>Joni Peacock</t>
  </si>
  <si>
    <t>Ember is cool, but she doesn’t know why Ember hangs out with Karmin Smirch.</t>
  </si>
  <si>
    <t>Miscellania</t>
  </si>
  <si>
    <t>Ember is stylish; her image is curated but seems effortless. Ember hangs out with Karmin Smirch.</t>
  </si>
  <si>
    <t>Bailey</t>
  </si>
  <si>
    <t>Ember likes Bailey. “She likes me, I know it”</t>
  </si>
  <si>
    <t>Quinoa</t>
  </si>
  <si>
    <t>Ember is high maintenance and cries until she gets food.</t>
  </si>
  <si>
    <t>Ember is popular but he finds her rude. Repeatedly, she had him open the door and then she immediately left again.</t>
  </si>
  <si>
    <t>Orion Wilde</t>
  </si>
  <si>
    <t>Ember tried to get his attention at the bar by ‘accidentally’ nudging his drink. He greeted her, but she ignored him and nudged the drink again. When he didn’t respond, she kept going until she pushed his drink off the bar into his lap.</t>
  </si>
  <si>
    <t>Bailey (Again)</t>
  </si>
  <si>
    <t>Ember *is like* Bailey, not Ember likes Bailey.</t>
  </si>
  <si>
    <t>Teknos mentions he has something he would like to show the party</t>
  </si>
  <si>
    <t>Teknos (And Ember)</t>
  </si>
  <si>
    <t>Teknos unpacks his new targeting wand (laser pointer) from a crate. Ember shows interest in the light and may even crawl into the crate lid. The party learns:
Ember used to be a cat
She left “presents” at the shop for Karmin
She plays there knocking things off shelves and sleeping on boxes
She doesn’t care about the charges against Evelyn
Teknos should remind the party about laser safety if he loans them the wand.</t>
  </si>
  <si>
    <t>Evelyn hasn't done anything to the Smirches’ shop.
Everything that’s happened - merchandise pushed off shelves, foul globs of hair on the floor, animal carcasses left by the door - is intended not to sabotage the shop’s business, but because visiting influencer Ember has been hanging out with Karmin Smirch.
And unbeknownst to World’s Edge, Ember used to be - and still essentially is - a cat.</t>
  </si>
  <si>
    <t>asdfadsf</t>
  </si>
  <si>
    <t>Jeff was serving lunch to Carmina/Michelle, who was in character in front of many participants. He responded to her imperious nature by whispering to her that she should "tone it down at lunch." Michelle (already struggling with being mean) found this hurtful although she said venting about it was enough. I find it boundary-crossing-AMV ... 4pm: talked to Jeff, he believed he was asking for space to serve participants, will clarify w Michelle, apologized and thanked me.-AMV</t>
  </si>
  <si>
    <t>Betsy Rosenblatt</t>
  </si>
  <si>
    <t>Investigating the charges against:  Aesthetika</t>
  </si>
  <si>
    <t>Companion:  Gloucester (Brian Neff)</t>
  </si>
  <si>
    <t>Keeper’s Saturday morning dream:  The vision shows the ghost key and will (hopefully) lead the party to Umberto (Shadow) Dunn.</t>
  </si>
  <si>
    <t>Riddle:  Miss Rosie seeing Roamers, rose-quartz orb among rocks under Misty Bridge</t>
  </si>
  <si>
    <t>Keeper’s Sunday morning dream:  Shows Frost painting and suggests the guilt he feels at what he’s being made to do.</t>
  </si>
  <si>
    <t>Honore Valerius</t>
  </si>
  <si>
    <t>Mentions Frost and that he’s not around</t>
  </si>
  <si>
    <t>Sylvie Valerius</t>
  </si>
  <si>
    <t>Kemma Runereader</t>
  </si>
  <si>
    <t>brimstone egg</t>
  </si>
  <si>
    <t>8am - 1pm</t>
  </si>
  <si>
    <t>revel’s cup</t>
  </si>
  <si>
    <t>8am - 3pm</t>
  </si>
  <si>
    <t>Lady Bordeaux has been in town for four months. She’s very demanding and good at manipulating people to get what she wants.</t>
  </si>
  <si>
    <t>8am - 12pm, 2 - 4pm</t>
  </si>
  <si>
    <t>ghost key</t>
  </si>
  <si>
    <t>Lady Bordeaux is demanding and rude.</t>
  </si>
  <si>
    <t>12 - 6pm</t>
  </si>
  <si>
    <t>spring tambourine</t>
  </si>
  <si>
    <t>Lady Bordeaux is very demanding and good at manipulating people to get what she wants.</t>
  </si>
  <si>
    <t>Bane</t>
  </si>
  <si>
    <t>8am - 12pm, 4 - 8pm</t>
  </si>
  <si>
    <t>devil’s-fire whiskey</t>
  </si>
  <si>
    <t>9am - 4pm</t>
  </si>
  <si>
    <t>viper’s-eye pendant</t>
  </si>
  <si>
    <t>Is dislikable and demanding.</t>
  </si>
  <si>
    <t>Kazmira</t>
  </si>
  <si>
    <t>8 - 10am, 2 - 8pm</t>
  </si>
  <si>
    <t>riddle leading to the rose quartz orb</t>
  </si>
  <si>
    <t>Nemaia turned Lady Bordeaux away. Aesthetika saw her (performative) distress and offered to work with her privately. Lady Bordeaux wasn’t willing to actually put in the work to become a good painter, so it didn’t work out.</t>
  </si>
  <si>
    <t>Mind of a Madman</t>
  </si>
  <si>
    <t>Nemaia turned Lady Bordeaux away. Aesthetika offered to work with her privately. Lady Bordeaux wasn’t willing to actually put in the work to become a good painter, so it didn’t work out.</t>
  </si>
  <si>
    <t>PEN: 9:30 Sunday</t>
  </si>
  <si>
    <t>shadow ward</t>
  </si>
  <si>
    <t>Nemaia</t>
  </si>
  <si>
    <t>Nemaia turned a client away. Aesthetika offered to work with them privately. Client wasn’t willing to actually put in the work to become a good painter, so it didn’t work out.</t>
  </si>
  <si>
    <t>St. Lorelei</t>
  </si>
  <si>
    <t>Frost asked her for a loan. She’s worried it’s for his family.</t>
  </si>
  <si>
    <t>Esmerelda</t>
  </si>
  <si>
    <t>Read Lady Bordeaux’s fortune. LB didn’t want to work at painting; just wanted to be a famous/successful painter. LB said Inspirations Unlimited is a scam, and working privately with Aesthetika was better.</t>
  </si>
  <si>
    <t>Lady Bordeaux has been in town for four months. She’s very demanding. She wants to be a famous artist; she’s Aesthetika’s client but doesn’t want to actually work at painting. Frost is an artist.</t>
  </si>
  <si>
    <t>Koreos</t>
  </si>
  <si>
    <t>People are claiming Aesthetika is stealing money and leaving artwork behind. A month ago, Ursula Smirch said Aesthetika stole 150 royals. Later, Koreos saw 150 royals in Aesthetika’s desk.</t>
  </si>
  <si>
    <t>People are claiming Aesthetika is stealing money and leaving artwork behind. A week ago, Elliott Peacock said 55 royals were missing from his trunk, and someone left him a portrait. Later, Melados saw 55 royals in Aesthetika’s desk.</t>
  </si>
  <si>
    <t>Aesthetika is stealing money and leaving artwork behind. Cal has seen piles of money on her desk.</t>
  </si>
  <si>
    <t>In July, someone left a painting in Aesthetika’s style, and 75 royals were missing. Assumed it was Aesthetika raising money, but Aesthetika said she didn’t do it.</t>
  </si>
  <si>
    <t>Irena Montalvo</t>
  </si>
  <si>
    <t>5 days ago, someone left her a painting. Later, realized 60 royals were missing.</t>
  </si>
  <si>
    <t>One month ago, someone left a painting and took 150 royals. Must have been Aesthetika.</t>
  </si>
  <si>
    <t>Elliot Peacock</t>
  </si>
  <si>
    <t>One week ago, someone left a painting and took 55 royals.</t>
  </si>
  <si>
    <t>Someone left her a painting. She’s not sure if they took money.</t>
  </si>
  <si>
    <t>A week or two ago, someone left her a painting and took 100 royals. Aesthetika said she didn’t do it.</t>
  </si>
  <si>
    <t>63 days ago, someone left him a painting and took 50 royals. It looks like Aesthetika’s style.</t>
  </si>
  <si>
    <t>Jpeg</t>
  </si>
  <si>
    <t>The paintings were done with many colors of shimmer paints. Aesthetika has made paints like these, but only in a couple of colors. These paints are expensive. Also, Jpeg didn’t make these paintings.</t>
  </si>
  <si>
    <t>She didn’t create the paintings or take money from anyone. Money has been appearing in her desk, but she doesn’t know where it’s from. She made only a couple of colors of shimmer paint.</t>
  </si>
  <si>
    <t>Aesthetika / Carmina Bordeaux</t>
  </si>
  <si>
    <t>[Answer only the exact question they ask]</t>
  </si>
  <si>
    <t>This vision shows Frost painting and suggests the guilt he feels at what he’s being made to do.</t>
  </si>
  <si>
    <t>Pansy stays with party to assist Frost’s scene as needed.</t>
  </si>
  <si>
    <t>Frost</t>
  </si>
  <si>
    <t>Lady Bordeaux has been instructing him to paint portraits in Aesthetika’s style, deliver them, and take payments, all in secret.
Not his place to question orders. She gifted him fancy paints, so unethical for him to not help her.
He realized this makes Aesthetika look bad; has been using his own money to pay her back.</t>
  </si>
  <si>
    <t>Aesthetika didn’t create the paintings or steal the money; Frost did.
All of this was done under the direction/manipulation of Carmina Bordeaux, who’s seeking to frame Aesthetika as revenge for failing to make Carmina a successful artist.
The money that’s mysteriously shown up amongst Aesthetika’s belongings was left there by Frost, who’s trying to right the wrong he’s doing.</t>
  </si>
  <si>
    <t>KEER</t>
  </si>
  <si>
    <t>Investigating the charge against:  Dorito</t>
  </si>
  <si>
    <t>Companion:  Keifer (Bob Marriott)</t>
  </si>
  <si>
    <t>Keeper’s Saturday morning dream:  Shows the Fortune’s Wheel Pendant and will (hopefully!) lead the party to Brimstone</t>
  </si>
  <si>
    <t>Riddle: "Ewe Whose Eke" riddle; in lake at end of path in Shrine of AllSeasons (Sphere of Earth)</t>
  </si>
  <si>
    <t>Keeper’s Sunday morning dream:  Shows Bane with all the words he cannot (in his undercover guise) write and Dorito with all the words she cannot (because of her dyslexia) read.</t>
  </si>
  <si>
    <t>Cultists’ timeline/history, Great Tumult didn’t happen; no one can remember anything from Thursday night.</t>
  </si>
  <si>
    <t>Elly Peacock</t>
  </si>
  <si>
    <t>Dorito likes/has crush on Bane and also has a hard time reading. Party should like Dorito. 
Short answers. Yes, she killed Merriweather; he pissed her off. She knifed him, buried the body, doesn’t remember where. He asked dumb questions.</t>
  </si>
  <si>
    <t>Shaun Peacock</t>
  </si>
  <si>
    <t>“Who are you?!” at first, then friendly. Bane cares for Dorito and sees and values her special kind of intelligence</t>
  </si>
  <si>
    <t>ring set w/ glimmergem</t>
  </si>
  <si>
    <t>Bane needs but does not wear glasses.</t>
  </si>
  <si>
    <t>Al Bishop</t>
  </si>
  <si>
    <t>12-6pm</t>
  </si>
  <si>
    <t>Dorito has a reading disability, but is perceptive and smart in other ways.</t>
  </si>
  <si>
    <t>perfect sphere of air bubble necklace</t>
  </si>
  <si>
    <t>Dorito’s intelligence at reading people is valid and appreciated even if it’s not “book-smarts”</t>
  </si>
  <si>
    <t>9am-3pm</t>
  </si>
  <si>
    <t>perfect sphere of fire candle</t>
  </si>
  <si>
    <t>perfect sphere of water bottle</t>
  </si>
  <si>
    <t>10am-1pm, 4-8pm</t>
  </si>
  <si>
    <t>nightstone ring</t>
  </si>
  <si>
    <t>8am-2pm, 5-8pm</t>
  </si>
  <si>
    <t>fortune’s wheel pendant</t>
  </si>
  <si>
    <t>8-10am, 12-6pm</t>
  </si>
  <si>
    <t>riddle leading to perfect sphere of earth</t>
  </si>
  <si>
    <t>Date, time and details of Dr. Merriweather’s missed lecture (last Sunday @ 3)</t>
  </si>
  <si>
    <t>9:30am Sunday</t>
  </si>
  <si>
    <t>horn of summoning</t>
  </si>
  <si>
    <t>Knights of the Golden Circle</t>
  </si>
  <si>
    <t>pendants and bracers</t>
  </si>
  <si>
    <t>Riddle item found?</t>
  </si>
  <si>
    <t>Ouija board spelled out half of Daniel Merriweather’s given name. Shows board, which has lowercase letters. Dorito admitted to killing the professor.</t>
  </si>
  <si>
    <t>Bane was out of the compound a bunch on Sunday &amp; Dorito thought he was acting weird.</t>
  </si>
  <si>
    <t>Bane was far away from the camp on Sunday, and was agitated about the day’s events.</t>
  </si>
  <si>
    <t>Last Monday Lenora was using her Ouija board to contact the professor’s spirit, when Dorito started shouting that she had killed him.</t>
  </si>
  <si>
    <t>Lenora tried to contact Daniel Merriweather’s spirit on Monday in the tavern w/ her Ouija board and as the planchette began to spell out D-A-N, Dorito jumped up and admitted to killing the professor.</t>
  </si>
  <si>
    <t>Need 2
(maybe 1 really good one)</t>
  </si>
  <si>
    <t>Bailey found a box in the woods with a tweed jacket w/ blood on it, glasses, 400 royals, and Professor Merriweather’s book w/ initials LB. Box smells like Dorito and Bane.
Nobody else’s scent is on the box.</t>
  </si>
  <si>
    <t>This vision shows Bane with all the words he cannot (in his undercover guise) write and Dorito with all the words she cannot (because of her dyslexia) read.</t>
  </si>
  <si>
    <t>Ouija board told her last night “Daniel Merriweather is not dead.”</t>
  </si>
  <si>
    <t>Daniel Merriweather</t>
  </si>
  <si>
    <t>He’s late to meet a colleague, Lewis Bainbridge, and prepare for his 3pm lecture in the tavern.
He is Professor Daniel Merriweather. He doesn’t know Dorito.
Oh gods, he got the dates mixed up! Please tell Lewis Bainbridge, the anthropologist, that he’s sorry. He’s a large chap with full black beard and glasses.</t>
  </si>
  <si>
    <t>Dorito (Be Visible)</t>
  </si>
  <si>
    <t>Dorito didn’t kill Merriweather
Bane is Lewis Bainbridge, the anthropologist
Dorito thought Bane killed Merriweather because he was acting weird last Sunday, she saw him with stuff that seemed to belong to the professor, Lenora’s Ouija board was spelling out Bane.
Dorito is in love with Bane and was prepared to take the fall for him 
Once she realizes that Bane is an anthropologist, she feels stupid. How could someone so smart actually care about her? She is humiliated and will continue to claim that she killed Merriweather. Party should build her up and tell her how smart she is.</t>
  </si>
  <si>
    <t>• Dorito didn’t kill Professor Daniel Merriweather - the party knows this because they met him this morning - but she thinks Bane did, so she confessed to protect Bane, with whom she’s in love. 
• Dorito thinks this because she saw Bane accessing a hidden box of academic items, and because Lenora Graves’ Ouija board began spelling “d - a - n”, which dyslexic Dorito thought was the Professor’s ghost accusing Bane. 
• Bane is actually an undercover anthropologist named Lewis Bainbridge, which is why he has a hidden tweed jacket, glasses, and a copy of his colleague’s book, and he’s smart enough to love Dorito back.</t>
  </si>
  <si>
    <t>NOCTARA</t>
  </si>
  <si>
    <t>Investigating the charge against:  Kerrick Dealbinder</t>
  </si>
  <si>
    <t>Companion:  Nadia (Sherry Rinell)</t>
  </si>
  <si>
    <t>Keeper’s Saturday morning dream:  Vision shows the Jester’s egg and will lead to Bailey</t>
  </si>
  <si>
    <t>Riddle: three sisters riddle; buried in center of three triangle stones in Shadownook (amethyst obelisk)</t>
  </si>
  <si>
    <t>Keeper’s Sunday morning dream:  Shows Karla Smirch, the coddled kitten with saber teeth, and what she will do to protect “her” crown.</t>
  </si>
  <si>
    <t>Kullis Toolforger</t>
  </si>
  <si>
    <t>Tanya Peacock complained to her that her mail-order tiara was said to have been delivered, but was not. Then the Makai arrived and Kerrick Dealbinder came into the Tavern wearing it, claiming he’d found it in a box in the woods.</t>
  </si>
  <si>
    <t>Tanya Peacock’s mail-order tiara was said to have been delivered, but was not. Then the Makai arrived on Fri and Kerrick Dealbinder came into the Tavern wearing it, claiming he’d found it in a box in the woods.</t>
  </si>
  <si>
    <t>Santiago West Valerius</t>
  </si>
  <si>
    <t>Copperstone crown</t>
  </si>
  <si>
    <t>Tanya Peacock’s mail-order tiara was said to have been delivered, but was not. Then the Makai arrived on Fri and one of them came into the Tavern wearing it.</t>
  </si>
  <si>
    <t>Tanya Peacock’s mail-order tiara was said to have been delivered, but was not. Then the Makai arrived on Fri and “Something Something Dealbinder” came into the Tavern wearing it, claiming that it’s his.</t>
  </si>
  <si>
    <t>Riddle leading to amethyst obelisk</t>
  </si>
  <si>
    <t>Dealbinder is a good and kind person but his story of finding the tiara in a box in the woods sounds fake.</t>
  </si>
  <si>
    <t>mortality dust</t>
  </si>
  <si>
    <t>Dealbinder is a good and honest man, but his story of finding the tiara in a box in the woods sounds unlikely.</t>
  </si>
  <si>
    <t>heart of darkness</t>
  </si>
  <si>
    <t>Dealbinder's story of finding the tiara in a box in the woods sounds unlikely.</t>
  </si>
  <si>
    <t>jester’s egg</t>
  </si>
  <si>
    <t>Dealbinder's story of finding the tiara in a box in the woods sounds untrue.</t>
  </si>
  <si>
    <t>emerald star</t>
  </si>
  <si>
    <t>He has found boot prints outside the clearing multiple times since the Makai’s arrival. There are always two distinctly different sets of prints. He has set multiple snares which will rain down stones or branches on anyone approaching the clearing but not on the path. Why would anybody be watching the Makai?</t>
  </si>
  <si>
    <t>aventurine shards</t>
  </si>
  <si>
    <t>Three times now she’s pulled the same runes from her bag: dragon, jewel, and dragon again, which is unusual. Dragon often signifies danger or a threat of some sort.</t>
  </si>
  <si>
    <t>Limelight</t>
  </si>
  <si>
    <t>Kazim Firestarter</t>
  </si>
  <si>
    <t>Twice last night he awoke to realistic dreams that someone snuck into the encampment.</t>
  </si>
  <si>
    <t>Sunday 9:15am</t>
  </si>
  <si>
    <t>azure riverstone</t>
  </si>
  <si>
    <t>Jack Johnson doesn’t really act like a talent scout - in that he’s not a total sleezeball. Who is Jack really?</t>
  </si>
  <si>
    <t>Sunday 9:30am</t>
  </si>
  <si>
    <t>Crystal Chalice</t>
  </si>
  <si>
    <t>Jack Johnson doesn’t really act like a talent scout - in that he’s not a total sleezeball</t>
  </si>
  <si>
    <t>Jack Johnson is an inefficient talent scout. Why is he listening to the Peacocks’ songs and stories?</t>
  </si>
  <si>
    <t>Light believes he has met Johnson somewhere before, although Johnson denies it</t>
  </si>
  <si>
    <t>Doesn’t need to approach the party, but if possible should goof up his alias. Jack and Shadow can coordinate a scene where Jack is near the party and departs rapidly when Shadow approaches.</t>
  </si>
  <si>
    <t>Gushes about her perfect princess and refers to Karla as Fang, her childhood nickname because she was a biter.</t>
  </si>
  <si>
    <t>Karla is very dumb, and spoiled by Ursula as her little princess.</t>
  </si>
  <si>
    <t>Karla is so unintelligent that she couldn’t find her way home despite it being pointed out right in front of her.</t>
  </si>
  <si>
    <t>Ursula was trying to get a tattoo of Karla on her back, and Kara is so dumb she didn’t understand that she’d be able to see it herself without a mirror.</t>
  </si>
  <si>
    <t>Light has been telling him for days about Jack Johnson, whom Light was certain he knew from somewhere. Shadow identified a man who was leaving the tavern as Ethan Frank, a guard at the palace in Dolorón. Someone in the Tavern said this man was Jack Johnson, but it was dark and Shadow can’t be sure he was ID’d correctly. What would a guard from the palace be doing here? Ethan is a good guy, but a minimally competent guard with bad eyesight. Is there someone else in the world who looks just like him?</t>
  </si>
  <si>
    <t>This vision shows Karla Smirch, the coddled kitten with saber teeth, and shows what she will do to protect “her” crown.</t>
  </si>
  <si>
    <t>Asks party to go with her to confront Kerrick.</t>
  </si>
  <si>
    <t>He has captured an intruder who’s currently trapped inside a very large cloth sack (Jack Johnson).</t>
  </si>
  <si>
    <t>• “Jack Johnson” is really Ethan Frank, a palace guard in Dolorón, a job he hates (and is terrible at.)
• The crown Dealbinder has isn’t Tanya’s missing tiara. It’s part of the crown jewels of Lyria, and was stolen on Ethan’s watch. He’s trying to return it before anyone else at the palace learns it’s missing. 
• The crown was stolen by thieves called the Gilt Crew. Ethan was able to track some of them down. He knows there is a mastermind behind this heist, but not who.
• He hadn’t been able to locate it until Dealbinder walked into the tavern wearing it. 
• He has been trying to steal the crown back from Dealbinder for the past several days.
• He has a note sent to one of the members of the Gilt Crew by the person who masterminded the heist.</t>
  </si>
  <si>
    <t>He heard Karla talking in her sleep about needing the crown and is trying to buy it from Dealbinder.
Has no idea that Karla is the mastermind behind this heist but can refer to her as Fang once. If party tells him about her involvement, he is proud but surprised.</t>
  </si>
  <si>
    <t>Kps (Kingdom Parcel Service) Guy</t>
  </si>
  <si>
    <t>Arrives and announces he has a delivery for Tanya Peacock. Sorry he’s running late! Package contains the tiara she ordered.</t>
  </si>
  <si>
    <t>Hired Wolven Hit Squad</t>
  </si>
  <si>
    <t>One of them has a note signed with a sabertooth symbol stating they were paid to retrieve the crown and to kill anyone who got in the way, plus the time and place where they were to retrieve it and get the other half of their payment.
If the party captures and/or magically questions any member of the hit squad, they reveal they were paid 800 royals down with the promise of 800 more upon completion. They don’t know who hired them. Their “drop spot” is a random spot far out in the woods.</t>
  </si>
  <si>
    <t>• The crown Kerrick Dealbinder found isn’t Tanya Peacock’s, which is merely delayed in shipping, but rather is actually the crown jewels of Lyria, worth a lot more than 8 royals.
• It was stolen from the royal vault in Dolorón by a ring of thieves helmed by mastermind Karla Smirch, who hid it in the woods to keep her family from finding it.
• The man World’s Edge knows as Jack Johnson is actually an inept palace guard who’s trying to recover this valuable item before anyone there learns it’s missing.</t>
  </si>
  <si>
    <t>P'LOA</t>
  </si>
  <si>
    <t>Investigating the charge against:  Solomon Stillwater</t>
  </si>
  <si>
    <t>Companion:  Polo (Amos Meeks)</t>
  </si>
  <si>
    <t>Keeper’s Saturday morning dream: Woman in darkness and light with a stone that fragments. Diamond shards lead to Nix</t>
  </si>
  <si>
    <t>Riddle: stone bench riddle; buried in ground at foot of stone bench on Little Bow near the intersection with Rhone Trail</t>
  </si>
  <si>
    <t>Keeper’s Sunday morning dream:  Suggests that Cal (the fox) and Scarlet (the snake) are working together, albeit only temporarily, and also hints at the treasure hidden beneath the tavern floorboards.</t>
  </si>
  <si>
    <t>Just received a letter about pirate attack in Keer by Jack Brigham that left one of Sprinks’ homes completely destroyed</t>
  </si>
  <si>
    <t>Feels sorry for Sprinks house being burned by Jack Brigham. Pirate attack occurred while Solomon was also in Keer.</t>
  </si>
  <si>
    <t>Heard about one of Sprinks’ homes being burned by Jack Brigham. Some people are saying Solomon is actually Jack; he said they were crazy, but isn’t it a weirdly big coincidence?</t>
  </si>
  <si>
    <t>leatherleaf herb</t>
  </si>
  <si>
    <t>Ned Crotchett</t>
  </si>
  <si>
    <t>Cedarwood box is one of many presents left behind from Scarlett’s mystery boyfriend who she was secretive about.</t>
  </si>
  <si>
    <t>Scarlet owned the tavern for at least 4yrs, before Solomon &amp; Bonnie bought it, and was a real piece of work. She was originally from Windsor-by-the-Bay in Keer, and has now repeatedly written to buy back the tavern for a large sum, but Solomon &amp; Bonnie have refused.</t>
  </si>
  <si>
    <t>black diamond shards</t>
  </si>
  <si>
    <t>Scarlet owned the tavern for 5yrs, before Solomon &amp; Bonnie bought it, and was a very volatile person. Maybe that’s because she missed her mystery rich/powerful boyfriend? She has now repeatedly written to buy back the tavern, but Solomon &amp; Bonnie refused.</t>
  </si>
  <si>
    <t>ashes of lightning-struck oak</t>
  </si>
  <si>
    <t>Scarlet was the previous tavern owner and was very unpleasant (but made good food). She has now written multiple angry letters to buy back the tavern for a large sum, but Solomon &amp; Bonnie have refused.</t>
  </si>
  <si>
    <t>8-10am, 12noon-6pm</t>
  </si>
  <si>
    <t>seekingstone</t>
  </si>
  <si>
    <t>Solomon Stillwater</t>
  </si>
  <si>
    <t>Got a surprising letter in the mail 2 weeks ago from Windsor-by-the-Bay in Keer stating Solomon’s father was dying. Solomon asked JPeg to sketch a picture of him to put on the bar so everyone would behave while he was gone. Solomon went to Keer and found his father to be not dying at all and not happy to see him, and no one he talked to there admitted to writing the letter.</t>
  </si>
  <si>
    <t>12noon-6pm</t>
  </si>
  <si>
    <t>fluorite crystal</t>
  </si>
  <si>
    <t>Solomon was away recently and returned on Friday after getting a letter from Keer saying his father was dying. He also had a sketch of him pinned to the bar so everyone would behave while he was gone. When Solomon got to Keer, his father was fine and no one knew who sent the letter or why. Solomon doesn’t know what this is all about.</t>
  </si>
  <si>
    <t>11am-3pm</t>
  </si>
  <si>
    <t>tortoiseshell comb</t>
  </si>
  <si>
    <t xml:space="preserve">Al Bishop
</t>
  </si>
  <si>
    <t>Solomon was away recently and returned on Friday after getting a letter from Windsor-by-the-Bay in Keer where he’s from, saying his father was dying. He also had a sketch of him pinned to the bar so everyone would behave while he was gone. When Solomon got to Keer, his father was fine and no one knew who sent the letter or why.</t>
  </si>
  <si>
    <t>8am-12noon</t>
  </si>
  <si>
    <t>riddle leading to the shimmerstone orb</t>
  </si>
  <si>
    <t>Solomon had to recently take a trip to Keer, where he’s from. He joked that he should have a fierce portrait drawn to pin to the bar so everyone would behave. JPeg drew it, but he may have made it look too menacing. While Solomon was away, on 2 separate days strangers came into the tavern and said it looks like Jack Brigham.</t>
  </si>
  <si>
    <t>favor from the Court</t>
  </si>
  <si>
    <t>Solomon recently took a trip to Keer, where he’s from. Before he left, he had a sketch of himself pinned to the bar so everyone would behave. About a week ago, a man Katherine didn’t recognize came in and said “Why have you got a picture of Jack Brigham?” A few days later, a different unknown man came in and said the same.</t>
  </si>
  <si>
    <t>10:15am Sunday</t>
  </si>
  <si>
    <t>cedarwood box</t>
  </si>
  <si>
    <t>Solomon recently took a trip to Keer, where he’s from. Before he left, he had a sketch of himself pinned to the bar so everyone would behave. A few days after Solomon left, a guy Bane didn’t recognize came in and said, “That’s Scurvy Jack Brigham!” A few nights later, another unknown man said the same thing.</t>
  </si>
  <si>
    <t>Elani Edgewater</t>
  </si>
  <si>
    <t>10:30am Sunday</t>
  </si>
  <si>
    <t>Jewel of the Waves</t>
  </si>
  <si>
    <t>Solomon recently had to be away for a couple weeks, and he’d hung a picture of himself so everyone would behave. A few days after Solomon left, a guy Tanya didn’t recognize came in and said, “That’s Scurvy Jack Brigham!” A couple nights later, a different stranger came in and said the same thing. How exciting that Solomon is secretly the famous pirate Jack Brigham!</t>
  </si>
  <si>
    <t>Early this week, Pansy found the Dawn Star in a tavern dish towel drawer, after someone knocked over the big water jug on a busy afternoon. It’s very recognizable, and was acquired by Jack Brigham.</t>
  </si>
  <si>
    <t>Early this week, the Dawn Star pendant which belonged to Jack Brigham was found in a dish towel drawer, after someone knocked over the big water jug on a busy afternoon.</t>
  </si>
  <si>
    <t>Solomon was visiting his father in Keer early this week, and a customer knocked over the big water jug during lunch. She grabbed towels from the drawer behind the bar and found a gold pendant with a big opal in the middle, and pink gems set all around it. Someone said “That looks like the Dawn Star!” which belonged to Jack Brigham. Bonnie didn’t seem worried and put on the pendant.</t>
  </si>
  <si>
    <t>Cal Coleman came to town two weeks ago wanting to buy the tavern. Then Solomon got the letter about his father being ill and traveled to Windsor-by-the-Bay in Keer, and while he was away they found the pendant (that she’s now wearing) in a drawer . Some people thought it belonged to Jack Brigham, but that’s not possible. Cal Coleman came again several days ago trying to buy the tavern for an even greater sum.</t>
  </si>
  <si>
    <t>Cal Coleman only came to town 2 weeks ago but made an offer on the tavern almost immediately. It didn’t used to be this nice back when Scarlet owned it, and she’s since made offers to buy it back also. Just a few days ago when Solomon was away, Cal made another offer but was turned down.</t>
  </si>
  <si>
    <t>Cal Coleman came to town 2 weeks ago and made an offer on the tavern. A few days ago when Solomon was away, Cal made another offer.</t>
  </si>
  <si>
    <t>Kable Worldwatcher</t>
  </si>
  <si>
    <t>He’s heard rumors about Solomon being Jack Brigham. He was in the tavern on Friday after Solomon just returned from a trip, and noticed the JB tattoo on Solomon’s forearm. Solomon said those were the initials of a former girlfriend.</t>
  </si>
  <si>
    <t>The JB tattoo on Solomon’s forearm are the initials of his former girlfriend JuneBug, but over the last 9 days people have been saying it stands for Jack Brigham.</t>
  </si>
  <si>
    <t>The JB tattoo on Solomon’s forearm are the initials of his former girlfriend JuneBug, but recently some people have been saying it’s a reference to Jack Brigham.</t>
  </si>
  <si>
    <t>She is somewhat concerned about the rumors about Solomon being Jack Brigham, not because she believes them, but she doesn’t like anything negative being said about her husband.</t>
  </si>
  <si>
    <t>He finds the whole thing ridiculous and a little amusing. He can answer any questions the party has.</t>
  </si>
  <si>
    <t>He’s hoping Solomon is actually Jack Brigham! He'd assumed Jack had died because there hadn’t been any mention of him for two years. But him being incognito in town makes sense!</t>
  </si>
  <si>
    <t>Solomon is a good and friendly man, but has a different side that’s tough and powerful per being a former ship’s captain.</t>
  </si>
  <si>
    <t>He should be sure to meet this party. There’s no specific information to convey, but he should be amoral and predatory. Interact with the party a second time. There’s no specific information to convey, but he should be amoral and predatory.</t>
  </si>
  <si>
    <t>Scarlet Billows</t>
  </si>
  <si>
    <t>She should meet this party and show her unpleasant personality. Tells the party (or others where they can overhear) she has a boyfriend who’s very rich and powerful, but won’t divulge his identity.</t>
  </si>
  <si>
    <t>T-Bone And Jersey Pete</t>
  </si>
  <si>
    <t>A week ago, Pete was paid 75 royals by an unfamiliar man to come into the tavern and say he recognized the drawing hanging on the bar as Jack Brigham. Two days later. T-Bone was hired by the same man to do the same. They haven’t been able to find the unfamiliar gentleman again, but recognized the man behind the bar in the tavern as the one in the drawing.</t>
  </si>
  <si>
    <t>He’s just seen the letter that Madame Sprink received There are inconsistencies: the letter says the stables were set on fire, but the Sprinks’ home in Concordia has no stables. The letter says the attack ranged throughout Concordia and Vigilton, but they’re 300 miles apart. The letter says the valley is quiet, but Concordia sits on a hill. The letter is correctly spelled and punctuated, and none of the Sprinks servants could do that.</t>
  </si>
  <si>
    <t>This vision suggests that Cal (the fox) and Scarlet (the snake) are working together, albeit only temporarily, and also hints at the treasure hidden beneath the tavern floorboards.</t>
  </si>
  <si>
    <t>Ned picks up the box which jerks suddenly in his hands and leads them toward Hillcrest. Ned frets aloud what could be causing this behavior. If it occurs to the party that the one other component present is the box itself, great. If they seem bewildered, Ned says it belongs to Bonnie and Solomon and previously belonged to Scarlet, who claimed it was a present from her rich boyfriend. Maybe it’s summoning him?</t>
  </si>
  <si>
    <t>Jack Brigham And Scarlet Billows</t>
  </si>
  <si>
    <t>• Solomon isn’t Jack Brigham. 
• There’s pirate gold buried under the tavern floor, hidden there by Jack while he and Scarlet were lovers. Scarlet only learned about the gold after selling the tavern. 
• Now Scarlet and her current boyfriend Cal are trying to buy the tavern back. 
• Since buying the tavern will be easier and cheaper if Solomon is locked up, Cal is using lies and subterfuge to make it appear that Solomon is Jack.</t>
  </si>
  <si>
    <t>• Cal Coleman and his (now very ex-)girlfriend Scarlet Billows tried to make it look like Solomon is secretly the famous pirate Jack Brigham because they hope Solomon’s arrest will allow them to buy the tavern. 
• Cal and Scarlet want the tavern because there’s a fortune in pirate gold underneath it, buried there by the real Jack Brigham, another of Scarlet’s exes. 
• Solomon cannot possibly be Jack Brigham because the real Jack Brigham is right here.</t>
  </si>
  <si>
    <t>SYTHWAN</t>
  </si>
  <si>
    <t>Investigating the charge against:  Huxley &amp; Quinoa</t>
  </si>
  <si>
    <t>Companion:  Silla (Lori Nadig)</t>
  </si>
  <si>
    <t>Keeper’s Saturday morning dream:  Shows moonstone shards and leads to Orion Wilde</t>
  </si>
  <si>
    <t>Riddle:  "Wood Brothers" riddle; attached to underside of the Peaceful Crossing bridge, riddlestone ring</t>
  </si>
  <si>
    <t>Keeper’s Sunday morning dream:  Shows the party from Sythwan looking through a mirror at Huxley and Quinoa and suggests that they are all adventurers of a certain kind.</t>
  </si>
  <si>
    <t>IMPORTANT, and DO EARLY!
Gives Huxley’s backstory BEFORE H&amp;Q are suspected of a crime.</t>
  </si>
  <si>
    <t>Samuelson hung a “Huxley” banner in the tavern. Huxley was inarticulate and was barely able to give his own name.</t>
  </si>
  <si>
    <t>Bartleby hung a big Huxley banner in the tavern. When Quinoa heard the bar was short-staffed, she and Huxley immediately jumped in and started working.</t>
  </si>
  <si>
    <t>celadon egg</t>
  </si>
  <si>
    <t>“Young Huxley”, the Elsewhich baron’s son, is actually pretty old, and has a very lost look.</t>
  </si>
  <si>
    <t>Does the party know where Huxley could find a limelight? He’s surprised he hasn’t encountered his Companion by now.</t>
  </si>
  <si>
    <t>cloudite ring</t>
  </si>
  <si>
    <t>Does the party know where Quinoa could find a favor from the Court of Mirrors? She’s surprised she hasn’t encountered her Companion yet.</t>
  </si>
  <si>
    <t>11am-4pm</t>
  </si>
  <si>
    <t>ashes from ancient fire</t>
  </si>
  <si>
    <t>Quinoa traveled from Elsewhich and has beautiful tattoos and colorful clothing, so Valentina guessed she must be from Stonefall Clan, and Quinoa agreed that she was.</t>
  </si>
  <si>
    <t>Ursula Smith</t>
  </si>
  <si>
    <t>12pm-8pm</t>
  </si>
  <si>
    <t>filigree’d mule pendant</t>
  </si>
  <si>
    <t>riddle to riddlestone ring</t>
  </si>
  <si>
    <t>Quinoa traveled from Elsewhich and has beautiful tattoos and colorful clothing, so Valentina guessed she must be from Stonefall Clan, and Quinoa agreed that she was.
Huxley, who seems lost, said, “I am from Center City!” which Kazmira thinks sounds totally fake.</t>
  </si>
  <si>
    <t>moonstone shards</t>
  </si>
  <si>
    <t>Lenora met Huxley 6-7 years ago, and he was 6’4”. It doesn’t seem like this is actually Percy Huxley.</t>
  </si>
  <si>
    <t>8-10am, 12-3pm, 5-8pm</t>
  </si>
  <si>
    <t>eternity pendant</t>
  </si>
  <si>
    <t>[Party Path Item] H&amp;Q needed some specific herbs, and Woundtender was able to provide them. Making “kombucha” sounds awful, but glad she could help.</t>
  </si>
  <si>
    <t>[Party Path Item] Huxley was looking for an enchanted band to count his steps, which Evelyn happened to have, and was happy to give to Huxley.</t>
  </si>
  <si>
    <t>Sunday 10am</t>
  </si>
  <si>
    <t>bejeweled chalice</t>
  </si>
  <si>
    <t>[Party Path Item] H&amp;Q needed a very specific, and very gross, recipe created. Kulinos thinks the slime is disgusting, but glad he could make it for them.</t>
  </si>
  <si>
    <t>Ghost of Jon Golden</t>
  </si>
  <si>
    <t>Sunday 10:15am</t>
  </si>
  <si>
    <t>ghostly chorus</t>
  </si>
  <si>
    <t>[Party Path Item] Quinoa was looking for a very specific (huge, insulated) cup, and asked Teknos to make one for her. She wrote “Stanley” on her cup, which is weird, and seems satisfied with it.</t>
  </si>
  <si>
    <t>Riddle Item Found?</t>
  </si>
  <si>
    <t>[Party Path Item] H&amp;Q had some strange-looking coins, and asked Bailey to bite it for them. Weird, but Baily is happy to help and it seemed important to them.</t>
  </si>
  <si>
    <t>[Party Path Item] H&amp;Q asked Diesel about learning some strange (dingdong?) dance. Diesel taught them his favorite dance move.
 (1000% required that he show the party this dance!)</t>
  </si>
  <si>
    <t>[Party Path Item] Quinoa was looking for special yo-gah pants that the store happened to carry. Q is Lord Huxley’s girlfriend, so Phineas was pleased to make a gift of the pants.</t>
  </si>
  <si>
    <t>[Party Path Item] Quinoa was looking for very specific boots. Carmina knows that Q may soon be related to influential Baron Huxley, so she was happy to gift the boots to her.</t>
  </si>
  <si>
    <t>[Party Path Item] Huxley was asking about a small spinning device. Vernon’s is expensive and irreplaceable, but perhaps his giving it to H will someday get Vernon invited to the influential Baron’s home!</t>
  </si>
  <si>
    <t>H&amp;Q are actually thieves who have stolen the identities of reputable citizens!</t>
  </si>
  <si>
    <t>Huxley And/Or Quinoa</t>
  </si>
  <si>
    <t>Generally: “This is all turning out to be much more elaborate than expected!”
Are you really Lord Huxley? “Yeah, I’m Huxley.”
Are you really Lord Percy Huxley, son of Baron Alfred Huxley? “&lt;to self&gt;I guess this is all part of it … Yeah, sure, that’s who I am.”</t>
  </si>
  <si>
    <t>H&amp;Q are supposed to be working the tavern, but neither of them has shown up!</t>
  </si>
  <si>
    <t>Received a letter from Percy Huxley saying he will be there Sunday evening – so H&amp;Q are frauds and should be locked up!</t>
  </si>
  <si>
    <t>Shows the party from Sythwan looking through a mirror at Huxley and Quinoa and suggests that they are all adventurers of a certain kind.</t>
  </si>
  <si>
    <t>Anotherworld Adventure Weekend Party</t>
  </si>
  <si>
    <t>Looking for their Server and Tender, who have been missing for two days</t>
  </si>
  <si>
    <t>• Huxley and Quinoa weren’t trying to steal anyone’s identity. 
• They’re not crooks; they’re participants at an Anotherworld Adventure Weekend. 
• The rest of their partymates have finally found them, and their poor Companion has been worried sick.</t>
  </si>
  <si>
    <t>URI-KESH</t>
  </si>
  <si>
    <t>Investigating the charge against:  Eugenie Bright</t>
  </si>
  <si>
    <t>Companion:  Urving (Bill Sabram)</t>
  </si>
  <si>
    <t>Keeper’s Saturday morning dream:  shows the sterling silver heart box, and hopefully leads them to Obsidian.</t>
  </si>
  <si>
    <t>Riddle:  slightly different spot than it was! The riddle mentions walking away from Hillcrest toward Winterhill Clearing, pausing along the way in Greystone Clearing. NO LONGER HIDDEN IN SLICE; updated stanza references the “treasure at my feet”; the pendant is at the base of the tree, under some debris.</t>
  </si>
  <si>
    <t>Keeper’s Sunday morning dream:  Suggests the toxic rose fertilizer in the bottle of sherry and possibly also ties this to Edwin Davies.</t>
  </si>
  <si>
    <t>assigns charge 
- carries cane (dream trigger)
- Edwin tried to talk Eugine out of seance
- Edwin didn’t attend seance
- describes demon visits
- is hopefully a bit dislikeable Fri eve or now</t>
  </si>
  <si>
    <t>- Dora, Harold, Eugenie &amp; Edwin’s history: Dora was a great dancer. Her and her sister Eugenie were delightful and frugal with money. Harold and Edwin were stuck up and worried about what others thought.
- Dora started spending money in the past 1-2 years</t>
  </si>
  <si>
    <t>- Dora, Harold, Eugenie &amp; Edwin’s history
- Dora started spending money in the past 1-2 years</t>
  </si>
  <si>
    <t>- Dora’s history and character: treated everyone like a friend
- Dora started spending money in the past 1-2 years</t>
  </si>
  <si>
    <t>aquamarine looking-glass</t>
  </si>
  <si>
    <t>- Dora &amp; Edwin’s history and characters
- Dora started spending money in the past 1-2 years</t>
  </si>
  <si>
    <t>riddle leading to silver shield pendant</t>
  </si>
  <si>
    <t>- Dora &amp; Edwins history and characters: Edwin never helped Dora with anything. A waste of space. Dora was full of joy and life.
- Dora has no sense of smell (couldn’t detect poison)</t>
  </si>
  <si>
    <t xml:space="preserve">Poppy Golden </t>
  </si>
  <si>
    <t>- Dora no sense of smell (couldn’t detect poison)</t>
  </si>
  <si>
    <t>gilded conchshell</t>
  </si>
  <si>
    <t>-Euginie feels guilty about the demon
-Wears bright clothing as a way to honor fun with Dora
-Edwin tried to talk Eugine out of seance
-Edwin didn’t attend seance
-Eugenie thinks Edwin is an upstanding person
-Euginie assembled Dora’s wayshrine (not Edwin)</t>
  </si>
  <si>
    <t>10am-1pm, 3-8pm</t>
  </si>
  <si>
    <t>love potion in a fancy bottle</t>
  </si>
  <si>
    <t>-Floria made fertilizer that was very toxic and smelled strongly of roses for Dora (Edwin uses it as poison. Dora had no sense of smell and couldn’t detect poison.)</t>
  </si>
  <si>
    <t>pendant set with a fire gem</t>
  </si>
  <si>
    <t>-Edwin’s character (wants to berate Nix but won't because she is noble; cares too much about what others think)</t>
  </si>
  <si>
    <t>sterling silver heart box</t>
  </si>
  <si>
    <t>-Edwin’s character (impossible to please, belittles Pansy)</t>
  </si>
  <si>
    <t>cryptstone brandy cork</t>
  </si>
  <si>
    <t>- Edwin’s character (assumes Makai are idiots)</t>
  </si>
  <si>
    <t>the Court of Mirrors</t>
  </si>
  <si>
    <t>favor from the Court of Mirrors</t>
  </si>
  <si>
    <t>-Edwin’s character (disappointed band has permits and aren’t violating any laws)</t>
  </si>
  <si>
    <t>callibogus rum</t>
  </si>
  <si>
    <t>- someone in the tavern asked about demons
- Told folks demons are drawn to anger
- They are tall &amp; green, and appear with a puff of putrid smoke.
- He does NOT remember who was in the tavern at the time he was describing demons (this is how Edwin learned about demons.)</t>
  </si>
  <si>
    <t>WAYLON</t>
  </si>
  <si>
    <t>Esmeralda (and Genie)</t>
  </si>
  <si>
    <t>10:30 Sunday</t>
  </si>
  <si>
    <t>use of lamp / Genie</t>
  </si>
  <si>
    <t>– most accurate description of the seance
- tall green creature, puff of smoke, left after someone told everyone to think happy thoughts</t>
  </si>
  <si>
    <t>Investigating the charge against: Milton Peacock</t>
  </si>
  <si>
    <t>Companion: Wade (James Surano)</t>
  </si>
  <si>
    <t>- Same general description of seance as Belle
- More emotions / exaggerated perceptions</t>
  </si>
  <si>
    <t>Keeper’s Saturday morning dream: skull cup leading to Equinoxious</t>
  </si>
  <si>
    <t>Riddle:  "man dressed all in red" riddle; fire circle on little hill next to graveyard, jade egg</t>
  </si>
  <si>
    <t>Keeper’s Sunday morning dream: Suggests there’s something deceptive going on among the Peacocks - specifically, Milton’s confession - and hopefully also raises the idea of Miscellania providing the replacement money.</t>
  </si>
  <si>
    <t>- Same general description of seance as Belle (although Natasha thinks it was all pretty cool up until wayshrines were smashed)</t>
  </si>
  <si>
    <t>-Edwin asked Orion if he would make an exception to the mandatory minimum 10 year jail sentence for his elderly aunt if she is found guilty. Orion refused.</t>
  </si>
  <si>
    <t>- Common knowledge of wayshrine destruction
- Eugenie volunteered to help rebuild wayshrine
- Demon was moving toward Dora’s shrine when driven off</t>
  </si>
  <si>
    <r>
      <rPr>
        <rFont val="Arial"/>
        <i/>
        <color rgb="FF000000"/>
        <sz val="10.0"/>
        <u/>
      </rPr>
      <t>after lunch</t>
    </r>
    <r>
      <rPr>
        <rFont val="Arial"/>
        <i/>
        <color rgb="FF000000"/>
        <sz val="10.0"/>
      </rPr>
      <t xml:space="preserve">: </t>
    </r>
    <r>
      <rPr>
        <rFont val="Arial"/>
        <i val="0"/>
        <color rgb="FF000000"/>
        <sz val="10.0"/>
      </rPr>
      <t>assigns charge</t>
    </r>
  </si>
  <si>
    <t>- She’s never heard of a wayshrine being disturbed before (a very unusual crime)</t>
  </si>
  <si>
    <t>Dora’s character / how she returned to dancing</t>
  </si>
  <si>
    <t>Dora and Eugine’s characters. This is all a shame.</t>
  </si>
  <si>
    <t>Surprising that the band had this much money! Also, Milton wouldn’t steal from the band.</t>
  </si>
  <si>
    <t>- complete description of both demon visits and Brimstone talking about demons in tavern
- demon wasn’t driven back by a sacred shield
- demon wasn’t strengthened by Electra’s anger</t>
  </si>
  <si>
    <t>- found demon costume in windvale after ritual</t>
  </si>
  <si>
    <t>Surprising that the band had this much money! Also, doesn’t make sense that Milton had gambling debts.</t>
  </si>
  <si>
    <t>water from the Talian Sea</t>
  </si>
  <si>
    <t>the toxic rose fertilizer in the bottle of sherry and possibly also ties this to Edwin Davies.</t>
  </si>
  <si>
    <t>This crime is generating lots of publicity for the Peacocks. Milton said “all publicity is good publicity”.</t>
  </si>
  <si>
    <t>She finds the party and tells them thank you but she should pay for her crime. Asks them to step outside with her and moves toward the wayshrines.
She is shocked and initially doesn’t believe.. She thinks kindly of Edwin.
She asks a lot of questions to try and draw out the rest of it. ( How do they know? How did he do that? And, more importantly, why?)
"Euginie reaches into the wayshrine and takes the cork off the bottle of sherry. It smells strongly of roses.
Eugine knows about the toxic rose scented fertilizer and is shocked."
"She tells them Edwin stopped by as she was fixing the wayshrine. 
He was overcome with emotion when he saw that she had saved a bottle of sherry
Euginie suggested they toast his mother with a drink from the bottle and Edwin told her it was disrespectful (because he knows the bottle is poisoned)"</t>
  </si>
  <si>
    <t>eternity mirror</t>
  </si>
  <si>
    <t>This crime is generating lots of publicity for the Peacocks. Pearl is writing an article about it.</t>
  </si>
  <si>
    <t>• There is no demon, instead Edwin Davies in a demon costume
• Edwin poisoned his mother to hasten his inheritance, and - fearful a séance would allow her to accuse him from beyond the grave - dressed up as a demon to disrupt it.
• When the wayshrines were erected, Edwin learned his aunt still had the poisoned bottle of his mother’s sherry and donned his costume again in an attempt to destroy the evidence
AND - the party needs a plan for proving Edwin was the demon / murderer. Right now they have proof that someone did this and a lot of reasons to suspect Edwin.</t>
  </si>
  <si>
    <t>Dimitri (Don't Give Item!)</t>
  </si>
  <si>
    <t>1-8pm</t>
  </si>
  <si>
    <t>This crime is generating lots of publicity for the Peacocks. Cal going to get friends to book gigs.</t>
  </si>
  <si>
    <t>bloodroot essence</t>
  </si>
  <si>
    <t>This crime is generating lots of publicity for the Peacocks. (Ugh, mainstream.)</t>
  </si>
  <si>
    <t>8-10am, 12-4pm</t>
  </si>
  <si>
    <t>riddle to the jade egg</t>
  </si>
  <si>
    <t>Milton has a big gambling problem, really cares about Miscellania, and is excited to keep promoting the Peacock Family Singers.</t>
  </si>
  <si>
    <t>10am-3pm</t>
  </si>
  <si>
    <t>smokestone jar</t>
  </si>
  <si>
    <r>
      <rPr>
        <rFont val="Arial"/>
        <color rgb="FF000000"/>
        <sz val="10.0"/>
      </rPr>
      <t xml:space="preserve">It’s really hard to cover expenses with a 10-person band. Milton is super focused on the band’s commercial success.
</t>
    </r>
    <r>
      <rPr>
        <rFont val="Arial"/>
        <i/>
        <color rgb="FF000000"/>
        <sz val="10.0"/>
        <u/>
      </rPr>
      <t>If the party ask about Milton stealing money from the band</t>
    </r>
    <r>
      <rPr>
        <rFont val="Arial"/>
        <color rgb="FF000000"/>
        <sz val="10.0"/>
      </rPr>
      <t>: Charlie doesn’t understand this and Milton refuses to talk to him about it</t>
    </r>
  </si>
  <si>
    <t>skull cup</t>
  </si>
  <si>
    <t>Milton tends to take in strays (eg, Mick). And, he wouldn’t ever hurt the band.</t>
  </si>
  <si>
    <t xml:space="preserve">8-10am, 12-4pm, 6-8pm
</t>
  </si>
  <si>
    <t>agate orb</t>
  </si>
  <si>
    <t>Milton tends to take in strays (eg, Dusty, Shaun). And, he wouldn’t ever hurt the band.</t>
  </si>
  <si>
    <t>Mind of a madman</t>
  </si>
  <si>
    <t>Milton tends to take in strays (eg, Stevie).</t>
  </si>
  <si>
    <t>Penultimate step: 9:30am</t>
  </si>
  <si>
    <t>elderberry wine</t>
  </si>
  <si>
    <t>Milton tends to take in strays (eg, Donna).</t>
  </si>
  <si>
    <t>testimony wine</t>
  </si>
  <si>
    <t>Shows Milton’s autograph (with the “i” dotted with a “peacock i”).</t>
  </si>
  <si>
    <t>Milton has unique fancy handwriting.</t>
  </si>
  <si>
    <t>Milton doesn’t know the rules of poker; no surprise he’s losing money gambling.</t>
  </si>
  <si>
    <t>Milton doesn’t know the rules of card games; no surprise he’s losing money gambling.</t>
  </si>
  <si>
    <t>Miscellania has many skills, including investing.</t>
  </si>
  <si>
    <t>Milton was struggling for weeks to line up any jobs for the band.</t>
  </si>
  <si>
    <t>Milton was struggling for weeks to line up any jobs for the band. Hard to book jobs for a 10-person band.</t>
  </si>
  <si>
    <t>Milton has been really anxious about lining up jobs for the band.</t>
  </si>
  <si>
    <t>Milton and Miscellania have been spending a lot of time together. N is worried about Misc if Milton is convicted.</t>
  </si>
  <si>
    <t>Document Studio Logs</t>
  </si>
  <si>
    <t>👋🏻 Please do not edit or delete this sheet)</t>
  </si>
  <si>
    <t>✔️  Trigger 6646038266142288435 RUN_ONSUBMIT added by chris@tenille.net in spreadsheet</t>
  </si>
  <si>
    <t>✔️  Task #k6azh7 - Copy Row with Google Sheet</t>
  </si>
  <si>
    <t>{"spreadsheetName":"Incident Ledger","fields":[["Opened","{{Timestamp}}"],["Priority","{{Priority}}"],["Party","{{Party}}"],["Job","{{Job}}"],["Status","{{Status}}"],["Type","{{Type}}"],["Reporter","{{Reporter}}"]],"spreadsheetId":"1b6Qwe9iQThGJzJaA0imJUV1AG_R-1bNIodMWRGYVKNs","sheetName":"Main Ledger","serviceId":"Google Sheet,1748528640"}</t>
  </si>
  <si>
    <t>✔️  Workflow #18tlyf - Form Submission</t>
  </si>
  <si>
    <t>{"triggerHourly":false,"formId":"17-gdR8JoYeFSjkEDjFqGV_V4VbeX5LFJ8Pw8u1P4W0U","owner":"chris@tenille.net","timeDelay":false,"triggerFormSubmit":true,"timeZone":"America/New_York","ssId":"1b6Qwe9iQThGJzJaA0imJUV1AG_R-1bNIodMWRGYVKNs","sheetId":"979648037","skipHidden":true}</t>
  </si>
  <si>
    <t>Milton and Miscellania have been spending a lot of time together.</t>
  </si>
  <si>
    <t>Milton has been really anxious about lining up jobs for the band. Milton and Miscellania have been spending a lot of time together.</t>
  </si>
  <si>
    <t>Milton and Miscellania are adorable together!</t>
  </si>
  <si>
    <r>
      <rPr>
        <rFont val="Arial"/>
        <i/>
        <color rgb="FF000000"/>
        <sz val="10.0"/>
        <u/>
      </rPr>
      <t>Saturday after 10pm</t>
    </r>
    <r>
      <rPr>
        <rFont val="Arial"/>
        <color rgb="FF000000"/>
        <sz val="10.0"/>
      </rPr>
      <t>: The bank called; all 12,000 royals have been put back in the Peacock Family’s account.</t>
    </r>
  </si>
  <si>
    <t>Keeper's Sunday Vision</t>
  </si>
  <si>
    <t>This vision suggests there’s something deceptive going on among the Peacocks - specifically, Milton’s confession - and hopefully also raises the idea of Miscellania providing the replacement money.</t>
  </si>
  <si>
    <r>
      <rPr>
        <rFont val="Arial"/>
        <i/>
        <color rgb="FF000000"/>
        <sz val="10.0"/>
        <u/>
      </rPr>
      <t>Sunday morning at breakfast</t>
    </r>
    <r>
      <rPr>
        <rFont val="Arial"/>
        <color rgb="FF000000"/>
        <sz val="10.0"/>
      </rPr>
      <t>: Miscellania is rich. Dramina tried to borrow money from her, but Misc says her money is all gone. What happened??</t>
    </r>
  </si>
  <si>
    <r>
      <rPr>
        <rFont val="Arial"/>
        <i/>
        <color rgb="FF000000"/>
        <sz val="10.0"/>
        <u/>
      </rPr>
      <t>After party path around 10:15am</t>
    </r>
    <r>
      <rPr>
        <rFont val="Arial"/>
        <color rgb="FF000000"/>
        <sz val="10.0"/>
      </rPr>
      <t>: Summarizes the events of the case, then shows the anonymous note, with the i’s dotted with the distinctive “peacock i”.</t>
    </r>
  </si>
  <si>
    <r>
      <rPr>
        <rFont val="Arial"/>
        <i/>
        <color rgb="FF000000"/>
        <sz val="10.0"/>
        <u/>
      </rPr>
      <t>pre-trial check-in</t>
    </r>
    <r>
      <rPr>
        <rFont val="Arial"/>
        <color rgb="FF000000"/>
        <sz val="10.0"/>
      </rPr>
      <t>: • Milton Peacock lied about embezzling money; in truth, there never was any money to embezzle. 
• He did so in the hopes that it would make the band seem successful and generate publicity so that the band - and, more importantly, the family - could stay together. 
• Unbeknownst to Milton, Miscellania deposited 12,000 royals into the account from her own funds because she loves Milton and wants to save him.</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</si>
</sst>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h:mm am/pm"/>
    <numFmt numFmtId="165" formatCode="m/d/yyyy h:mm:ss"/>
  </numFmts>
  <fonts count="32">
    <font>
      <sz val="10.0"/>
      <color rgb="FF000000"/>
      <name val="Arial"/>
      <scheme val="minor"/>
    </font>
    <font>
      <b/>
      <color theme="1"/>
      <name val="Arial"/>
      <scheme val="minor"/>
    </font>
    <font/>
    <font>
      <color theme="1"/>
      <name val="Arial"/>
      <scheme val="minor"/>
    </font>
    <font>
      <sz val="12.0"/>
      <color rgb="FF000000"/>
      <name val="Calibri"/>
    </font>
    <font>
      <sz val="13.0"/>
      <color theme="1"/>
      <name val="Arial"/>
      <scheme val="minor"/>
    </font>
    <font>
      <b/>
      <sz val="12.0"/>
      <color theme="1"/>
      <name val="Arial"/>
      <scheme val="minor"/>
    </font>
    <font>
      <b/>
      <sz val="16.0"/>
      <color theme="1"/>
      <name val="Arial"/>
      <scheme val="minor"/>
    </font>
    <font>
      <sz val="16.0"/>
      <color theme="1"/>
      <name val="Arial"/>
      <scheme val="minor"/>
    </font>
    <font>
      <color rgb="FF434343"/>
      <name val="Arial"/>
      <scheme val="minor"/>
    </font>
    <font>
      <i/>
      <sz val="11.0"/>
      <color rgb="FF3C4043"/>
      <name val="Roboto"/>
    </font>
    <font>
      <b/>
      <sz val="16.0"/>
      <color rgb="FFFFFFFF"/>
      <name val="Arial"/>
      <scheme val="minor"/>
    </font>
    <font>
      <sz val="11.0"/>
      <color theme="1"/>
      <name val="Arial"/>
      <scheme val="minor"/>
    </font>
    <font>
      <b/>
      <sz val="27.0"/>
      <color rgb="FF000000"/>
      <name val="Arial"/>
      <scheme val="minor"/>
    </font>
    <font>
      <sz val="27.0"/>
      <color theme="1"/>
      <name val="Arial"/>
      <scheme val="minor"/>
    </font>
    <font>
      <sz val="27.0"/>
      <color rgb="FF000000"/>
      <name val="Arial"/>
      <scheme val="minor"/>
    </font>
    <font>
      <b/>
      <sz val="11.0"/>
      <color theme="1"/>
      <name val="Arial"/>
      <scheme val="minor"/>
    </font>
    <font>
      <b/>
      <sz val="10.0"/>
      <color rgb="FF000000"/>
      <name val="Arial"/>
      <scheme val="minor"/>
    </font>
    <font>
      <i/>
      <sz val="10.0"/>
      <color rgb="FF000000"/>
      <name val="Arial"/>
      <scheme val="minor"/>
    </font>
    <font>
      <sz val="9.0"/>
      <color theme="1"/>
      <name val="Arial"/>
      <scheme val="minor"/>
    </font>
    <font>
      <sz val="9.0"/>
      <color rgb="FF000000"/>
      <name val="Arial"/>
      <scheme val="minor"/>
    </font>
    <font>
      <b/>
      <sz val="10.0"/>
      <color theme="1"/>
      <name val="Arial"/>
      <scheme val="minor"/>
    </font>
    <font>
      <b/>
      <color rgb="FF000000"/>
      <name val="Arial"/>
    </font>
    <font>
      <color rgb="FF000000"/>
      <name val="Arial"/>
    </font>
    <font>
      <color rgb="FF000000"/>
      <name val="Arial"/>
      <scheme val="minor"/>
    </font>
    <font>
      <i/>
      <color rgb="FF000000"/>
      <name val="Arial"/>
    </font>
    <font>
      <sz val="10.0"/>
      <color theme="1"/>
      <name val="Arial"/>
      <scheme val="minor"/>
    </font>
    <font>
      <b/>
      <sz val="27.0"/>
      <color theme="1"/>
      <name val="Arial"/>
      <scheme val="minor"/>
    </font>
    <font>
      <b/>
      <sz val="14.0"/>
      <color theme="1"/>
      <name val="Arial"/>
      <scheme val="minor"/>
    </font>
    <font>
      <color rgb="FF222222"/>
      <name val="Arial"/>
    </font>
    <font>
      <sz val="11.0"/>
      <color rgb="FF3C4043"/>
      <name val="Roboto"/>
    </font>
    <font>
      <b/>
      <sz val="27.0"/>
      <color rgb="FFFFFFFF"/>
      <name val="Arial"/>
      <scheme val="minor"/>
    </font>
  </fonts>
  <fills count="31">
    <fill>
      <patternFill patternType="none"/>
    </fill>
    <fill>
      <patternFill patternType="lightGray"/>
    </fill>
    <fill>
      <patternFill patternType="solid">
        <fgColor rgb="FFD0E0E3"/>
        <bgColor rgb="FFD0E0E3"/>
      </patternFill>
    </fill>
    <fill>
      <patternFill patternType="solid">
        <fgColor rgb="FFFCE5CD"/>
        <bgColor rgb="FFFCE5CD"/>
      </patternFill>
    </fill>
    <fill>
      <patternFill patternType="solid">
        <fgColor rgb="FFE6B8AF"/>
        <bgColor rgb="FFE6B8AF"/>
      </patternFill>
    </fill>
    <fill>
      <patternFill patternType="solid">
        <fgColor rgb="FFEFEFEF"/>
        <bgColor rgb="FFEFEFEF"/>
      </patternFill>
    </fill>
    <fill>
      <patternFill patternType="solid">
        <fgColor rgb="FFB6D7A8"/>
        <bgColor rgb="FFB6D7A8"/>
      </patternFill>
    </fill>
    <fill>
      <patternFill patternType="solid">
        <fgColor rgb="FFD9EAD3"/>
        <bgColor rgb="FFD9EAD3"/>
      </patternFill>
    </fill>
    <fill>
      <patternFill patternType="solid">
        <fgColor rgb="FFFFFFFF"/>
        <bgColor rgb="FFFFFFFF"/>
      </patternFill>
    </fill>
    <fill>
      <patternFill patternType="solid">
        <fgColor rgb="FFFF9B9B"/>
        <bgColor rgb="FFFF9B9B"/>
      </patternFill>
    </fill>
    <fill>
      <patternFill patternType="solid">
        <fgColor rgb="FFCCCCCC"/>
        <bgColor rgb="FFCCCCCC"/>
      </patternFill>
    </fill>
    <fill>
      <patternFill patternType="solid">
        <fgColor rgb="FFB7E1CD"/>
        <bgColor rgb="FFB7E1CD"/>
      </patternFill>
    </fill>
    <fill>
      <patternFill patternType="solid">
        <fgColor rgb="FFC9DAF8"/>
        <bgColor rgb="FFC9DAF8"/>
      </patternFill>
    </fill>
    <fill>
      <patternFill patternType="solid">
        <fgColor rgb="FFCFE2F3"/>
        <bgColor rgb="FFCFE2F3"/>
      </patternFill>
    </fill>
    <fill>
      <patternFill patternType="solid">
        <fgColor rgb="FFB4A7D6"/>
        <bgColor rgb="FFB4A7D6"/>
      </patternFill>
    </fill>
    <fill>
      <patternFill patternType="solid">
        <fgColor rgb="FF93C47D"/>
        <bgColor rgb="FF93C47D"/>
      </patternFill>
    </fill>
    <fill>
      <patternFill patternType="solid">
        <fgColor rgb="FFF4CCCC"/>
        <bgColor rgb="FFF4CCCC"/>
      </patternFill>
    </fill>
    <fill>
      <patternFill patternType="solid">
        <fgColor rgb="FFD9D9D9"/>
        <bgColor rgb="FFD9D9D9"/>
      </patternFill>
    </fill>
    <fill>
      <patternFill patternType="solid">
        <fgColor rgb="FFFFF2CC"/>
        <bgColor rgb="FFFFF2CC"/>
      </patternFill>
    </fill>
    <fill>
      <patternFill patternType="solid">
        <fgColor theme="9"/>
        <bgColor theme="9"/>
      </patternFill>
    </fill>
    <fill>
      <patternFill patternType="solid">
        <fgColor rgb="FFFFE599"/>
        <bgColor rgb="FFFFE599"/>
      </patternFill>
    </fill>
    <fill>
      <patternFill patternType="solid">
        <fgColor rgb="FFFF0000"/>
        <bgColor rgb="FFFF0000"/>
      </patternFill>
    </fill>
    <fill>
      <patternFill patternType="solid">
        <fgColor rgb="FFFF9900"/>
        <bgColor rgb="FFFF9900"/>
      </patternFill>
    </fill>
    <fill>
      <patternFill patternType="solid">
        <fgColor rgb="FF6AA84F"/>
        <bgColor rgb="FF6AA84F"/>
      </patternFill>
    </fill>
    <fill>
      <patternFill patternType="solid">
        <fgColor rgb="FF9FD19B"/>
        <bgColor rgb="FF9FD19B"/>
      </patternFill>
    </fill>
    <fill>
      <patternFill patternType="solid">
        <fgColor rgb="FFEA9999"/>
        <bgColor rgb="FFEA9999"/>
      </patternFill>
    </fill>
    <fill>
      <patternFill patternType="solid">
        <fgColor rgb="FFE06666"/>
        <bgColor rgb="FFE06666"/>
      </patternFill>
    </fill>
    <fill>
      <patternFill patternType="solid">
        <fgColor rgb="FFF3F3F3"/>
        <bgColor rgb="FFF3F3F3"/>
      </patternFill>
    </fill>
    <fill>
      <patternFill patternType="solid">
        <fgColor rgb="FF9900FF"/>
        <bgColor rgb="FF9900FF"/>
      </patternFill>
    </fill>
    <fill>
      <patternFill patternType="solid">
        <fgColor rgb="FF00FFFF"/>
        <bgColor rgb="FF00FFFF"/>
      </patternFill>
    </fill>
    <fill>
      <patternFill patternType="solid">
        <fgColor rgb="FFFFD966"/>
        <bgColor rgb="FFFFD966"/>
      </patternFill>
    </fill>
  </fills>
  <borders count="33">
    <border/>
    <border>
      <left style="hair">
        <color rgb="FF000000"/>
      </left>
      <right style="hair">
        <color rgb="FF000000"/>
      </right>
      <top style="hair">
        <color rgb="FF000000"/>
      </top>
      <bottom style="hair">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top style="thin">
        <color rgb="FF000000"/>
      </top>
    </border>
    <border>
      <top style="thin">
        <color rgb="FF000000"/>
      </top>
    </border>
    <border>
      <right style="thick">
        <color rgb="FF000000"/>
      </right>
      <top style="thin">
        <color rgb="FF000000"/>
      </top>
    </border>
    <border>
      <left style="thin">
        <color rgb="FF000000"/>
      </left>
      <right style="thin">
        <color rgb="FF000000"/>
      </right>
      <top style="thin">
        <color rgb="FF000000"/>
      </top>
      <bottom style="thin">
        <color rgb="FF000000"/>
      </bottom>
    </border>
    <border>
      <left style="thick">
        <color rgb="FF000000"/>
      </left>
      <bottom style="thick">
        <color rgb="FF000000"/>
      </bottom>
    </border>
    <border>
      <bottom style="thick">
        <color rgb="FF000000"/>
      </bottom>
    </border>
    <border>
      <right style="thick">
        <color rgb="FF000000"/>
      </right>
      <bottom style="thick">
        <color rgb="FF000000"/>
      </bottom>
    </border>
    <border>
      <left style="thin">
        <color rgb="FF000000"/>
      </left>
      <top style="thick">
        <color rgb="FF000000"/>
      </top>
    </border>
    <border>
      <right style="thin">
        <color rgb="FF000000"/>
      </right>
      <top style="thick">
        <color rgb="FF000000"/>
      </top>
    </border>
    <border>
      <left style="thin">
        <color rgb="FF000000"/>
      </left>
    </border>
    <border>
      <right style="thin">
        <color rgb="FF000000"/>
      </right>
    </border>
    <border>
      <left style="thin">
        <color rgb="FF000000"/>
      </left>
      <bottom style="thick">
        <color rgb="FF000000"/>
      </bottom>
    </border>
    <border>
      <right style="thin">
        <color rgb="FF000000"/>
      </right>
      <bottom style="thick">
        <color rgb="FF000000"/>
      </bottom>
    </border>
    <border>
      <left style="thick">
        <color rgb="FF000000"/>
      </left>
      <top style="thick">
        <color rgb="FF000000"/>
      </top>
      <bottom style="thick">
        <color rgb="FF000000"/>
      </bottom>
    </border>
    <border>
      <left style="thin">
        <color rgb="FF000000"/>
      </left>
      <top style="thick">
        <color rgb="FF000000"/>
      </top>
      <bottom style="thick">
        <color rgb="FF000000"/>
      </bottom>
    </border>
    <border>
      <right style="thin">
        <color rgb="FF000000"/>
      </right>
      <top style="thick">
        <color rgb="FF000000"/>
      </top>
      <bottom style="thick">
        <color rgb="FF000000"/>
      </bottom>
    </border>
    <border>
      <right style="thick">
        <color rgb="FF000000"/>
      </right>
      <top style="thick">
        <color rgb="FF000000"/>
      </top>
      <bottom style="thick">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ck">
        <color rgb="FF000000"/>
      </left>
      <right style="thin">
        <color rgb="FF000000"/>
      </right>
      <top style="thick">
        <color rgb="FF000000"/>
      </top>
    </border>
    <border>
      <left style="thick">
        <color rgb="FF000000"/>
      </left>
      <right style="thin">
        <color rgb="FF000000"/>
      </right>
    </border>
    <border>
      <left style="thick">
        <color rgb="FF000000"/>
      </left>
      <right style="thin">
        <color rgb="FF000000"/>
      </right>
      <top style="thick">
        <color rgb="FF000000"/>
      </top>
      <bottom style="thick">
        <color rgb="FF000000"/>
      </bottom>
    </border>
    <border>
      <left style="thick">
        <color rgb="FF000000"/>
      </left>
      <right style="thin">
        <color rgb="FF000000"/>
      </right>
      <bottom style="thick">
        <color rgb="FF000000"/>
      </bottom>
    </border>
    <border>
      <top style="thick">
        <color rgb="FF000000"/>
      </top>
      <bottom style="thick">
        <color rgb="FF000000"/>
      </bottom>
    </border>
  </borders>
  <cellStyleXfs count="1">
    <xf borderId="0" fillId="0" fontId="0" numFmtId="0" applyAlignment="1" applyFont="1"/>
  </cellStyleXfs>
  <cellXfs count="435">
    <xf borderId="0" fillId="0" fontId="0" numFmtId="0" xfId="0" applyAlignment="1" applyFont="1">
      <alignment readingOrder="0" shrinkToFit="0" vertical="bottom" wrapText="0"/>
    </xf>
    <xf borderId="1" fillId="2" fontId="1" numFmtId="0" xfId="0" applyAlignment="1" applyBorder="1" applyFill="1" applyFont="1">
      <alignment horizontal="center" readingOrder="0" textRotation="135" vertical="center"/>
    </xf>
    <xf borderId="2" fillId="0" fontId="1" numFmtId="0" xfId="0" applyAlignment="1" applyBorder="1" applyFont="1">
      <alignment horizontal="center" readingOrder="0" shrinkToFit="0" textRotation="0" wrapText="1"/>
    </xf>
    <xf borderId="1" fillId="3" fontId="1" numFmtId="0" xfId="0" applyAlignment="1" applyBorder="1" applyFill="1" applyFont="1">
      <alignment horizontal="center" readingOrder="0" textRotation="135" vertical="center"/>
    </xf>
    <xf borderId="3" fillId="0" fontId="2" numFmtId="0" xfId="0" applyBorder="1" applyFont="1"/>
    <xf borderId="4" fillId="0" fontId="2" numFmtId="0" xfId="0" applyBorder="1" applyFont="1"/>
    <xf borderId="1" fillId="4" fontId="1" numFmtId="0" xfId="0" applyAlignment="1" applyBorder="1" applyFill="1" applyFont="1">
      <alignment horizontal="center" readingOrder="0" textRotation="135" vertical="center"/>
    </xf>
    <xf borderId="0" fillId="0" fontId="3" numFmtId="0" xfId="0" applyAlignment="1" applyFont="1">
      <alignment textRotation="135"/>
    </xf>
    <xf borderId="0" fillId="0" fontId="1" numFmtId="0" xfId="0" applyAlignment="1" applyFont="1">
      <alignment readingOrder="0"/>
    </xf>
    <xf borderId="0" fillId="5" fontId="1" numFmtId="0" xfId="0" applyAlignment="1" applyFill="1" applyFont="1">
      <alignment horizontal="center" readingOrder="0" shrinkToFit="0" textRotation="90" wrapText="1"/>
    </xf>
    <xf borderId="1" fillId="2" fontId="3" numFmtId="0" xfId="0" applyAlignment="1" applyBorder="1" applyFill="1" applyFont="1">
      <alignment horizontal="center" readingOrder="0"/>
    </xf>
    <xf borderId="1" fillId="2" fontId="3" numFmtId="0" xfId="0" applyAlignment="1" applyBorder="1" applyFill="1" applyFont="1">
      <alignment horizontal="center"/>
    </xf>
    <xf borderId="0" fillId="0" fontId="3" numFmtId="0" xfId="0" applyAlignment="1" applyFont="1">
      <alignment horizontal="center"/>
    </xf>
    <xf borderId="1" fillId="3" fontId="3" numFmtId="0" xfId="0" applyAlignment="1" applyBorder="1" applyFill="1" applyFont="1">
      <alignment horizontal="center"/>
    </xf>
    <xf borderId="1" fillId="3" fontId="3" numFmtId="0" xfId="0" applyAlignment="1" applyBorder="1" applyFill="1" applyFont="1">
      <alignment horizontal="center" readingOrder="0"/>
    </xf>
    <xf borderId="5" fillId="0" fontId="1" numFmtId="0" xfId="0" applyAlignment="1" applyBorder="1" applyFont="1">
      <alignment horizontal="center" readingOrder="0" shrinkToFit="0" textRotation="0" wrapText="1"/>
    </xf>
    <xf borderId="0" fillId="0" fontId="1" numFmtId="0" xfId="0" applyAlignment="1" applyFont="1">
      <alignment horizontal="center" readingOrder="0" shrinkToFit="0" textRotation="0" wrapText="1"/>
    </xf>
    <xf borderId="1" fillId="4" fontId="3" numFmtId="0" xfId="0" applyAlignment="1" applyBorder="1" applyFill="1" applyFont="1">
      <alignment horizontal="center" textRotation="0"/>
    </xf>
    <xf borderId="6" fillId="0" fontId="1" numFmtId="0" xfId="0" applyAlignment="1" applyBorder="1" applyFont="1">
      <alignment horizontal="center" readingOrder="0" shrinkToFit="0" textRotation="0" wrapText="1"/>
    </xf>
    <xf borderId="1" fillId="4" fontId="3" numFmtId="0" xfId="0" applyAlignment="1" applyBorder="1" applyFill="1" applyFont="1">
      <alignment horizontal="center" readingOrder="0" textRotation="0"/>
    </xf>
    <xf borderId="0" fillId="5" fontId="1" numFmtId="0" xfId="0" applyAlignment="1" applyFill="1" applyFont="1">
      <alignment horizontal="center" readingOrder="0" shrinkToFit="0" textRotation="0" wrapText="1"/>
    </xf>
    <xf borderId="0" fillId="6" fontId="1" numFmtId="0" xfId="0" applyAlignment="1" applyFill="1" applyFont="1">
      <alignment readingOrder="0"/>
    </xf>
    <xf borderId="7" fillId="6" fontId="3" numFmtId="0" xfId="0" applyAlignment="1" applyBorder="1" applyFill="1" applyFont="1">
      <alignment readingOrder="0"/>
    </xf>
    <xf borderId="8" fillId="6" fontId="3" numFmtId="0" xfId="0" applyAlignment="1" applyBorder="1" applyFill="1" applyFont="1">
      <alignment readingOrder="0"/>
    </xf>
    <xf borderId="0" fillId="0" fontId="3" numFmtId="0" xfId="0" applyAlignment="1" applyFont="1">
      <alignment textRotation="0"/>
    </xf>
    <xf borderId="9" fillId="6" fontId="3" numFmtId="0" xfId="0" applyAlignment="1" applyBorder="1" applyFill="1" applyFont="1">
      <alignment readingOrder="0"/>
    </xf>
    <xf borderId="1" fillId="5" fontId="1" numFmtId="0" xfId="0" applyAlignment="1" applyBorder="1" applyFill="1" applyFont="1">
      <alignment horizontal="center" readingOrder="0" textRotation="135" vertical="center"/>
    </xf>
    <xf borderId="9" fillId="6" fontId="3" numFmtId="0" xfId="0" applyAlignment="1" applyBorder="1" applyFill="1" applyFont="1">
      <alignment horizontal="center" readingOrder="0" shrinkToFit="0" wrapText="1"/>
    </xf>
    <xf borderId="1" fillId="7" fontId="1" numFmtId="0" xfId="0" applyAlignment="1" applyBorder="1" applyFill="1" applyFont="1">
      <alignment horizontal="center" readingOrder="0" textRotation="135" vertical="center"/>
    </xf>
    <xf borderId="0" fillId="0" fontId="3" numFmtId="0" xfId="0" applyAlignment="1" applyFont="1">
      <alignment horizontal="center" readingOrder="0" shrinkToFit="0" vertical="center" wrapText="1"/>
    </xf>
    <xf borderId="1" fillId="5" fontId="3" numFmtId="0" xfId="0" applyAlignment="1" applyBorder="1" applyFill="1" applyFont="1">
      <alignment horizontal="center"/>
    </xf>
    <xf borderId="1" fillId="7" fontId="3" numFmtId="0" xfId="0" applyAlignment="1" applyBorder="1" applyFill="1" applyFont="1">
      <alignment horizontal="center"/>
    </xf>
    <xf borderId="0" fillId="0" fontId="3" numFmtId="0" xfId="0" applyAlignment="1" applyFont="1">
      <alignment readingOrder="0"/>
    </xf>
    <xf borderId="0" fillId="0" fontId="3" numFmtId="0" xfId="0" applyAlignment="1" applyFont="1">
      <alignment horizontal="left" readingOrder="0" shrinkToFit="0" vertical="center" wrapText="1"/>
    </xf>
    <xf borderId="0" fillId="6" fontId="3" numFmtId="0" xfId="0" applyAlignment="1" applyFill="1" applyFont="1">
      <alignment horizontal="center" readingOrder="0" shrinkToFit="0" wrapText="1"/>
    </xf>
    <xf borderId="1" fillId="5" fontId="3" numFmtId="0" xfId="0" applyAlignment="1" applyBorder="1" applyFill="1" applyFont="1">
      <alignment horizontal="center" readingOrder="0"/>
    </xf>
    <xf borderId="0" fillId="0" fontId="3" numFmtId="0" xfId="0" applyAlignment="1" applyFont="1">
      <alignment readingOrder="0" shrinkToFit="0" vertical="center" wrapText="0"/>
    </xf>
    <xf borderId="0" fillId="0" fontId="3" numFmtId="164" xfId="0" applyAlignment="1" applyFont="1" applyNumberFormat="1">
      <alignment horizontal="center" readingOrder="0" shrinkToFit="0" vertical="center" wrapText="0"/>
    </xf>
    <xf borderId="0" fillId="0" fontId="3" numFmtId="49" xfId="0" applyAlignment="1" applyFont="1" applyNumberFormat="1">
      <alignment readingOrder="0" shrinkToFit="0" vertical="center" wrapText="1"/>
    </xf>
    <xf borderId="0" fillId="0" fontId="3" numFmtId="0" xfId="0" applyAlignment="1" applyFont="1">
      <alignment shrinkToFit="0" vertical="center" wrapText="0"/>
    </xf>
    <xf borderId="0" fillId="0" fontId="4" numFmtId="0" xfId="0" applyAlignment="1" applyFont="1">
      <alignment readingOrder="0" shrinkToFit="0" vertical="bottom" wrapText="0"/>
    </xf>
    <xf borderId="0" fillId="6" fontId="3" numFmtId="0" xfId="0" applyAlignment="1" applyFill="1" applyFont="1">
      <alignment readingOrder="0" shrinkToFit="0" wrapText="1"/>
    </xf>
    <xf borderId="5" fillId="0" fontId="3" numFmtId="0" xfId="0" applyAlignment="1" applyBorder="1" applyFont="1">
      <alignment readingOrder="0"/>
    </xf>
    <xf borderId="6" fillId="0" fontId="3" numFmtId="0" xfId="0" applyAlignment="1" applyBorder="1" applyFont="1">
      <alignment readingOrder="0"/>
    </xf>
    <xf borderId="6" fillId="0" fontId="3" numFmtId="0" xfId="0" applyAlignment="1" applyBorder="1" applyFont="1">
      <alignment horizontal="center" readingOrder="0" shrinkToFit="0" wrapText="1"/>
    </xf>
    <xf borderId="0" fillId="5" fontId="3" numFmtId="0" xfId="0" applyAlignment="1" applyFill="1" applyFont="1">
      <alignment horizontal="center" readingOrder="0" shrinkToFit="0" wrapText="1"/>
    </xf>
    <xf borderId="0" fillId="8" fontId="3" numFmtId="0" xfId="0" applyAlignment="1" applyFill="1" applyFont="1">
      <alignment horizontal="center" readingOrder="0" shrinkToFit="0" wrapText="1"/>
    </xf>
    <xf borderId="0" fillId="5" fontId="3" numFmtId="0" xfId="0" applyAlignment="1" applyFill="1" applyFont="1">
      <alignment readingOrder="0" shrinkToFit="0" wrapText="1"/>
    </xf>
    <xf borderId="0" fillId="0" fontId="3" numFmtId="0" xfId="0" applyAlignment="1" applyFont="1">
      <alignment horizontal="center" readingOrder="0"/>
    </xf>
    <xf borderId="0" fillId="9" fontId="1" numFmtId="0" xfId="0" applyAlignment="1" applyFill="1" applyFont="1">
      <alignment readingOrder="0"/>
    </xf>
    <xf borderId="5" fillId="9" fontId="3" numFmtId="0" xfId="0" applyAlignment="1" applyBorder="1" applyFill="1" applyFont="1">
      <alignment readingOrder="0"/>
    </xf>
    <xf borderId="0" fillId="9" fontId="3" numFmtId="0" xfId="0" applyAlignment="1" applyFill="1" applyFont="1">
      <alignment readingOrder="0"/>
    </xf>
    <xf borderId="6" fillId="9" fontId="3" numFmtId="0" xfId="0" applyAlignment="1" applyBorder="1" applyFill="1" applyFont="1">
      <alignment readingOrder="0"/>
    </xf>
    <xf borderId="6" fillId="9" fontId="3" numFmtId="0" xfId="0" applyAlignment="1" applyBorder="1" applyFill="1" applyFont="1">
      <alignment horizontal="center" readingOrder="0" shrinkToFit="0" wrapText="1"/>
    </xf>
    <xf borderId="0" fillId="9" fontId="3" numFmtId="0" xfId="0" applyAlignment="1" applyFill="1" applyFont="1">
      <alignment horizontal="center" readingOrder="0" shrinkToFit="0" wrapText="1"/>
    </xf>
    <xf borderId="0" fillId="9" fontId="3" numFmtId="0" xfId="0" applyAlignment="1" applyFill="1" applyFont="1">
      <alignment readingOrder="0" shrinkToFit="0" wrapText="1"/>
    </xf>
    <xf borderId="0" fillId="10" fontId="1" numFmtId="0" xfId="0" applyAlignment="1" applyFill="1" applyFont="1">
      <alignment readingOrder="0"/>
    </xf>
    <xf borderId="5" fillId="10" fontId="3" numFmtId="0" xfId="0" applyAlignment="1" applyBorder="1" applyFill="1" applyFont="1">
      <alignment readingOrder="0"/>
    </xf>
    <xf borderId="0" fillId="10" fontId="3" numFmtId="0" xfId="0" applyAlignment="1" applyFill="1" applyFont="1">
      <alignment readingOrder="0"/>
    </xf>
    <xf borderId="6" fillId="10" fontId="3" numFmtId="0" xfId="0" applyAlignment="1" applyBorder="1" applyFill="1" applyFont="1">
      <alignment readingOrder="0"/>
    </xf>
    <xf borderId="6" fillId="10" fontId="3" numFmtId="0" xfId="0" applyAlignment="1" applyBorder="1" applyFill="1" applyFont="1">
      <alignment horizontal="center" readingOrder="0" shrinkToFit="0" wrapText="1"/>
    </xf>
    <xf borderId="0" fillId="10" fontId="3" numFmtId="0" xfId="0" applyAlignment="1" applyFill="1" applyFont="1">
      <alignment horizontal="center" readingOrder="0" shrinkToFit="0" wrapText="1"/>
    </xf>
    <xf borderId="0" fillId="10" fontId="3" numFmtId="0" xfId="0" applyAlignment="1" applyFill="1" applyFont="1">
      <alignment readingOrder="0" shrinkToFit="0" wrapText="1"/>
    </xf>
    <xf borderId="0" fillId="11" fontId="1" numFmtId="0" xfId="0" applyAlignment="1" applyFill="1" applyFont="1">
      <alignment readingOrder="0"/>
    </xf>
    <xf borderId="5" fillId="11" fontId="3" numFmtId="0" xfId="0" applyAlignment="1" applyBorder="1" applyFill="1" applyFont="1">
      <alignment readingOrder="0"/>
    </xf>
    <xf borderId="0" fillId="11" fontId="3" numFmtId="0" xfId="0" applyAlignment="1" applyFill="1" applyFont="1">
      <alignment readingOrder="0"/>
    </xf>
    <xf borderId="6" fillId="11" fontId="3" numFmtId="0" xfId="0" applyAlignment="1" applyBorder="1" applyFill="1" applyFont="1">
      <alignment readingOrder="0"/>
    </xf>
    <xf borderId="6" fillId="11" fontId="3" numFmtId="0" xfId="0" applyAlignment="1" applyBorder="1" applyFill="1" applyFont="1">
      <alignment horizontal="center" readingOrder="0" shrinkToFit="0" wrapText="1"/>
    </xf>
    <xf borderId="0" fillId="11" fontId="3" numFmtId="0" xfId="0" applyAlignment="1" applyFill="1" applyFont="1">
      <alignment horizontal="center" readingOrder="0" shrinkToFit="0" wrapText="1"/>
    </xf>
    <xf borderId="0" fillId="0" fontId="3" numFmtId="0" xfId="0" applyAlignment="1" applyFont="1">
      <alignment readingOrder="0" shrinkToFit="0" vertical="center" wrapText="0"/>
    </xf>
    <xf borderId="0" fillId="0" fontId="3" numFmtId="164" xfId="0" applyAlignment="1" applyFont="1" applyNumberFormat="1">
      <alignment horizontal="center" readingOrder="0" shrinkToFit="0" vertical="center" wrapText="0"/>
    </xf>
    <xf borderId="0" fillId="0" fontId="3" numFmtId="0" xfId="0" applyAlignment="1" applyFont="1">
      <alignment shrinkToFit="0" wrapText="0"/>
    </xf>
    <xf borderId="0" fillId="11" fontId="3" numFmtId="0" xfId="0" applyAlignment="1" applyFill="1" applyFont="1">
      <alignment readingOrder="0" shrinkToFit="0" wrapText="1"/>
    </xf>
    <xf borderId="0" fillId="12" fontId="1" numFmtId="0" xfId="0" applyAlignment="1" applyFill="1" applyFont="1">
      <alignment readingOrder="0"/>
    </xf>
    <xf borderId="5" fillId="12" fontId="3" numFmtId="0" xfId="0" applyAlignment="1" applyBorder="1" applyFill="1" applyFont="1">
      <alignment readingOrder="0"/>
    </xf>
    <xf borderId="0" fillId="12" fontId="3" numFmtId="0" xfId="0" applyAlignment="1" applyFill="1" applyFont="1">
      <alignment readingOrder="0"/>
    </xf>
    <xf borderId="6" fillId="12" fontId="3" numFmtId="0" xfId="0" applyAlignment="1" applyBorder="1" applyFill="1" applyFont="1">
      <alignment readingOrder="0"/>
    </xf>
    <xf borderId="6" fillId="12" fontId="3" numFmtId="0" xfId="0" applyAlignment="1" applyBorder="1" applyFill="1" applyFont="1">
      <alignment horizontal="center" readingOrder="0" shrinkToFit="0" wrapText="1"/>
    </xf>
    <xf borderId="0" fillId="12" fontId="3" numFmtId="0" xfId="0" applyAlignment="1" applyFill="1" applyFont="1">
      <alignment horizontal="center" readingOrder="0" shrinkToFit="0" wrapText="1"/>
    </xf>
    <xf borderId="0" fillId="0" fontId="3" numFmtId="0" xfId="0" applyAlignment="1" applyFont="1">
      <alignment readingOrder="0" shrinkToFit="0" vertical="center" wrapText="0"/>
    </xf>
    <xf borderId="0" fillId="13" fontId="3" numFmtId="0" xfId="0" applyAlignment="1" applyFill="1" applyFont="1">
      <alignment horizontal="center" readingOrder="0" shrinkToFit="0" wrapText="1"/>
    </xf>
    <xf borderId="0" fillId="12" fontId="3" numFmtId="0" xfId="0" applyAlignment="1" applyFill="1" applyFont="1">
      <alignment readingOrder="0" shrinkToFit="0" wrapText="1"/>
    </xf>
    <xf borderId="0" fillId="0" fontId="5" numFmtId="0" xfId="0" applyFont="1"/>
    <xf borderId="0" fillId="14" fontId="1" numFmtId="0" xfId="0" applyAlignment="1" applyFill="1" applyFont="1">
      <alignment readingOrder="0"/>
    </xf>
    <xf borderId="0" fillId="0" fontId="6" numFmtId="0" xfId="0" applyAlignment="1" applyFont="1">
      <alignment horizontal="center" readingOrder="0"/>
    </xf>
    <xf borderId="5" fillId="14" fontId="3" numFmtId="0" xfId="0" applyAlignment="1" applyBorder="1" applyFill="1" applyFont="1">
      <alignment readingOrder="0"/>
    </xf>
    <xf borderId="0" fillId="0" fontId="1" numFmtId="0" xfId="0" applyAlignment="1" applyFont="1">
      <alignment horizontal="center" readingOrder="0"/>
    </xf>
    <xf borderId="0" fillId="15" fontId="7" numFmtId="0" xfId="0" applyAlignment="1" applyFill="1" applyFont="1">
      <alignment readingOrder="0"/>
    </xf>
    <xf borderId="0" fillId="14" fontId="3" numFmtId="0" xfId="0" applyAlignment="1" applyFill="1" applyFont="1">
      <alignment readingOrder="0"/>
    </xf>
    <xf borderId="6" fillId="14" fontId="3" numFmtId="0" xfId="0" applyAlignment="1" applyBorder="1" applyFill="1" applyFont="1">
      <alignment readingOrder="0"/>
    </xf>
    <xf borderId="6" fillId="14" fontId="3" numFmtId="0" xfId="0" applyAlignment="1" applyBorder="1" applyFill="1" applyFont="1">
      <alignment horizontal="center" readingOrder="0" shrinkToFit="0" wrapText="1"/>
    </xf>
    <xf borderId="0" fillId="0" fontId="8" numFmtId="0" xfId="0" applyAlignment="1" applyFont="1">
      <alignment horizontal="center"/>
    </xf>
    <xf borderId="0" fillId="14" fontId="3" numFmtId="0" xfId="0" applyAlignment="1" applyFill="1" applyFont="1">
      <alignment horizontal="center" readingOrder="0" shrinkToFit="0" wrapText="1"/>
    </xf>
    <xf borderId="0" fillId="0" fontId="8" numFmtId="0" xfId="0" applyAlignment="1" applyFont="1">
      <alignment horizontal="center" readingOrder="0"/>
    </xf>
    <xf borderId="0" fillId="0" fontId="7" numFmtId="0" xfId="0" applyAlignment="1" applyFont="1">
      <alignment readingOrder="0"/>
    </xf>
    <xf borderId="0" fillId="14" fontId="3" numFmtId="0" xfId="0" applyAlignment="1" applyFill="1" applyFont="1">
      <alignment readingOrder="0" shrinkToFit="0" wrapText="1"/>
    </xf>
    <xf borderId="0" fillId="2" fontId="1" numFmtId="0" xfId="0" applyAlignment="1" applyFill="1" applyFont="1">
      <alignment readingOrder="0"/>
    </xf>
    <xf borderId="0" fillId="0" fontId="9" numFmtId="49" xfId="0" applyAlignment="1" applyFont="1" applyNumberFormat="1">
      <alignment readingOrder="0" shrinkToFit="0" vertical="center" wrapText="1"/>
    </xf>
    <xf borderId="0" fillId="16" fontId="7" numFmtId="0" xfId="0" applyAlignment="1" applyFill="1" applyFont="1">
      <alignment readingOrder="0"/>
    </xf>
    <xf borderId="5" fillId="2" fontId="3" numFmtId="0" xfId="0" applyAlignment="1" applyBorder="1" applyFill="1" applyFont="1">
      <alignment readingOrder="0"/>
    </xf>
    <xf borderId="0" fillId="2" fontId="3" numFmtId="0" xfId="0" applyAlignment="1" applyFill="1" applyFont="1">
      <alignment readingOrder="0"/>
    </xf>
    <xf borderId="10" fillId="0" fontId="3" numFmtId="49" xfId="0" applyAlignment="1" applyBorder="1" applyFont="1" applyNumberFormat="1">
      <alignment readingOrder="0" shrinkToFit="0" vertical="center" wrapText="1"/>
    </xf>
    <xf borderId="6" fillId="2" fontId="3" numFmtId="0" xfId="0" applyAlignment="1" applyBorder="1" applyFill="1" applyFont="1">
      <alignment readingOrder="0"/>
    </xf>
    <xf borderId="6" fillId="2" fontId="3" numFmtId="0" xfId="0" applyAlignment="1" applyBorder="1" applyFill="1" applyFont="1">
      <alignment horizontal="center" readingOrder="0" shrinkToFit="0" wrapText="1"/>
    </xf>
    <xf borderId="0" fillId="2" fontId="3" numFmtId="0" xfId="0" applyAlignment="1" applyFill="1" applyFont="1">
      <alignment horizontal="center" readingOrder="0" shrinkToFit="0" wrapText="1"/>
    </xf>
    <xf borderId="0" fillId="17" fontId="7" numFmtId="0" xfId="0" applyAlignment="1" applyFill="1" applyFont="1">
      <alignment readingOrder="0"/>
    </xf>
    <xf borderId="0" fillId="7" fontId="7" numFmtId="0" xfId="0" applyAlignment="1" applyFill="1" applyFont="1">
      <alignment readingOrder="0"/>
    </xf>
    <xf borderId="0" fillId="2" fontId="3" numFmtId="0" xfId="0" applyAlignment="1" applyFill="1" applyFont="1">
      <alignment readingOrder="0" shrinkToFit="0" wrapText="1"/>
    </xf>
    <xf borderId="0" fillId="13" fontId="7" numFmtId="0" xfId="0" applyAlignment="1" applyFill="1" applyFont="1">
      <alignment readingOrder="0"/>
    </xf>
    <xf borderId="0" fillId="18" fontId="1" numFmtId="0" xfId="0" applyAlignment="1" applyFill="1" applyFont="1">
      <alignment readingOrder="0"/>
    </xf>
    <xf borderId="5" fillId="18" fontId="3" numFmtId="0" xfId="0" applyAlignment="1" applyBorder="1" applyFill="1" applyFont="1">
      <alignment readingOrder="0"/>
    </xf>
    <xf borderId="0" fillId="18" fontId="3" numFmtId="0" xfId="0" applyAlignment="1" applyFill="1" applyFont="1">
      <alignment readingOrder="0"/>
    </xf>
    <xf borderId="6" fillId="18" fontId="3" numFmtId="0" xfId="0" applyAlignment="1" applyBorder="1" applyFill="1" applyFont="1">
      <alignment readingOrder="0"/>
    </xf>
    <xf borderId="6" fillId="18" fontId="3" numFmtId="0" xfId="0" applyAlignment="1" applyBorder="1" applyFill="1" applyFont="1">
      <alignment horizontal="center" readingOrder="0" shrinkToFit="0" wrapText="1"/>
    </xf>
    <xf borderId="0" fillId="18" fontId="3" numFmtId="0" xfId="0" applyAlignment="1" applyFill="1" applyFont="1">
      <alignment horizontal="center" readingOrder="0" shrinkToFit="0" wrapText="1"/>
    </xf>
    <xf borderId="0" fillId="14" fontId="7" numFmtId="0" xfId="0" applyAlignment="1" applyFill="1" applyFont="1">
      <alignment readingOrder="0"/>
    </xf>
    <xf borderId="10" fillId="8" fontId="10" numFmtId="49" xfId="0" applyAlignment="1" applyBorder="1" applyFill="1" applyFont="1" applyNumberFormat="1">
      <alignment readingOrder="0" shrinkToFit="0" vertical="center" wrapText="1"/>
    </xf>
    <xf borderId="0" fillId="18" fontId="3" numFmtId="0" xfId="0" applyAlignment="1" applyFill="1" applyFont="1">
      <alignment readingOrder="0" shrinkToFit="0" wrapText="1"/>
    </xf>
    <xf borderId="0" fillId="16" fontId="1" numFmtId="0" xfId="0" applyAlignment="1" applyFill="1" applyFont="1">
      <alignment readingOrder="0"/>
    </xf>
    <xf borderId="0" fillId="19" fontId="7" numFmtId="0" xfId="0" applyAlignment="1" applyFill="1" applyFont="1">
      <alignment readingOrder="0"/>
    </xf>
    <xf borderId="5" fillId="16" fontId="3" numFmtId="0" xfId="0" applyAlignment="1" applyBorder="1" applyFill="1" applyFont="1">
      <alignment readingOrder="0"/>
    </xf>
    <xf borderId="0" fillId="16" fontId="3" numFmtId="0" xfId="0" applyAlignment="1" applyFill="1" applyFont="1">
      <alignment readingOrder="0"/>
    </xf>
    <xf borderId="6" fillId="16" fontId="3" numFmtId="0" xfId="0" applyAlignment="1" applyBorder="1" applyFill="1" applyFont="1">
      <alignment readingOrder="0"/>
    </xf>
    <xf borderId="6" fillId="16" fontId="3" numFmtId="0" xfId="0" applyAlignment="1" applyBorder="1" applyFill="1" applyFont="1">
      <alignment horizontal="center" readingOrder="0" shrinkToFit="0" wrapText="1"/>
    </xf>
    <xf borderId="0" fillId="16" fontId="3" numFmtId="0" xfId="0" applyAlignment="1" applyFill="1" applyFont="1">
      <alignment horizontal="center" readingOrder="0" shrinkToFit="0" wrapText="1"/>
    </xf>
    <xf borderId="0" fillId="20" fontId="7" numFmtId="0" xfId="0" applyAlignment="1" applyFill="1" applyFont="1">
      <alignment readingOrder="0"/>
    </xf>
    <xf borderId="0" fillId="16" fontId="3" numFmtId="0" xfId="0" applyAlignment="1" applyFill="1" applyFont="1">
      <alignment readingOrder="0" shrinkToFit="0" wrapText="1"/>
    </xf>
    <xf borderId="0" fillId="3" fontId="1" numFmtId="0" xfId="0" applyAlignment="1" applyFill="1" applyFont="1">
      <alignment readingOrder="0"/>
    </xf>
    <xf borderId="11" fillId="3" fontId="3" numFmtId="0" xfId="0" applyAlignment="1" applyBorder="1" applyFill="1" applyFont="1">
      <alignment readingOrder="0"/>
    </xf>
    <xf borderId="12" fillId="3" fontId="3" numFmtId="0" xfId="0" applyAlignment="1" applyBorder="1" applyFill="1" applyFont="1">
      <alignment readingOrder="0"/>
    </xf>
    <xf borderId="13" fillId="3" fontId="3" numFmtId="0" xfId="0" applyAlignment="1" applyBorder="1" applyFill="1" applyFont="1">
      <alignment readingOrder="0"/>
    </xf>
    <xf borderId="0" fillId="21" fontId="11" numFmtId="0" xfId="0" applyAlignment="1" applyFill="1" applyFont="1">
      <alignment readingOrder="0"/>
    </xf>
    <xf borderId="13" fillId="3" fontId="3" numFmtId="0" xfId="0" applyAlignment="1" applyBorder="1" applyFill="1" applyFont="1">
      <alignment horizontal="center" readingOrder="0" shrinkToFit="0" wrapText="1"/>
    </xf>
    <xf borderId="0" fillId="3" fontId="3" numFmtId="0" xfId="0" applyAlignment="1" applyFill="1" applyFont="1">
      <alignment horizontal="center" readingOrder="0" shrinkToFit="0" wrapText="1"/>
    </xf>
    <xf borderId="0" fillId="22" fontId="7" numFmtId="0" xfId="0" applyAlignment="1" applyFill="1" applyFont="1">
      <alignment readingOrder="0"/>
    </xf>
    <xf borderId="10" fillId="0" fontId="3" numFmtId="49" xfId="0" applyAlignment="1" applyBorder="1" applyFont="1" applyNumberFormat="1">
      <alignment horizontal="left" readingOrder="0" shrinkToFit="0" vertical="center" wrapText="1"/>
    </xf>
    <xf borderId="0" fillId="3" fontId="3" numFmtId="0" xfId="0" applyAlignment="1" applyFill="1" applyFont="1">
      <alignment readingOrder="0" shrinkToFit="0" wrapText="1"/>
    </xf>
    <xf borderId="0" fillId="0" fontId="3" numFmtId="0" xfId="0" applyAlignment="1" applyFont="1">
      <alignment horizontal="center" shrinkToFit="0" wrapText="1"/>
    </xf>
    <xf borderId="0" fillId="0" fontId="3" numFmtId="0" xfId="0" applyAlignment="1" applyFont="1">
      <alignment shrinkToFit="0" wrapText="1"/>
    </xf>
    <xf borderId="0" fillId="0" fontId="1" numFmtId="0" xfId="0" applyAlignment="1" applyFont="1">
      <alignment readingOrder="0" shrinkToFit="0" wrapText="1"/>
    </xf>
    <xf borderId="0" fillId="0" fontId="12" numFmtId="0" xfId="0" applyAlignment="1" applyFont="1">
      <alignment horizontal="center"/>
    </xf>
    <xf borderId="0" fillId="0" fontId="3" numFmtId="0" xfId="0" applyAlignment="1" applyFont="1">
      <alignment horizontal="center" shrinkToFit="0" vertical="center" wrapText="0"/>
    </xf>
    <xf borderId="0" fillId="0" fontId="3" numFmtId="0" xfId="0" applyAlignment="1" applyFont="1">
      <alignment horizontal="center" readingOrder="0" shrinkToFit="0" vertical="center" wrapText="0"/>
    </xf>
    <xf borderId="0" fillId="0" fontId="3" numFmtId="0" xfId="0" applyAlignment="1" applyFont="1">
      <alignment readingOrder="0" shrinkToFit="0" vertical="center" wrapText="0"/>
    </xf>
    <xf borderId="0" fillId="6" fontId="13" numFmtId="0" xfId="0" applyAlignment="1" applyFill="1" applyFont="1">
      <alignment readingOrder="0"/>
    </xf>
    <xf borderId="0" fillId="6" fontId="14" numFmtId="0" xfId="0" applyAlignment="1" applyFill="1" applyFont="1">
      <alignment horizontal="center"/>
    </xf>
    <xf borderId="0" fillId="6" fontId="14" numFmtId="0" xfId="0" applyAlignment="1" applyFill="1" applyFont="1">
      <alignment horizontal="center" shrinkToFit="0" wrapText="1"/>
    </xf>
    <xf borderId="0" fillId="6" fontId="14" numFmtId="0" xfId="0" applyFill="1" applyFont="1"/>
    <xf borderId="0" fillId="6" fontId="15" numFmtId="0" xfId="0" applyFill="1" applyFont="1"/>
    <xf borderId="0" fillId="6" fontId="16" numFmtId="0" xfId="0" applyAlignment="1" applyFill="1" applyFont="1">
      <alignment horizontal="center" readingOrder="0"/>
    </xf>
    <xf borderId="0" fillId="6" fontId="16" numFmtId="0" xfId="0" applyAlignment="1" applyFill="1" applyFont="1">
      <alignment readingOrder="0" vertical="center"/>
    </xf>
    <xf borderId="0" fillId="6" fontId="16" numFmtId="0" xfId="0" applyAlignment="1" applyFill="1" applyFont="1">
      <alignment readingOrder="0"/>
    </xf>
    <xf borderId="0" fillId="0" fontId="0" numFmtId="0" xfId="0" applyAlignment="1" applyFont="1">
      <alignment readingOrder="0"/>
    </xf>
    <xf borderId="0" fillId="0" fontId="3" numFmtId="0" xfId="0" applyAlignment="1" applyFont="1">
      <alignment horizontal="center" shrinkToFit="0" vertical="center" wrapText="1"/>
    </xf>
    <xf borderId="0" fillId="0" fontId="17" numFmtId="0" xfId="0" applyAlignment="1" applyFont="1">
      <alignment horizontal="left" readingOrder="0" shrinkToFit="0" wrapText="1"/>
    </xf>
    <xf borderId="0" fillId="0" fontId="18" numFmtId="0" xfId="0" applyAlignment="1" applyFont="1">
      <alignment horizontal="left" readingOrder="0" shrinkToFit="0" vertical="center" wrapText="1"/>
    </xf>
    <xf borderId="0" fillId="0" fontId="19" numFmtId="0" xfId="0" applyAlignment="1" applyFont="1">
      <alignment horizontal="center" readingOrder="0" vertical="center"/>
    </xf>
    <xf borderId="0" fillId="0" fontId="20" numFmtId="0" xfId="0" applyFont="1"/>
    <xf borderId="0" fillId="0" fontId="3" numFmtId="0" xfId="0" applyAlignment="1" applyFont="1">
      <alignment vertical="center"/>
    </xf>
    <xf borderId="0" fillId="0" fontId="17" numFmtId="0" xfId="0" applyAlignment="1" applyFont="1">
      <alignment horizontal="center" readingOrder="0" shrinkToFit="0" wrapText="1"/>
    </xf>
    <xf borderId="0" fillId="0" fontId="1" numFmtId="0" xfId="0" applyAlignment="1" applyFont="1">
      <alignment horizontal="center" readingOrder="0" shrinkToFit="0" vertical="center" wrapText="1"/>
    </xf>
    <xf borderId="0" fillId="0" fontId="17" numFmtId="0" xfId="0" applyAlignment="1" applyFont="1">
      <alignment horizontal="center" readingOrder="0" shrinkToFit="0" vertical="center" wrapText="1"/>
    </xf>
    <xf borderId="0" fillId="0" fontId="17" numFmtId="0" xfId="0" applyAlignment="1" applyFont="1">
      <alignment horizontal="center" readingOrder="0" shrinkToFit="0" vertical="center" wrapText="1"/>
    </xf>
    <xf borderId="0" fillId="0" fontId="21" numFmtId="0" xfId="0" applyAlignment="1" applyFont="1">
      <alignment horizontal="center" readingOrder="0" vertical="center"/>
    </xf>
    <xf borderId="2" fillId="23" fontId="3" numFmtId="0" xfId="0" applyAlignment="1" applyBorder="1" applyFill="1" applyFont="1">
      <alignment horizontal="center" readingOrder="0"/>
    </xf>
    <xf borderId="3" fillId="0" fontId="22" numFmtId="0" xfId="0" applyAlignment="1" applyBorder="1" applyFont="1">
      <alignment horizontal="left" readingOrder="0" shrinkToFit="0" wrapText="1"/>
    </xf>
    <xf borderId="3" fillId="0" fontId="23" numFmtId="0" xfId="0" applyAlignment="1" applyBorder="1" applyFont="1">
      <alignment horizontal="left" readingOrder="0" shrinkToFit="0" wrapText="1"/>
    </xf>
    <xf borderId="4" fillId="0" fontId="23" numFmtId="0" xfId="0" applyAlignment="1" applyBorder="1" applyFont="1">
      <alignment horizontal="left" readingOrder="0" shrinkToFit="0" wrapText="1"/>
    </xf>
    <xf borderId="2" fillId="23" fontId="24" numFmtId="0" xfId="0" applyAlignment="1" applyBorder="1" applyFill="1" applyFont="1">
      <alignment horizontal="center" readingOrder="0" vertical="center"/>
    </xf>
    <xf borderId="14" fillId="24" fontId="22" numFmtId="0" xfId="0" applyAlignment="1" applyBorder="1" applyFill="1" applyFont="1">
      <alignment horizontal="left" readingOrder="0" shrinkToFit="0" vertical="center" wrapText="1"/>
    </xf>
    <xf borderId="15" fillId="24" fontId="25" numFmtId="0" xfId="0" applyAlignment="1" applyBorder="1" applyFill="1" applyFont="1">
      <alignment horizontal="left" readingOrder="0" shrinkToFit="0" wrapText="1"/>
    </xf>
    <xf borderId="4" fillId="23" fontId="19" numFmtId="0" xfId="0" applyAlignment="1" applyBorder="1" applyFill="1" applyFont="1">
      <alignment horizontal="center" readingOrder="0" vertical="center"/>
    </xf>
    <xf borderId="0" fillId="0" fontId="20" numFmtId="0" xfId="0" applyAlignment="1" applyFont="1">
      <alignment horizontal="center" vertical="center"/>
    </xf>
    <xf borderId="5" fillId="23" fontId="3" numFmtId="0" xfId="0" applyAlignment="1" applyBorder="1" applyFill="1" applyFont="1">
      <alignment horizontal="center" readingOrder="0"/>
    </xf>
    <xf borderId="0" fillId="0" fontId="22" numFmtId="0" xfId="0" applyAlignment="1" applyFont="1">
      <alignment horizontal="left" readingOrder="0" shrinkToFit="0" wrapText="1"/>
    </xf>
    <xf borderId="0" fillId="0" fontId="23" numFmtId="0" xfId="0" applyAlignment="1" applyFont="1">
      <alignment horizontal="left" readingOrder="0" shrinkToFit="0" wrapText="1"/>
    </xf>
    <xf borderId="6" fillId="0" fontId="23" numFmtId="0" xfId="0" applyAlignment="1" applyBorder="1" applyFont="1">
      <alignment horizontal="left" readingOrder="0" shrinkToFit="0" wrapText="1"/>
    </xf>
    <xf borderId="2" fillId="23" fontId="3" numFmtId="0" xfId="0" applyAlignment="1" applyBorder="1" applyFill="1" applyFont="1">
      <alignment horizontal="center" shrinkToFit="0" vertical="center" wrapText="1"/>
    </xf>
    <xf borderId="15" fillId="24" fontId="23" numFmtId="0" xfId="0" applyAlignment="1" applyBorder="1" applyFill="1" applyFont="1">
      <alignment horizontal="left" readingOrder="0" shrinkToFit="0" wrapText="1"/>
    </xf>
    <xf borderId="5" fillId="23" fontId="3" numFmtId="0" xfId="0" applyAlignment="1" applyBorder="1" applyFill="1" applyFont="1">
      <alignment horizontal="center" shrinkToFit="0" vertical="center" wrapText="1"/>
    </xf>
    <xf borderId="16" fillId="24" fontId="22" numFmtId="0" xfId="0" applyAlignment="1" applyBorder="1" applyFill="1" applyFont="1">
      <alignment horizontal="left" readingOrder="0" shrinkToFit="0" vertical="center" wrapText="1"/>
    </xf>
    <xf borderId="17" fillId="24" fontId="23" numFmtId="0" xfId="0" applyAlignment="1" applyBorder="1" applyFill="1" applyFont="1">
      <alignment horizontal="left" readingOrder="0" shrinkToFit="0" wrapText="1"/>
    </xf>
    <xf borderId="6" fillId="0" fontId="2" numFmtId="0" xfId="0" applyBorder="1" applyFont="1"/>
    <xf borderId="5" fillId="25" fontId="3" numFmtId="0" xfId="0" applyAlignment="1" applyBorder="1" applyFill="1" applyFont="1">
      <alignment horizontal="center" shrinkToFit="0" vertical="center" wrapText="1"/>
    </xf>
    <xf borderId="16" fillId="8" fontId="22" numFmtId="0" xfId="0" applyAlignment="1" applyBorder="1" applyFill="1" applyFont="1">
      <alignment horizontal="left" readingOrder="0" shrinkToFit="0" vertical="center" wrapText="1"/>
    </xf>
    <xf borderId="17" fillId="8" fontId="23" numFmtId="0" xfId="0" applyAlignment="1" applyBorder="1" applyFill="1" applyFont="1">
      <alignment horizontal="left" readingOrder="0" shrinkToFit="0" wrapText="1"/>
    </xf>
    <xf borderId="11" fillId="23" fontId="3" numFmtId="0" xfId="0" applyAlignment="1" applyBorder="1" applyFill="1" applyFont="1">
      <alignment horizontal="center" shrinkToFit="0" vertical="center" wrapText="1"/>
    </xf>
    <xf borderId="18" fillId="24" fontId="22" numFmtId="0" xfId="0" applyAlignment="1" applyBorder="1" applyFill="1" applyFont="1">
      <alignment horizontal="left" readingOrder="0" shrinkToFit="0" vertical="center" wrapText="1"/>
    </xf>
    <xf borderId="19" fillId="24" fontId="23" numFmtId="0" xfId="0" applyAlignment="1" applyBorder="1" applyFill="1" applyFont="1">
      <alignment horizontal="left" readingOrder="0" shrinkToFit="0" wrapText="1"/>
    </xf>
    <xf borderId="13" fillId="0" fontId="2" numFmtId="0" xfId="0" applyBorder="1" applyFont="1"/>
    <xf borderId="20" fillId="23" fontId="3" numFmtId="0" xfId="0" applyAlignment="1" applyBorder="1" applyFill="1" applyFont="1">
      <alignment horizontal="center" shrinkToFit="0" vertical="center" wrapText="1"/>
    </xf>
    <xf borderId="21" fillId="24" fontId="22" numFmtId="0" xfId="0" applyAlignment="1" applyBorder="1" applyFill="1" applyFont="1">
      <alignment horizontal="left" readingOrder="0" shrinkToFit="0" vertical="center" wrapText="1"/>
    </xf>
    <xf borderId="22" fillId="24" fontId="23" numFmtId="0" xfId="0" applyAlignment="1" applyBorder="1" applyFill="1" applyFont="1">
      <alignment horizontal="left" readingOrder="0" shrinkToFit="0" wrapText="1"/>
    </xf>
    <xf borderId="23" fillId="23" fontId="19" numFmtId="0" xfId="0" applyAlignment="1" applyBorder="1" applyFill="1" applyFont="1">
      <alignment horizontal="center" readingOrder="0" vertical="center"/>
    </xf>
    <xf borderId="2" fillId="25" fontId="3" numFmtId="0" xfId="0" applyAlignment="1" applyBorder="1" applyFill="1" applyFont="1">
      <alignment horizontal="center" shrinkToFit="0" vertical="center" wrapText="1"/>
    </xf>
    <xf borderId="14" fillId="8" fontId="22" numFmtId="0" xfId="0" applyAlignment="1" applyBorder="1" applyFill="1" applyFont="1">
      <alignment horizontal="left" readingOrder="0" shrinkToFit="0" vertical="center" wrapText="1"/>
    </xf>
    <xf borderId="15" fillId="8" fontId="23" numFmtId="0" xfId="0" applyAlignment="1" applyBorder="1" applyFill="1" applyFont="1">
      <alignment horizontal="left" readingOrder="0" shrinkToFit="0" wrapText="1"/>
    </xf>
    <xf borderId="4" fillId="8" fontId="19" numFmtId="0" xfId="0" applyAlignment="1" applyBorder="1" applyFill="1" applyFont="1">
      <alignment horizontal="center" readingOrder="0" vertical="center"/>
    </xf>
    <xf borderId="11" fillId="23" fontId="3" numFmtId="0" xfId="0" applyAlignment="1" applyBorder="1" applyFill="1" applyFont="1">
      <alignment horizontal="center" readingOrder="0"/>
    </xf>
    <xf borderId="12" fillId="0" fontId="22" numFmtId="0" xfId="0" applyAlignment="1" applyBorder="1" applyFont="1">
      <alignment horizontal="left" readingOrder="0" shrinkToFit="0" wrapText="1"/>
    </xf>
    <xf borderId="12" fillId="0" fontId="23" numFmtId="0" xfId="0" applyAlignment="1" applyBorder="1" applyFont="1">
      <alignment horizontal="left" readingOrder="0" shrinkToFit="0" wrapText="1"/>
    </xf>
    <xf borderId="13" fillId="0" fontId="23" numFmtId="0" xfId="0" applyAlignment="1" applyBorder="1" applyFont="1">
      <alignment horizontal="left" readingOrder="0" shrinkToFit="0" wrapText="1"/>
    </xf>
    <xf borderId="0" fillId="0" fontId="6" numFmtId="0" xfId="0" applyAlignment="1" applyFont="1">
      <alignment readingOrder="0" vertical="bottom"/>
    </xf>
    <xf borderId="0" fillId="23" fontId="21" numFmtId="0" xfId="0" applyAlignment="1" applyFill="1" applyFont="1">
      <alignment readingOrder="0"/>
    </xf>
    <xf borderId="0" fillId="23" fontId="21" numFmtId="0" xfId="0" applyAlignment="1" applyFill="1" applyFont="1">
      <alignment horizontal="center"/>
    </xf>
    <xf borderId="2" fillId="0" fontId="3" numFmtId="0" xfId="0" applyAlignment="1" applyBorder="1" applyFont="1">
      <alignment horizontal="left" shrinkToFit="0" wrapText="1"/>
    </xf>
    <xf borderId="0" fillId="23" fontId="21" numFmtId="0" xfId="0" applyAlignment="1" applyFill="1" applyFont="1">
      <alignment horizontal="center" shrinkToFit="0" wrapText="1"/>
    </xf>
    <xf borderId="11" fillId="25" fontId="3" numFmtId="0" xfId="0" applyAlignment="1" applyBorder="1" applyFill="1" applyFont="1">
      <alignment horizontal="center" shrinkToFit="0" vertical="center" wrapText="1"/>
    </xf>
    <xf borderId="18" fillId="8" fontId="22" numFmtId="0" xfId="0" applyAlignment="1" applyBorder="1" applyFill="1" applyFont="1">
      <alignment horizontal="left" readingOrder="0" shrinkToFit="0" vertical="center" wrapText="1"/>
    </xf>
    <xf borderId="0" fillId="23" fontId="21" numFmtId="0" xfId="0" applyAlignment="1" applyFill="1" applyFont="1">
      <alignment horizontal="center" readingOrder="0"/>
    </xf>
    <xf borderId="19" fillId="8" fontId="23" numFmtId="0" xfId="0" applyAlignment="1" applyBorder="1" applyFill="1" applyFont="1">
      <alignment horizontal="left" readingOrder="0" shrinkToFit="0" wrapText="1"/>
    </xf>
    <xf borderId="5" fillId="0" fontId="3" numFmtId="0" xfId="0" applyAlignment="1" applyBorder="1" applyFont="1">
      <alignment horizontal="left" shrinkToFit="0" wrapText="1"/>
    </xf>
    <xf borderId="0" fillId="23" fontId="26" numFmtId="0" xfId="0" applyFill="1" applyFont="1"/>
    <xf borderId="0" fillId="0" fontId="26" numFmtId="0" xfId="0" applyFont="1"/>
    <xf borderId="0" fillId="0" fontId="3" numFmtId="0" xfId="0" applyFont="1"/>
    <xf borderId="0" fillId="0" fontId="12" numFmtId="0" xfId="0" applyAlignment="1" applyFont="1">
      <alignment readingOrder="0"/>
    </xf>
    <xf borderId="0" fillId="0" fontId="26" numFmtId="0" xfId="0" applyAlignment="1" applyFont="1">
      <alignment readingOrder="0"/>
    </xf>
    <xf borderId="0" fillId="0" fontId="3" numFmtId="0" xfId="0" applyAlignment="1" applyFont="1">
      <alignment horizontal="center" readingOrder="0" shrinkToFit="0" wrapText="1"/>
    </xf>
    <xf borderId="20" fillId="25" fontId="3" numFmtId="0" xfId="0" applyAlignment="1" applyBorder="1" applyFill="1" applyFont="1">
      <alignment horizontal="center" shrinkToFit="0" vertical="center" wrapText="1"/>
    </xf>
    <xf borderId="21" fillId="8" fontId="22" numFmtId="0" xfId="0" applyAlignment="1" applyBorder="1" applyFill="1" applyFont="1">
      <alignment horizontal="left" readingOrder="0" shrinkToFit="0" vertical="center" wrapText="1"/>
    </xf>
    <xf borderId="22" fillId="8" fontId="23" numFmtId="0" xfId="0" applyAlignment="1" applyBorder="1" applyFill="1" applyFont="1">
      <alignment horizontal="left" readingOrder="0" shrinkToFit="0" wrapText="1"/>
    </xf>
    <xf borderId="23" fillId="26" fontId="19" numFmtId="0" xfId="0" applyAlignment="1" applyBorder="1" applyFill="1" applyFont="1">
      <alignment horizontal="center" readingOrder="0" vertical="center"/>
    </xf>
    <xf borderId="0" fillId="0" fontId="3" numFmtId="0" xfId="0" applyAlignment="1" applyFont="1">
      <alignment readingOrder="0" shrinkToFit="0" wrapText="1"/>
    </xf>
    <xf borderId="0" fillId="0" fontId="3" numFmtId="0" xfId="0" applyAlignment="1" applyFont="1">
      <alignment horizontal="center" readingOrder="0" shrinkToFit="0" vertical="center" wrapText="1"/>
    </xf>
    <xf borderId="0" fillId="0" fontId="23" numFmtId="0" xfId="0" applyAlignment="1" applyFont="1">
      <alignment horizontal="left" readingOrder="0" shrinkToFit="0" vertical="center" wrapText="1"/>
    </xf>
    <xf borderId="0" fillId="0" fontId="3" numFmtId="0" xfId="0" applyAlignment="1" applyFont="1">
      <alignment horizontal="center" vertical="center"/>
    </xf>
    <xf borderId="5" fillId="0" fontId="3" numFmtId="0" xfId="0" applyAlignment="1" applyBorder="1" applyFont="1">
      <alignment horizontal="left" shrinkToFit="0" vertical="center" wrapText="1"/>
    </xf>
    <xf borderId="11" fillId="0" fontId="3" numFmtId="0" xfId="0" applyAlignment="1" applyBorder="1" applyFont="1">
      <alignment horizontal="left" shrinkToFit="0" vertical="center" wrapText="1"/>
    </xf>
    <xf borderId="12" fillId="0" fontId="2" numFmtId="0" xfId="0" applyBorder="1" applyFont="1"/>
    <xf borderId="0" fillId="0" fontId="26" numFmtId="0" xfId="0" applyAlignment="1" applyFont="1">
      <alignment shrinkToFit="0" wrapText="1"/>
    </xf>
    <xf borderId="0" fillId="0" fontId="26" numFmtId="0" xfId="0" applyAlignment="1" applyFont="1">
      <alignment shrinkToFit="0" vertical="center" wrapText="1"/>
    </xf>
    <xf borderId="0" fillId="0" fontId="19" numFmtId="0" xfId="0" applyAlignment="1" applyFont="1">
      <alignment horizontal="center" shrinkToFit="0" vertical="center" wrapText="1"/>
    </xf>
    <xf borderId="0" fillId="0" fontId="26" numFmtId="0" xfId="0" applyAlignment="1" applyFont="1">
      <alignment horizontal="center" readingOrder="0"/>
    </xf>
    <xf borderId="24" fillId="8" fontId="13" numFmtId="0" xfId="0" applyAlignment="1" applyBorder="1" applyFill="1" applyFont="1">
      <alignment readingOrder="0"/>
    </xf>
    <xf borderId="25" fillId="8" fontId="14" numFmtId="0" xfId="0" applyAlignment="1" applyBorder="1" applyFill="1" applyFont="1">
      <alignment horizontal="center"/>
    </xf>
    <xf borderId="25" fillId="8" fontId="14" numFmtId="0" xfId="0" applyAlignment="1" applyBorder="1" applyFill="1" applyFont="1">
      <alignment horizontal="center" shrinkToFit="0" wrapText="1"/>
    </xf>
    <xf borderId="25" fillId="8" fontId="14" numFmtId="0" xfId="0" applyBorder="1" applyFill="1" applyFont="1"/>
    <xf borderId="25" fillId="0" fontId="15" numFmtId="0" xfId="0" applyAlignment="1" applyBorder="1" applyFont="1">
      <alignment readingOrder="0"/>
    </xf>
    <xf borderId="25" fillId="0" fontId="16" numFmtId="0" xfId="0" applyAlignment="1" applyBorder="1" applyFont="1">
      <alignment horizontal="center" readingOrder="0"/>
    </xf>
    <xf borderId="25" fillId="0" fontId="16" numFmtId="0" xfId="0" applyAlignment="1" applyBorder="1" applyFont="1">
      <alignment readingOrder="0" vertical="center"/>
    </xf>
    <xf borderId="25" fillId="0" fontId="16" numFmtId="0" xfId="0" applyAlignment="1" applyBorder="1" applyFont="1">
      <alignment readingOrder="0"/>
    </xf>
    <xf borderId="25" fillId="0" fontId="14" numFmtId="0" xfId="0" applyBorder="1" applyFont="1"/>
    <xf borderId="26" fillId="8" fontId="14" numFmtId="0" xfId="0" applyBorder="1" applyFill="1" applyFont="1"/>
    <xf borderId="0" fillId="8" fontId="14" numFmtId="0" xfId="0" applyFill="1" applyFont="1"/>
    <xf borderId="0" fillId="0" fontId="20" numFmtId="0" xfId="0" applyAlignment="1" applyFont="1">
      <alignment readingOrder="0"/>
    </xf>
    <xf borderId="20" fillId="23" fontId="24" numFmtId="0" xfId="0" applyAlignment="1" applyBorder="1" applyFill="1" applyFont="1">
      <alignment horizontal="center" readingOrder="0" vertical="center"/>
    </xf>
    <xf borderId="20" fillId="24" fontId="22" numFmtId="0" xfId="0" applyAlignment="1" applyBorder="1" applyFill="1" applyFont="1">
      <alignment horizontal="left" readingOrder="0" shrinkToFit="0" vertical="center" wrapText="1"/>
    </xf>
    <xf borderId="22" fillId="24" fontId="25" numFmtId="0" xfId="0" applyAlignment="1" applyBorder="1" applyFill="1" applyFont="1">
      <alignment horizontal="left" readingOrder="0" shrinkToFit="0" wrapText="1"/>
    </xf>
    <xf borderId="0" fillId="0" fontId="20" numFmtId="0" xfId="0" applyAlignment="1" applyFont="1">
      <alignment horizontal="center" readingOrder="0" vertical="center"/>
    </xf>
    <xf borderId="2" fillId="8" fontId="22" numFmtId="0" xfId="0" applyAlignment="1" applyBorder="1" applyFill="1" applyFont="1">
      <alignment horizontal="left" readingOrder="0" shrinkToFit="0" vertical="center" wrapText="1"/>
    </xf>
    <xf borderId="4" fillId="26" fontId="19" numFmtId="0" xfId="0" applyAlignment="1" applyBorder="1" applyFill="1" applyFont="1">
      <alignment horizontal="center" readingOrder="0" vertical="center"/>
    </xf>
    <xf borderId="5" fillId="24" fontId="22" numFmtId="0" xfId="0" applyAlignment="1" applyBorder="1" applyFill="1" applyFont="1">
      <alignment horizontal="left" readingOrder="0" shrinkToFit="0" vertical="center" wrapText="1"/>
    </xf>
    <xf borderId="5" fillId="9" fontId="3" numFmtId="0" xfId="0" applyAlignment="1" applyBorder="1" applyFill="1" applyFont="1">
      <alignment horizontal="center" readingOrder="0"/>
    </xf>
    <xf borderId="5" fillId="8" fontId="22" numFmtId="0" xfId="0" applyAlignment="1" applyBorder="1" applyFill="1" applyFont="1">
      <alignment horizontal="left" readingOrder="0" shrinkToFit="0" vertical="center" wrapText="1"/>
    </xf>
    <xf borderId="0" fillId="23" fontId="27" numFmtId="0" xfId="0" applyAlignment="1" applyFill="1" applyFont="1">
      <alignment readingOrder="0"/>
    </xf>
    <xf borderId="0" fillId="23" fontId="14" numFmtId="0" xfId="0" applyAlignment="1" applyFill="1" applyFont="1">
      <alignment horizontal="center"/>
    </xf>
    <xf borderId="0" fillId="23" fontId="14" numFmtId="0" xfId="0" applyAlignment="1" applyFill="1" applyFont="1">
      <alignment horizontal="center" shrinkToFit="0" wrapText="1"/>
    </xf>
    <xf borderId="0" fillId="23" fontId="14" numFmtId="0" xfId="0" applyFill="1" applyFont="1"/>
    <xf borderId="0" fillId="23" fontId="16" numFmtId="0" xfId="0" applyAlignment="1" applyFill="1" applyFont="1">
      <alignment readingOrder="0"/>
    </xf>
    <xf borderId="11" fillId="9" fontId="3" numFmtId="0" xfId="0" applyAlignment="1" applyBorder="1" applyFill="1" applyFont="1">
      <alignment horizontal="center" readingOrder="0"/>
    </xf>
    <xf borderId="0" fillId="0" fontId="16" numFmtId="0" xfId="0" applyAlignment="1" applyFont="1">
      <alignment readingOrder="0"/>
    </xf>
    <xf borderId="2" fillId="24" fontId="22" numFmtId="0" xfId="0" applyAlignment="1" applyBorder="1" applyFill="1" applyFont="1">
      <alignment horizontal="left" readingOrder="0" shrinkToFit="0" vertical="center" wrapText="1"/>
    </xf>
    <xf borderId="0" fillId="0" fontId="28" numFmtId="0" xfId="0" applyAlignment="1" applyFont="1">
      <alignment readingOrder="0"/>
    </xf>
    <xf borderId="0" fillId="0" fontId="1" numFmtId="0" xfId="0" applyAlignment="1" applyFont="1">
      <alignment horizontal="center" readingOrder="0" shrinkToFit="0" wrapText="1"/>
    </xf>
    <xf borderId="11" fillId="8" fontId="22" numFmtId="0" xfId="0" applyAlignment="1" applyBorder="1" applyFill="1" applyFont="1">
      <alignment horizontal="left" readingOrder="0" shrinkToFit="0" vertical="center" wrapText="1"/>
    </xf>
    <xf borderId="6" fillId="23" fontId="19" numFmtId="0" xfId="0" applyAlignment="1" applyBorder="1" applyFill="1" applyFont="1">
      <alignment horizontal="center" readingOrder="0" vertical="center"/>
    </xf>
    <xf borderId="0" fillId="27" fontId="27" numFmtId="0" xfId="0" applyAlignment="1" applyFill="1" applyFont="1">
      <alignment readingOrder="0"/>
    </xf>
    <xf borderId="0" fillId="27" fontId="14" numFmtId="0" xfId="0" applyAlignment="1" applyFill="1" applyFont="1">
      <alignment horizontal="center"/>
    </xf>
    <xf borderId="0" fillId="27" fontId="14" numFmtId="0" xfId="0" applyAlignment="1" applyFill="1" applyFont="1">
      <alignment horizontal="center" shrinkToFit="0" wrapText="1"/>
    </xf>
    <xf borderId="0" fillId="27" fontId="14" numFmtId="0" xfId="0" applyFill="1" applyFont="1"/>
    <xf borderId="0" fillId="27" fontId="16" numFmtId="0" xfId="0" applyAlignment="1" applyFill="1" applyFont="1">
      <alignment readingOrder="0"/>
    </xf>
    <xf borderId="2" fillId="0" fontId="3" numFmtId="0" xfId="0" applyAlignment="1" applyBorder="1" applyFont="1">
      <alignment shrinkToFit="0" wrapText="1"/>
    </xf>
    <xf borderId="5" fillId="0" fontId="3" numFmtId="0" xfId="0" applyAlignment="1" applyBorder="1" applyFont="1">
      <alignment shrinkToFit="0" wrapText="1"/>
    </xf>
    <xf borderId="20" fillId="8" fontId="22" numFmtId="0" xfId="0" applyAlignment="1" applyBorder="1" applyFill="1" applyFont="1">
      <alignment horizontal="left" readingOrder="0" shrinkToFit="0" vertical="center" wrapText="1"/>
    </xf>
    <xf borderId="0" fillId="16" fontId="13" numFmtId="0" xfId="0" applyAlignment="1" applyFill="1" applyFont="1">
      <alignment readingOrder="0"/>
    </xf>
    <xf borderId="0" fillId="16" fontId="14" numFmtId="0" xfId="0" applyAlignment="1" applyFill="1" applyFont="1">
      <alignment horizontal="center"/>
    </xf>
    <xf borderId="0" fillId="16" fontId="14" numFmtId="0" xfId="0" applyAlignment="1" applyFill="1" applyFont="1">
      <alignment horizontal="center" shrinkToFit="0" wrapText="1"/>
    </xf>
    <xf borderId="0" fillId="16" fontId="14" numFmtId="0" xfId="0" applyFill="1" applyFont="1"/>
    <xf borderId="0" fillId="16" fontId="15" numFmtId="0" xfId="0" applyFill="1" applyFont="1"/>
    <xf borderId="0" fillId="16" fontId="16" numFmtId="0" xfId="0" applyAlignment="1" applyFill="1" applyFont="1">
      <alignment horizontal="center" readingOrder="0"/>
    </xf>
    <xf borderId="0" fillId="16" fontId="16" numFmtId="0" xfId="0" applyAlignment="1" applyFill="1" applyFont="1">
      <alignment readingOrder="0" vertical="center"/>
    </xf>
    <xf borderId="0" fillId="16" fontId="16" numFmtId="0" xfId="0" applyAlignment="1" applyFill="1" applyFont="1">
      <alignment readingOrder="0"/>
    </xf>
    <xf borderId="15" fillId="8" fontId="29" numFmtId="0" xfId="0" applyAlignment="1" applyBorder="1" applyFill="1" applyFont="1">
      <alignment horizontal="left" readingOrder="0" shrinkToFit="0" wrapText="1"/>
    </xf>
    <xf borderId="17" fillId="8" fontId="29" numFmtId="0" xfId="0" applyAlignment="1" applyBorder="1" applyFill="1" applyFont="1">
      <alignment horizontal="left" readingOrder="0" shrinkToFit="0" wrapText="1"/>
    </xf>
    <xf borderId="19" fillId="8" fontId="29" numFmtId="0" xfId="0" applyAlignment="1" applyBorder="1" applyFill="1" applyFont="1">
      <alignment horizontal="left" readingOrder="0" shrinkToFit="0" wrapText="1"/>
    </xf>
    <xf borderId="15" fillId="24" fontId="29" numFmtId="0" xfId="0" applyAlignment="1" applyBorder="1" applyFill="1" applyFont="1">
      <alignment horizontal="left" readingOrder="0" shrinkToFit="0" wrapText="1"/>
    </xf>
    <xf borderId="18" fillId="8" fontId="23" numFmtId="0" xfId="0" applyAlignment="1" applyBorder="1" applyFill="1" applyFont="1">
      <alignment horizontal="left" readingOrder="0" shrinkToFit="0" vertical="center" wrapText="1"/>
    </xf>
    <xf borderId="0" fillId="0" fontId="23" numFmtId="164" xfId="0" applyAlignment="1" applyFont="1" applyNumberFormat="1">
      <alignment horizontal="left" readingOrder="0" shrinkToFit="0" wrapText="1"/>
    </xf>
    <xf borderId="0" fillId="0" fontId="26" numFmtId="0" xfId="0" applyAlignment="1" applyFont="1">
      <alignment readingOrder="0" shrinkToFit="0" wrapText="1"/>
    </xf>
    <xf borderId="5" fillId="0" fontId="3" numFmtId="0" xfId="0" applyAlignment="1" applyBorder="1" applyFont="1">
      <alignment readingOrder="0" shrinkToFit="0" wrapText="1"/>
    </xf>
    <xf borderId="0" fillId="10" fontId="13" numFmtId="0" xfId="0" applyAlignment="1" applyFill="1" applyFont="1">
      <alignment readingOrder="0"/>
    </xf>
    <xf borderId="0" fillId="10" fontId="14" numFmtId="0" xfId="0" applyAlignment="1" applyFill="1" applyFont="1">
      <alignment horizontal="center"/>
    </xf>
    <xf borderId="0" fillId="10" fontId="14" numFmtId="0" xfId="0" applyAlignment="1" applyFill="1" applyFont="1">
      <alignment horizontal="center" shrinkToFit="0" wrapText="1"/>
    </xf>
    <xf borderId="0" fillId="10" fontId="14" numFmtId="0" xfId="0" applyFill="1" applyFont="1"/>
    <xf borderId="23" fillId="8" fontId="19" numFmtId="0" xfId="0" applyAlignment="1" applyBorder="1" applyFill="1" applyFont="1">
      <alignment horizontal="center" readingOrder="0" vertical="center"/>
    </xf>
    <xf borderId="0" fillId="10" fontId="15" numFmtId="0" xfId="0" applyFill="1" applyFont="1"/>
    <xf borderId="0" fillId="10" fontId="16" numFmtId="0" xfId="0" applyAlignment="1" applyFill="1" applyFont="1">
      <alignment horizontal="center" readingOrder="0"/>
    </xf>
    <xf borderId="0" fillId="10" fontId="16" numFmtId="0" xfId="0" applyAlignment="1" applyFill="1" applyFont="1">
      <alignment readingOrder="0" vertical="center"/>
    </xf>
    <xf borderId="0" fillId="10" fontId="16" numFmtId="0" xfId="0" applyAlignment="1" applyFill="1" applyFont="1">
      <alignment readingOrder="0"/>
    </xf>
    <xf borderId="15" fillId="8" fontId="25" numFmtId="0" xfId="0" applyAlignment="1" applyBorder="1" applyFill="1" applyFont="1">
      <alignment horizontal="left" readingOrder="0" shrinkToFit="0" wrapText="1"/>
    </xf>
    <xf borderId="11" fillId="24" fontId="22" numFmtId="0" xfId="0" applyAlignment="1" applyBorder="1" applyFill="1" applyFont="1">
      <alignment horizontal="left" readingOrder="0" shrinkToFit="0" vertical="center" wrapText="1"/>
    </xf>
    <xf borderId="22" fillId="24" fontId="3" numFmtId="0" xfId="0" applyBorder="1" applyFill="1" applyFont="1"/>
    <xf borderId="0" fillId="16" fontId="27" numFmtId="0" xfId="0" applyAlignment="1" applyFill="1" applyFont="1">
      <alignment readingOrder="0"/>
    </xf>
    <xf borderId="20" fillId="25" fontId="3" numFmtId="0" xfId="0" applyAlignment="1" applyBorder="1" applyFill="1" applyFont="1">
      <alignment horizontal="center" vertical="center"/>
    </xf>
    <xf borderId="0" fillId="10" fontId="27" numFmtId="0" xfId="0" applyAlignment="1" applyFill="1" applyFont="1">
      <alignment readingOrder="0"/>
    </xf>
    <xf borderId="0" fillId="7" fontId="13" numFmtId="0" xfId="0" applyAlignment="1" applyFill="1" applyFont="1">
      <alignment readingOrder="0"/>
    </xf>
    <xf borderId="0" fillId="7" fontId="14" numFmtId="0" xfId="0" applyAlignment="1" applyFill="1" applyFont="1">
      <alignment horizontal="center"/>
    </xf>
    <xf borderId="0" fillId="7" fontId="14" numFmtId="0" xfId="0" applyAlignment="1" applyFill="1" applyFont="1">
      <alignment horizontal="center" shrinkToFit="0" wrapText="1"/>
    </xf>
    <xf borderId="0" fillId="7" fontId="14" numFmtId="0" xfId="0" applyFill="1" applyFont="1"/>
    <xf borderId="0" fillId="7" fontId="15" numFmtId="0" xfId="0" applyFill="1" applyFont="1"/>
    <xf borderId="0" fillId="7" fontId="16" numFmtId="0" xfId="0" applyAlignment="1" applyFill="1" applyFont="1">
      <alignment horizontal="center" readingOrder="0"/>
    </xf>
    <xf borderId="0" fillId="7" fontId="16" numFmtId="0" xfId="0" applyAlignment="1" applyFill="1" applyFont="1">
      <alignment readingOrder="0" vertical="center"/>
    </xf>
    <xf borderId="0" fillId="7" fontId="16" numFmtId="0" xfId="0" applyAlignment="1" applyFill="1" applyFont="1">
      <alignment readingOrder="0"/>
    </xf>
    <xf borderId="0" fillId="7" fontId="27" numFmtId="0" xfId="0" applyAlignment="1" applyFill="1" applyFont="1">
      <alignment readingOrder="0"/>
    </xf>
    <xf borderId="6" fillId="0" fontId="3" numFmtId="0" xfId="0" applyAlignment="1" applyBorder="1" applyFont="1">
      <alignment horizontal="left" shrinkToFit="0" vertical="top" wrapText="1"/>
    </xf>
    <xf borderId="2" fillId="8" fontId="30" numFmtId="0" xfId="0" applyAlignment="1" applyBorder="1" applyFill="1" applyFont="1">
      <alignment shrinkToFit="0" wrapText="1"/>
    </xf>
    <xf borderId="11" fillId="0" fontId="3" numFmtId="0" xfId="0" applyAlignment="1" applyBorder="1" applyFont="1">
      <alignment horizontal="center" shrinkToFit="0" vertical="center" wrapText="1"/>
    </xf>
    <xf borderId="0" fillId="13" fontId="13" numFmtId="0" xfId="0" applyAlignment="1" applyFill="1" applyFont="1">
      <alignment readingOrder="0"/>
    </xf>
    <xf borderId="0" fillId="13" fontId="14" numFmtId="0" xfId="0" applyAlignment="1" applyFill="1" applyFont="1">
      <alignment horizontal="center"/>
    </xf>
    <xf borderId="0" fillId="13" fontId="14" numFmtId="0" xfId="0" applyAlignment="1" applyFill="1" applyFont="1">
      <alignment horizontal="center" shrinkToFit="0" wrapText="1"/>
    </xf>
    <xf borderId="0" fillId="13" fontId="14" numFmtId="0" xfId="0" applyFill="1" applyFont="1"/>
    <xf borderId="0" fillId="13" fontId="15" numFmtId="0" xfId="0" applyFill="1" applyFont="1"/>
    <xf borderId="0" fillId="13" fontId="16" numFmtId="0" xfId="0" applyAlignment="1" applyFill="1" applyFont="1">
      <alignment horizontal="center" readingOrder="0"/>
    </xf>
    <xf borderId="0" fillId="13" fontId="16" numFmtId="0" xfId="0" applyAlignment="1" applyFill="1" applyFont="1">
      <alignment readingOrder="0" vertical="center"/>
    </xf>
    <xf borderId="0" fillId="13" fontId="16" numFmtId="0" xfId="0" applyAlignment="1" applyFill="1" applyFont="1">
      <alignment readingOrder="0"/>
    </xf>
    <xf borderId="20" fillId="25" fontId="24" numFmtId="0" xfId="0" applyAlignment="1" applyBorder="1" applyFill="1" applyFont="1">
      <alignment horizontal="center" readingOrder="0"/>
    </xf>
    <xf borderId="22" fillId="8" fontId="25" numFmtId="0" xfId="0" applyAlignment="1" applyBorder="1" applyFill="1" applyFont="1">
      <alignment horizontal="left" readingOrder="0" shrinkToFit="0" wrapText="1"/>
    </xf>
    <xf borderId="3" fillId="0" fontId="3" numFmtId="0" xfId="0" applyAlignment="1" applyBorder="1" applyFont="1">
      <alignment horizontal="center" shrinkToFit="0" vertical="center" wrapText="1"/>
    </xf>
    <xf borderId="3" fillId="0" fontId="3" numFmtId="0" xfId="0" applyBorder="1" applyFont="1"/>
    <xf borderId="3" fillId="0" fontId="19" numFmtId="0" xfId="0" applyAlignment="1" applyBorder="1" applyFont="1">
      <alignment horizontal="center" readingOrder="0" vertical="center"/>
    </xf>
    <xf borderId="0" fillId="0" fontId="19" numFmtId="0" xfId="0" applyAlignment="1" applyFont="1">
      <alignment horizontal="center" vertical="center"/>
    </xf>
    <xf borderId="0" fillId="12" fontId="27" numFmtId="0" xfId="0" applyAlignment="1" applyFill="1" applyFont="1">
      <alignment readingOrder="0"/>
    </xf>
    <xf borderId="0" fillId="12" fontId="14" numFmtId="0" xfId="0" applyAlignment="1" applyFill="1" applyFont="1">
      <alignment horizontal="center"/>
    </xf>
    <xf borderId="0" fillId="12" fontId="14" numFmtId="0" xfId="0" applyAlignment="1" applyFill="1" applyFont="1">
      <alignment horizontal="center" shrinkToFit="0" wrapText="1"/>
    </xf>
    <xf borderId="0" fillId="12" fontId="14" numFmtId="0" xfId="0" applyFill="1" applyFont="1"/>
    <xf borderId="0" fillId="12" fontId="16" numFmtId="0" xfId="0" applyAlignment="1" applyFill="1" applyFont="1">
      <alignment readingOrder="0"/>
    </xf>
    <xf borderId="0" fillId="28" fontId="31" numFmtId="0" xfId="0" applyAlignment="1" applyFill="1" applyFont="1">
      <alignment readingOrder="0"/>
    </xf>
    <xf borderId="0" fillId="28" fontId="14" numFmtId="0" xfId="0" applyAlignment="1" applyFill="1" applyFont="1">
      <alignment horizontal="center"/>
    </xf>
    <xf borderId="0" fillId="28" fontId="14" numFmtId="0" xfId="0" applyAlignment="1" applyFill="1" applyFont="1">
      <alignment horizontal="center" shrinkToFit="0" wrapText="1"/>
    </xf>
    <xf borderId="0" fillId="28" fontId="14" numFmtId="0" xfId="0" applyFill="1" applyFont="1"/>
    <xf borderId="0" fillId="28" fontId="15" numFmtId="0" xfId="0" applyFill="1" applyFont="1"/>
    <xf borderId="0" fillId="28" fontId="16" numFmtId="0" xfId="0" applyAlignment="1" applyFill="1" applyFont="1">
      <alignment horizontal="center" readingOrder="0"/>
    </xf>
    <xf borderId="0" fillId="28" fontId="16" numFmtId="0" xfId="0" applyAlignment="1" applyFill="1" applyFont="1">
      <alignment readingOrder="0" vertical="center"/>
    </xf>
    <xf borderId="0" fillId="28" fontId="16" numFmtId="0" xfId="0" applyAlignment="1" applyFill="1" applyFont="1">
      <alignment readingOrder="0"/>
    </xf>
    <xf borderId="0" fillId="0" fontId="0" numFmtId="0" xfId="0" applyAlignment="1" applyFont="1">
      <alignment readingOrder="0" vertical="center"/>
    </xf>
    <xf borderId="2" fillId="23" fontId="24" numFmtId="0" xfId="0" applyAlignment="1" applyBorder="1" applyFill="1" applyFont="1">
      <alignment horizontal="center" readingOrder="0"/>
    </xf>
    <xf borderId="0" fillId="28" fontId="27" numFmtId="0" xfId="0" applyAlignment="1" applyFill="1" applyFont="1">
      <alignment readingOrder="0"/>
    </xf>
    <xf borderId="0" fillId="29" fontId="27" numFmtId="0" xfId="0" applyAlignment="1" applyFill="1" applyFont="1">
      <alignment readingOrder="0"/>
    </xf>
    <xf borderId="0" fillId="29" fontId="14" numFmtId="0" xfId="0" applyAlignment="1" applyFill="1" applyFont="1">
      <alignment horizontal="center"/>
    </xf>
    <xf borderId="0" fillId="29" fontId="14" numFmtId="0" xfId="0" applyAlignment="1" applyFill="1" applyFont="1">
      <alignment horizontal="center" shrinkToFit="0" wrapText="1"/>
    </xf>
    <xf borderId="0" fillId="29" fontId="14" numFmtId="0" xfId="0" applyFill="1" applyFont="1"/>
    <xf borderId="0" fillId="29" fontId="15" numFmtId="0" xfId="0" applyFill="1" applyFont="1"/>
    <xf borderId="0" fillId="29" fontId="16" numFmtId="0" xfId="0" applyAlignment="1" applyFill="1" applyFont="1">
      <alignment horizontal="center" readingOrder="0"/>
    </xf>
    <xf borderId="0" fillId="29" fontId="16" numFmtId="0" xfId="0" applyAlignment="1" applyFill="1" applyFont="1">
      <alignment readingOrder="0"/>
    </xf>
    <xf borderId="20" fillId="23" fontId="24" numFmtId="0" xfId="0" applyAlignment="1" applyBorder="1" applyFill="1" applyFont="1">
      <alignment horizontal="center" readingOrder="0"/>
    </xf>
    <xf borderId="5" fillId="0" fontId="3" numFmtId="0" xfId="0" applyAlignment="1" applyBorder="1" applyFont="1">
      <alignment horizontal="left" readingOrder="0" shrinkToFit="0" wrapText="1"/>
    </xf>
    <xf borderId="0" fillId="0" fontId="26" numFmtId="0" xfId="0" applyAlignment="1" applyFont="1">
      <alignment vertical="center"/>
    </xf>
    <xf borderId="0" fillId="20" fontId="27" numFmtId="0" xfId="0" applyAlignment="1" applyFill="1" applyFont="1">
      <alignment readingOrder="0"/>
    </xf>
    <xf borderId="0" fillId="20" fontId="14" numFmtId="0" xfId="0" applyAlignment="1" applyFill="1" applyFont="1">
      <alignment horizontal="center"/>
    </xf>
    <xf borderId="0" fillId="20" fontId="14" numFmtId="0" xfId="0" applyAlignment="1" applyFill="1" applyFont="1">
      <alignment horizontal="center" shrinkToFit="0" wrapText="1"/>
    </xf>
    <xf borderId="0" fillId="20" fontId="14" numFmtId="0" xfId="0" applyFill="1" applyFont="1"/>
    <xf borderId="0" fillId="20" fontId="15" numFmtId="0" xfId="0" applyFill="1" applyFont="1"/>
    <xf borderId="0" fillId="20" fontId="16" numFmtId="0" xfId="0" applyAlignment="1" applyFill="1" applyFont="1">
      <alignment horizontal="center" readingOrder="0"/>
    </xf>
    <xf borderId="0" fillId="20" fontId="16" numFmtId="0" xfId="0" applyAlignment="1" applyFill="1" applyFont="1">
      <alignment readingOrder="0"/>
    </xf>
    <xf borderId="22" fillId="24" fontId="22" numFmtId="0" xfId="0" applyAlignment="1" applyBorder="1" applyFill="1" applyFont="1">
      <alignment horizontal="left" readingOrder="0" shrinkToFit="0" wrapText="1"/>
    </xf>
    <xf borderId="12" fillId="0" fontId="1" numFmtId="0" xfId="0" applyAlignment="1" applyBorder="1" applyFont="1">
      <alignment readingOrder="0"/>
    </xf>
    <xf borderId="12" fillId="0" fontId="3" numFmtId="0" xfId="0" applyBorder="1" applyFont="1"/>
    <xf borderId="13" fillId="0" fontId="3" numFmtId="0" xfId="0" applyBorder="1" applyFont="1"/>
    <xf borderId="0" fillId="21" fontId="27" numFmtId="0" xfId="0" applyAlignment="1" applyFill="1" applyFont="1">
      <alignment readingOrder="0"/>
    </xf>
    <xf borderId="0" fillId="21" fontId="14" numFmtId="0" xfId="0" applyAlignment="1" applyFill="1" applyFont="1">
      <alignment horizontal="center"/>
    </xf>
    <xf borderId="0" fillId="21" fontId="14" numFmtId="0" xfId="0" applyAlignment="1" applyFill="1" applyFont="1">
      <alignment horizontal="center" shrinkToFit="0" wrapText="1"/>
    </xf>
    <xf borderId="0" fillId="21" fontId="14" numFmtId="0" xfId="0" applyFill="1" applyFont="1"/>
    <xf borderId="0" fillId="21" fontId="15" numFmtId="0" xfId="0" applyFill="1" applyFont="1"/>
    <xf borderId="0" fillId="21" fontId="16" numFmtId="0" xfId="0" applyAlignment="1" applyFill="1" applyFont="1">
      <alignment horizontal="center" readingOrder="0"/>
    </xf>
    <xf borderId="0" fillId="21" fontId="16" numFmtId="0" xfId="0" applyAlignment="1" applyFill="1" applyFont="1">
      <alignment readingOrder="0"/>
    </xf>
    <xf borderId="21" fillId="24" fontId="22" numFmtId="0" xfId="0" applyAlignment="1" applyBorder="1" applyFill="1" applyFont="1">
      <alignment horizontal="left" readingOrder="0" shrinkToFit="0" wrapText="1"/>
    </xf>
    <xf borderId="14" fillId="24" fontId="22" numFmtId="0" xfId="0" applyAlignment="1" applyBorder="1" applyFill="1" applyFont="1">
      <alignment horizontal="left" readingOrder="0" shrinkToFit="0" wrapText="1"/>
    </xf>
    <xf borderId="16" fillId="8" fontId="22" numFmtId="0" xfId="0" applyAlignment="1" applyBorder="1" applyFill="1" applyFont="1">
      <alignment horizontal="left" readingOrder="0" shrinkToFit="0" wrapText="1"/>
    </xf>
    <xf borderId="16" fillId="24" fontId="22" numFmtId="0" xfId="0" applyAlignment="1" applyBorder="1" applyFill="1" applyFont="1">
      <alignment horizontal="left" readingOrder="0" shrinkToFit="0" wrapText="1"/>
    </xf>
    <xf borderId="18" fillId="8" fontId="22" numFmtId="0" xfId="0" applyAlignment="1" applyBorder="1" applyFill="1" applyFont="1">
      <alignment horizontal="left" readingOrder="0" shrinkToFit="0" wrapText="1"/>
    </xf>
    <xf borderId="14" fillId="8" fontId="22" numFmtId="0" xfId="0" applyAlignment="1" applyBorder="1" applyFill="1" applyFont="1">
      <alignment horizontal="left" readingOrder="0" shrinkToFit="0" wrapText="1"/>
    </xf>
    <xf borderId="21" fillId="8" fontId="22" numFmtId="0" xfId="0" applyAlignment="1" applyBorder="1" applyFill="1" applyFont="1">
      <alignment horizontal="left" readingOrder="0" shrinkToFit="0" wrapText="1"/>
    </xf>
    <xf borderId="0" fillId="22" fontId="27" numFmtId="0" xfId="0" applyAlignment="1" applyFill="1" applyFont="1">
      <alignment readingOrder="0"/>
    </xf>
    <xf borderId="0" fillId="22" fontId="14" numFmtId="0" xfId="0" applyAlignment="1" applyFill="1" applyFont="1">
      <alignment horizontal="center"/>
    </xf>
    <xf borderId="0" fillId="22" fontId="14" numFmtId="0" xfId="0" applyAlignment="1" applyFill="1" applyFont="1">
      <alignment horizontal="center" shrinkToFit="0" wrapText="1"/>
    </xf>
    <xf borderId="0" fillId="30" fontId="27" numFmtId="0" xfId="0" applyAlignment="1" applyFill="1" applyFont="1">
      <alignment readingOrder="0"/>
    </xf>
    <xf borderId="0" fillId="22" fontId="14" numFmtId="0" xfId="0" applyFill="1" applyFont="1"/>
    <xf borderId="0" fillId="30" fontId="14" numFmtId="0" xfId="0" applyAlignment="1" applyFill="1" applyFont="1">
      <alignment horizontal="center"/>
    </xf>
    <xf borderId="0" fillId="22" fontId="15" numFmtId="0" xfId="0" applyFill="1" applyFont="1"/>
    <xf borderId="0" fillId="22" fontId="16" numFmtId="0" xfId="0" applyAlignment="1" applyFill="1" applyFont="1">
      <alignment horizontal="center" readingOrder="0"/>
    </xf>
    <xf borderId="0" fillId="30" fontId="14" numFmtId="0" xfId="0" applyAlignment="1" applyFill="1" applyFont="1">
      <alignment horizontal="center" shrinkToFit="0" wrapText="1"/>
    </xf>
    <xf borderId="0" fillId="22" fontId="16" numFmtId="0" xfId="0" applyAlignment="1" applyFill="1" applyFont="1">
      <alignment readingOrder="0"/>
    </xf>
    <xf borderId="0" fillId="30" fontId="14" numFmtId="0" xfId="0" applyFill="1" applyFont="1"/>
    <xf borderId="0" fillId="30" fontId="16" numFmtId="0" xfId="0" applyAlignment="1" applyFill="1" applyFont="1">
      <alignment readingOrder="0"/>
    </xf>
    <xf borderId="27" fillId="23" fontId="3" numFmtId="0" xfId="0" applyAlignment="1" applyBorder="1" applyFill="1" applyFont="1">
      <alignment horizontal="center" readingOrder="0"/>
    </xf>
    <xf borderId="3" fillId="0" fontId="17" numFmtId="0" xfId="0" applyAlignment="1" applyBorder="1" applyFont="1">
      <alignment horizontal="left" readingOrder="0" shrinkToFit="0" vertical="bottom" wrapText="1"/>
    </xf>
    <xf borderId="3" fillId="0" fontId="0" numFmtId="0" xfId="0" applyAlignment="1" applyBorder="1" applyFont="1">
      <alignment horizontal="left" readingOrder="0" shrinkToFit="0" vertical="bottom" wrapText="1"/>
    </xf>
    <xf borderId="4" fillId="0" fontId="0" numFmtId="0" xfId="0" applyAlignment="1" applyBorder="1" applyFont="1">
      <alignment horizontal="left" readingOrder="0" shrinkToFit="0" vertical="bottom" wrapText="1"/>
    </xf>
    <xf borderId="14" fillId="24" fontId="17" numFmtId="0" xfId="0" applyAlignment="1" applyBorder="1" applyFill="1" applyFont="1">
      <alignment horizontal="left" readingOrder="0" shrinkToFit="0" vertical="center" wrapText="1"/>
    </xf>
    <xf borderId="15" fillId="24" fontId="18" numFmtId="0" xfId="0" applyAlignment="1" applyBorder="1" applyFill="1" applyFont="1">
      <alignment horizontal="left" readingOrder="0" shrinkToFit="0" vertical="center" wrapText="1"/>
    </xf>
    <xf borderId="16" fillId="23" fontId="3" numFmtId="0" xfId="0" applyAlignment="1" applyBorder="1" applyFill="1" applyFont="1">
      <alignment horizontal="center" readingOrder="0"/>
    </xf>
    <xf borderId="0" fillId="0" fontId="17" numFmtId="0" xfId="0" applyAlignment="1" applyFont="1">
      <alignment horizontal="left" readingOrder="0" shrinkToFit="0" vertical="bottom" wrapText="1"/>
    </xf>
    <xf borderId="0" fillId="0" fontId="0" numFmtId="0" xfId="0" applyAlignment="1" applyFont="1">
      <alignment horizontal="left" readingOrder="0" shrinkToFit="0" vertical="bottom" wrapText="1"/>
    </xf>
    <xf borderId="6" fillId="0" fontId="0" numFmtId="0" xfId="0" applyAlignment="1" applyBorder="1" applyFont="1">
      <alignment horizontal="left" readingOrder="0" shrinkToFit="0" vertical="bottom" wrapText="1"/>
    </xf>
    <xf borderId="28" fillId="23" fontId="3" numFmtId="0" xfId="0" applyAlignment="1" applyBorder="1" applyFill="1" applyFont="1">
      <alignment horizontal="center" shrinkToFit="0" vertical="center" wrapText="1"/>
    </xf>
    <xf borderId="3" fillId="24" fontId="17" numFmtId="0" xfId="0" applyAlignment="1" applyBorder="1" applyFill="1" applyFont="1">
      <alignment horizontal="left" readingOrder="0" shrinkToFit="0" vertical="center" wrapText="1"/>
    </xf>
    <xf borderId="15" fillId="24" fontId="0" numFmtId="0" xfId="0" applyAlignment="1" applyBorder="1" applyFill="1" applyFont="1">
      <alignment horizontal="left" readingOrder="0" shrinkToFit="0" vertical="center" wrapText="1"/>
    </xf>
    <xf borderId="29" fillId="23" fontId="3" numFmtId="0" xfId="0" applyAlignment="1" applyBorder="1" applyFill="1" applyFont="1">
      <alignment horizontal="center" shrinkToFit="0" vertical="center" wrapText="1"/>
    </xf>
    <xf borderId="0" fillId="24" fontId="17" numFmtId="0" xfId="0" applyAlignment="1" applyFill="1" applyFont="1">
      <alignment horizontal="left" readingOrder="0" shrinkToFit="0" vertical="center" wrapText="1"/>
    </xf>
    <xf borderId="17" fillId="24" fontId="0" numFmtId="0" xfId="0" applyAlignment="1" applyBorder="1" applyFill="1" applyFont="1">
      <alignment horizontal="left" readingOrder="0" shrinkToFit="0" vertical="center" wrapText="1"/>
    </xf>
    <xf borderId="18" fillId="24" fontId="22" numFmtId="0" xfId="0" applyAlignment="1" applyBorder="1" applyFill="1" applyFont="1">
      <alignment horizontal="left" readingOrder="0" shrinkToFit="0" wrapText="1"/>
    </xf>
    <xf borderId="13" fillId="23" fontId="19" numFmtId="0" xfId="0" applyAlignment="1" applyBorder="1" applyFill="1" applyFont="1">
      <alignment horizontal="center" readingOrder="0" vertical="center"/>
    </xf>
    <xf borderId="16" fillId="24" fontId="17" numFmtId="0" xfId="0" applyAlignment="1" applyBorder="1" applyFill="1" applyFont="1">
      <alignment horizontal="left" readingOrder="0" shrinkToFit="0" vertical="center" wrapText="1"/>
    </xf>
    <xf borderId="0" fillId="0" fontId="17" numFmtId="0" xfId="0" applyAlignment="1" applyFont="1">
      <alignment horizontal="left" readingOrder="0" shrinkToFit="0" vertical="center" wrapText="1"/>
    </xf>
    <xf borderId="0" fillId="0" fontId="0" numFmtId="0" xfId="0" applyAlignment="1" applyFont="1">
      <alignment horizontal="left" readingOrder="0" shrinkToFit="0" vertical="center" wrapText="1"/>
    </xf>
    <xf borderId="29" fillId="25" fontId="3" numFmtId="0" xfId="0" applyAlignment="1" applyBorder="1" applyFill="1" applyFont="1">
      <alignment horizontal="center" shrinkToFit="0" vertical="center" wrapText="1"/>
    </xf>
    <xf borderId="16" fillId="8" fontId="17" numFmtId="0" xfId="0" applyAlignment="1" applyBorder="1" applyFill="1" applyFont="1">
      <alignment horizontal="left" readingOrder="0" shrinkToFit="0" vertical="center" wrapText="1"/>
    </xf>
    <xf borderId="17" fillId="8" fontId="0" numFmtId="0" xfId="0" applyAlignment="1" applyBorder="1" applyFill="1" applyFont="1">
      <alignment horizontal="left" readingOrder="0" shrinkToFit="0" vertical="center" wrapText="1"/>
    </xf>
    <xf borderId="28" fillId="25" fontId="3" numFmtId="0" xfId="0" applyAlignment="1" applyBorder="1" applyFill="1" applyFont="1">
      <alignment horizontal="center" shrinkToFit="0" vertical="center" wrapText="1"/>
    </xf>
    <xf borderId="3" fillId="8" fontId="17" numFmtId="0" xfId="0" applyAlignment="1" applyBorder="1" applyFill="1" applyFont="1">
      <alignment horizontal="left" readingOrder="0" shrinkToFit="0" vertical="center" wrapText="1"/>
    </xf>
    <xf borderId="15" fillId="8" fontId="0" numFmtId="0" xfId="0" applyAlignment="1" applyBorder="1" applyFill="1" applyFont="1">
      <alignment horizontal="left" readingOrder="0" shrinkToFit="0" vertical="center" wrapText="1"/>
    </xf>
    <xf borderId="4" fillId="8" fontId="19" numFmtId="0" xfId="0" applyAlignment="1" applyBorder="1" applyFill="1" applyFont="1">
      <alignment horizontal="center" vertical="center"/>
    </xf>
    <xf borderId="5" fillId="0" fontId="3" numFmtId="0" xfId="0" applyAlignment="1" applyBorder="1" applyFont="1">
      <alignment horizontal="center" shrinkToFit="0" vertical="center" wrapText="1"/>
    </xf>
    <xf borderId="0" fillId="0" fontId="3" numFmtId="0" xfId="0" applyAlignment="1" applyFont="1">
      <alignment readingOrder="0" vertical="bottom"/>
    </xf>
    <xf borderId="6" fillId="0" fontId="3" numFmtId="0" xfId="0" applyAlignment="1" applyBorder="1" applyFont="1">
      <alignment readingOrder="0" vertical="bottom"/>
    </xf>
    <xf borderId="30" fillId="23" fontId="3" numFmtId="0" xfId="0" applyAlignment="1" applyBorder="1" applyFill="1" applyFont="1">
      <alignment horizontal="center" shrinkToFit="0" vertical="center" wrapText="1"/>
    </xf>
    <xf borderId="0" fillId="8" fontId="17" numFmtId="0" xfId="0" applyAlignment="1" applyFill="1" applyFont="1">
      <alignment horizontal="left" readingOrder="0" shrinkToFit="0" vertical="center" wrapText="1"/>
    </xf>
    <xf borderId="0" fillId="0" fontId="3" numFmtId="165" xfId="0" applyAlignment="1" applyFont="1" applyNumberFormat="1">
      <alignment readingOrder="0"/>
    </xf>
    <xf borderId="4" fillId="23" fontId="19" numFmtId="0" xfId="0" applyAlignment="1" applyBorder="1" applyFill="1" applyFont="1">
      <alignment horizontal="center" vertical="center"/>
    </xf>
    <xf borderId="30" fillId="25" fontId="3" numFmtId="0" xfId="0" applyAlignment="1" applyBorder="1" applyFill="1" applyFont="1">
      <alignment horizontal="center" shrinkToFit="0" vertical="center" wrapText="1"/>
    </xf>
    <xf borderId="31" fillId="25" fontId="3" numFmtId="0" xfId="0" applyAlignment="1" applyBorder="1" applyFill="1" applyFont="1">
      <alignment horizontal="center" shrinkToFit="0" vertical="center" wrapText="1"/>
    </xf>
    <xf borderId="32" fillId="8" fontId="17" numFmtId="0" xfId="0" applyAlignment="1" applyBorder="1" applyFill="1" applyFont="1">
      <alignment horizontal="left" readingOrder="0" shrinkToFit="0" vertical="center" wrapText="1"/>
    </xf>
    <xf borderId="22" fillId="8" fontId="0" numFmtId="0" xfId="0" applyAlignment="1" applyBorder="1" applyFill="1" applyFont="1">
      <alignment horizontal="left" readingOrder="0" shrinkToFit="0" vertical="center" wrapText="1"/>
    </xf>
    <xf borderId="23" fillId="8" fontId="19" numFmtId="0" xfId="0" applyAlignment="1" applyBorder="1" applyFill="1" applyFont="1">
      <alignment horizontal="center" vertical="center"/>
    </xf>
    <xf borderId="0" fillId="0" fontId="3" numFmtId="0" xfId="0" applyAlignment="1" applyFont="1">
      <alignment horizontal="left" shrinkToFit="0" vertical="center" wrapText="1"/>
    </xf>
  </cellXfs>
  <cellStyles count="1">
    <cellStyle xfId="0" name="Normal" builtinId="0"/>
  </cellStyles>
  <dxfs count="16">
    <dxf>
      <font/>
      <fill>
        <patternFill patternType="none"/>
      </fill>
      <border/>
    </dxf>
    <dxf>
      <font/>
      <fill>
        <patternFill patternType="solid">
          <fgColor rgb="FF49564C"/>
          <bgColor rgb="FF49564C"/>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49564C"/>
        </left>
        <right style="thin">
          <color rgb="FF49564C"/>
        </right>
        <top style="thin">
          <color rgb="FF49564C"/>
        </top>
        <bottom style="thin">
          <color rgb="FF49564C"/>
        </bottom>
      </border>
    </dxf>
    <dxf>
      <font>
        <color rgb="FF000000"/>
      </font>
      <fill>
        <patternFill patternType="solid">
          <fgColor rgb="FF00FF00"/>
          <bgColor rgb="FF00FF00"/>
        </patternFill>
      </fill>
      <border/>
    </dxf>
    <dxf>
      <font/>
      <fill>
        <patternFill patternType="solid">
          <fgColor rgb="FFF4C7C3"/>
          <bgColor rgb="FFF4C7C3"/>
        </patternFill>
      </fill>
      <border/>
    </dxf>
    <dxf>
      <font/>
      <fill>
        <patternFill patternType="solid">
          <fgColor rgb="FFB7E1CD"/>
          <bgColor rgb="FFB7E1CD"/>
        </patternFill>
      </fill>
      <border/>
    </dxf>
    <dxf>
      <font>
        <color rgb="FFD9D9D9"/>
      </font>
      <fill>
        <patternFill patternType="solid">
          <fgColor rgb="FFEFEFEF"/>
          <bgColor rgb="FFEFEFEF"/>
        </patternFill>
      </fill>
      <border/>
    </dxf>
    <dxf>
      <font/>
      <fill>
        <patternFill patternType="solid">
          <fgColor rgb="FFFCE8B2"/>
          <bgColor rgb="FFFCE8B2"/>
        </patternFill>
      </fill>
      <border/>
    </dxf>
    <dxf>
      <font>
        <color rgb="FFD9D9D9"/>
      </font>
      <fill>
        <patternFill patternType="none"/>
      </fill>
      <border/>
    </dxf>
    <dxf>
      <font/>
      <fill>
        <patternFill patternType="solid">
          <fgColor rgb="FF9FC5E8"/>
          <bgColor rgb="FF9FC5E8"/>
        </patternFill>
      </fill>
      <border/>
    </dxf>
    <dxf>
      <font>
        <color rgb="FFD9D9D9"/>
      </font>
      <fill>
        <patternFill patternType="solid">
          <fgColor rgb="FFE06666"/>
          <bgColor rgb="FFE06666"/>
        </patternFill>
      </fill>
      <border/>
    </dxf>
    <dxf>
      <font/>
      <fill>
        <patternFill patternType="solid">
          <fgColor rgb="FFB7D7A8"/>
          <bgColor rgb="FFB7D7A8"/>
        </patternFill>
      </fill>
      <border/>
    </dxf>
    <dxf>
      <font/>
      <fill>
        <patternFill patternType="solid">
          <fgColor rgb="FFEA9999"/>
          <bgColor rgb="FFEA9999"/>
        </patternFill>
      </fill>
      <border/>
    </dxf>
    <dxf>
      <font/>
      <fill>
        <patternFill patternType="solid">
          <fgColor rgb="FF6AA84F"/>
          <bgColor rgb="FF6AA84F"/>
        </patternFill>
      </fill>
      <border/>
    </dxf>
  </dxfs>
  <tableStyles count="2">
    <tableStyle count="4" pivot="0" name="StaffCamp-style">
      <tableStyleElement dxfId="1" type="headerRow"/>
      <tableStyleElement dxfId="2" type="firstRowStripe"/>
      <tableStyleElement dxfId="3" type="secondRowStripe"/>
      <tableStyleElement dxfId="4" size="0" type="wholeTable"/>
    </tableStyle>
    <tableStyle count="4" pivot="0" name="Participants-Parti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hello@robdaviau.com" id="{13c79e36-51bd-498d-a1e4-652b7f44bcc1}" userId="hello@robdaviau.com" providerId="google-sheets"/>
  <x18tc:person displayName="Mirin Scassellati" id="{0148428b-d942-4204-b132-01a4f870d509}" providerId="google-sheets"/>
  <x18tc:person displayName="Briana Taborn" id="{cd387588-a772-4ad2-966c-e6a8a93a5601}" providerId="google-sheets"/>
  <x18tc:person displayName="Rob Daviau" id="{e439720c-d2b1-446d-ba88-22e507ab197e}" providerId="google-sheets"/>
  <x18tc:person displayName="Nadav Barkaee" id="{64e9ee04-de6b-4055-bbbc-2ac796c078bd}" providerId="google-sheets"/>
  <x18tc:person displayName="Gretchen Albright" id="{0ee3a1ce-3457-417e-81c9-d609a0ee1fdb}" providerId="google-sheets"/>
</x18tc:personList>
</file>

<file path=xl/tables/table1.xml><?xml version="1.0" encoding="utf-8"?>
<table xmlns="http://schemas.openxmlformats.org/spreadsheetml/2006/main" ref="A1:H71" displayName="Particpants_and_Parties" name="Particpants_and_Parties" id="2">
  <tableColumns count="8">
    <tableColumn name="Opened - Day" id="1"/>
    <tableColumn name="Opened - Time" id="2"/>
    <tableColumn name="Party" id="3"/>
    <tableColumn name="Job" id="4"/>
    <tableColumn name="Status" id="5"/>
    <tableColumn name="Priority" id="6"/>
    <tableColumn name="Situation" id="7"/>
    <tableColumn name="Type" id="8"/>
  </tableColumns>
  <tableStyleInfo name="Participants-Parties-style" showColumnStripes="0" showFirstColumn="1" showLastColumn="1" showRowStripes="1"/>
</table>
</file>

<file path=xl/tables/table2.xml><?xml version="1.0" encoding="utf-8"?>
<table xmlns="http://schemas.openxmlformats.org/spreadsheetml/2006/main" ref="A1:G140" displayName="Concerns_2" name="Concerns_2" id="1">
  <tableColumns count="7">
    <tableColumn name="Opened - Day" id="1"/>
    <tableColumn name="Opened - Time" id="2"/>
    <tableColumn name="Staff" id="3"/>
    <tableColumn name="Status" id="4"/>
    <tableColumn name="Priority" id="5"/>
    <tableColumn name="Situation" id="6"/>
    <tableColumn name="Type" id="7"/>
  </tableColumns>
  <tableStyleInfo name="StaffCamp-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2" dT="2025-08-26T09:21:21.00" personId="{0148428b-d942-4204-b132-01a4f870d509}" id="{710f56bc-f9fb-4a11-914b-eeed74ece9a6}" done="1">
    <x18tc:text xml:space="preserve">@hello@robdaviau.com it looks like these are pulling from incorrect sources -- some of them are linked to companion check-in and some to PP sheets.</x18tc:text>
    <x18tc:mentions>
      <x18tc:mention mentionpersonId="{13c79e36-51bd-498d-a1e4-652b7f44bcc1}" mentionId="{33d97342-f9ad-469b-a4c2-d20c544b6d28}" startIndex="0" length="20"/>
    </x18tc:mentions>
  </x18tc:threadedComment>
  <x18tc:threadedComment ref="E2" dT="2025-08-26T13:23:35.00" personId="{e439720c-d2b1-446d-ba88-22e507ab197e}" id="{e9afc34e-a459-4aae-9b2f-359bc7feacbc}" parentId="{710f56bc-f9fb-4a11-914b-eeed74ece9a6}">
    <x18tc:text xml:space="preserve">Thank you! Fixed</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4" dT="2025-08-26T08:48:29.00" personId="{0148428b-d942-4204-b132-01a4f870d509}" id="{1c1e95be-e0c6-4977-b5db-6a230ee9e479}" done="1">
    <x18tc:text xml:space="preserve">Switched -- Pascal's check activates Buzzkill &amp; vice versa</x18tc:text>
  </x18tc:threadedComment>
  <x18tc:threadedComment ref="A14" dT="2025-08-26T13:18:26.00" personId="{e439720c-d2b1-446d-ba88-22e507ab197e}" id="{2e417862-f7a2-4b45-b930-7666de8d160c}" parentId="{1c1e95be-e0c6-4977-b5db-6a230ee9e479}">
    <x18tc:text xml:space="preserve">So...can you please just flag errors and not fix them. Also, in this case, the formula NOW has Pascal and Buzzkill reversed so I think you actually introduced a bug?</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9" dT="2025-08-28T03:18:54.00" personId="{cd387588-a772-4ad2-966c-e6a8a93a5601}" id="{9df62646-ac6e-4727-b2d3-fd659c7544ac}" done="1">
    <x18tc:text xml:space="preserve">The entire table is off by 1 where Honore's check does nothing and Aria's activates Honore's and so on... All other functionality seems to be working!</x18tc:text>
  </x18tc:threadedComment>
  <x18tc:threadedComment ref="F9" dT="2025-08-28T11:40:13.00" personId="{e439720c-d2b1-446d-ba88-22e507ab197e}" id="{7bedb2a7-0e09-40e7-9e74-58d7fec93a5a}" parentId="{9df62646-ac6e-4727-b2d3-fd659c7544ac}">
    <x18tc:text xml:space="preserve">Fixed it. I had made cosmetic change based on a Nadav note and broke all charge tables in the process. All fixed.</x18tc:text>
  </x18tc:threadedComment>
  <x18tc:threadedComment ref="F37" dT="2025-08-28T03:24:06.00" personId="{cd387588-a772-4ad2-966c-e6a8a93a5601}" id="{d03835a6-afd8-4518-b107-ba5b19fabd34}" done="1">
    <x18tc:text xml:space="preserve">I could not check if this row was working due to the character assignment being one off</x18tc:text>
  </x18tc:threadedComment>
  <x18tc:threadedComment ref="F17" dT="2025-08-28T03:10:24.00" personId="{cd387588-a772-4ad2-966c-e6a8a93a5601}" id="{dc32eef6-a433-4f89-a202-c0096a2d60d9}" done="1">
    <x18tc:text xml:space="preserve">Checked Electra, Kovi, and Huxley and updates were Stevie and Phyllis</x18tc:text>
  </x18tc:threadedComment>
  <x18tc:threadedComment ref="F32" dT="2025-08-28T03:38:32.00" personId="{cd387588-a772-4ad2-966c-e6a8a93a5601}" id="{35d6b958-0266-4933-a6a2-e945b6eb8928}" done="1">
    <x18tc:text xml:space="preserve">I could not check if this row was working due to the character assignment being one off</x18tc:text>
  </x18tc:threadedComment>
  <x18tc:threadedComment ref="F33" dT="2025-08-28T03:20:53.00" personId="{cd387588-a772-4ad2-966c-e6a8a93a5601}" id="{989bb857-5a95-4277-91de-9bccb4f98ae7}" done="1">
    <x18tc:text xml:space="preserve">No checkmark for this, assumed other spreadsheet</x18tc:text>
  </x18tc:threadedComment>
  <x18tc:threadedComment ref="F11" dT="2025-08-28T03:07:22.00" personId="{cd387588-a772-4ad2-966c-e6a8a93a5601}" id="{e57b1dd2-cc80-4b8d-9e9e-f7ed06051c33}" done="1">
    <x18tc:text xml:space="preserve">I've noticed for these two single row section that the update doesn't happen until the person underneath them gets checked off. I tested Danny to see if it would update if I checked Aleeya, but Danny didn't change to Yes until I checked Ned Crochett. Tested and it's the same thing with Eugenie Bright</x18tc:text>
  </x18tc:threadedComment>
  <x18tc:threadedComment ref="F13" dT="2025-08-28T03:04:17.00" personId="{cd387588-a772-4ad2-966c-e6a8a93a5601}" id="{26fc00a3-233b-44fa-b0db-62fcad4b31c5}" done="1">
    <x18tc:text xml:space="preserve">I checked Aleeya Witchborn and Elliot Peacock, and it gave Ned Crochett and Aleeya Witchborn the yes instead!</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7" dT="2025-08-28T03:48:28.00" personId="{cd387588-a772-4ad2-966c-e6a8a93a5601}" id="{23637644-b121-43dd-a101-873781257d3b}" done="1">
    <x18tc:text xml:space="preserve">No comments or notes appear</x18tc:text>
  </x18tc:threadedComment>
  <x18tc:threadedComment ref="A27" dT="2025-08-28T11:48:45.00" personId="{e439720c-d2b1-446d-ba88-22e507ab197e}" id="{a04a19b9-7d0f-4391-a539-7bb2bcfc9130}" parentId="{23637644-b121-43dd-a101-873781257d3b}">
    <x18tc:text xml:space="preserve">Fixed! Thank you!</x18tc:text>
  </x18tc:threadedComment>
  <x18tc:threadedComment ref="F31" dT="2025-08-28T03:38:51.00" personId="{cd387588-a772-4ad2-966c-e6a8a93a5601}" id="{2e21ba9e-5cbe-449c-b6de-71a7fbe7bd19}" done="1">
    <x18tc:text xml:space="preserve">I could not check if this row was working due to the character assignment being one off</x18tc:text>
  </x18tc:threadedComment>
  <x18tc:threadedComment ref="F39" dT="2025-08-28T03:31:13.00" personId="{cd387588-a772-4ad2-966c-e6a8a93a5601}" id="{9a4adad2-328c-4fcc-bcba-98743c073f39}" done="1">
    <x18tc:text xml:space="preserve">I could not check if this row was working due to the characters being one off</x18tc:text>
  </x18tc:threadedComment>
  <x18tc:threadedComment ref="F9" dT="2025-08-28T03:29:52.00" personId="{cd387588-a772-4ad2-966c-e6a8a93a5601}" id="{a44178b0-178f-4c0b-976a-cf90f35d72e1}" done="1">
    <x18tc:text xml:space="preserve">The entire table is off by 1 where
Kulis's check does nothing and Adina's activates Kullis's and so on...</x18tc:text>
  </x18tc:threadedComment>
  <x18tc:threadedComment ref="I25" dT="2025-08-28T03:32:54.00" personId="{cd387588-a772-4ad2-966c-e6a8a93a5601}" id="{48035386-130f-426e-acd9-f82a8baf9290}" done="1">
    <x18tc:text xml:space="preserve">Text and color for this cell and the one below?</x18tc:text>
  </x18tc:threadedComment>
  <x18tc:threadedComment ref="I25" dT="2025-08-28T11:49:55.00" personId="{e439720c-d2b1-446d-ba88-22e507ab197e}" id="{8ff369fd-17fc-459e-a5cb-1671bf7bce49}" parentId="{48035386-130f-426e-acd9-f82a8baf9290}">
    <x18tc:text xml:space="preserve">This is correct. Long story.</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7" dT="2025-08-31T17:42:49.00" personId="{0ee3a1ce-3457-417e-81c9-d609a0ee1fdb}" id="{13bb6701-3980-40bb-85c6-39aaa729ac63}" done="1">
    <x18tc:text xml:space="preserve">No comments are importing.</x18tc:text>
  </x18tc:threadedComment>
  <x18tc:threadedComment ref="A43" dT="2025-08-31T18:13:28.00" personId="{0ee3a1ce-3457-417e-81c9-d609a0ee1fdb}" id="{948c806c-a2e6-46a2-92d6-4d2fac56c06b}" done="1">
    <x18tc:text xml:space="preserve">Center justified formatting from here (line 43) through line 62, then returns to left justification</x18tc:text>
  </x18tc:threadedComment>
  <x18tc:threadedComment ref="F9" dT="2025-08-31T17:42:11.00" personId="{0ee3a1ce-3457-417e-81c9-d609a0ee1fdb}" id="{8482ec54-d66c-4c5c-9fe3-87ab4d18b89a}" done="1">
    <x18tc:text xml:space="preserve">All of P'loa's charge information is importing from Sythwan.</x18tc:text>
  </x18tc:threadedComment>
  <x18tc:threadedComment ref="F9" dT="2025-08-31T17:48:43.00" personId="{e439720c-d2b1-446d-ba88-22e507ab197e}" id="{d29e0808-20a7-4da4-a2cb-2e8730930fb5}" parentId="{8482ec54-d66c-4c5c-9fe3-87ab4d18b89a}">
    <x18tc:text xml:space="preserve">eek</x18tc:text>
  </x18tc:threadedComment>
  <x18tc:threadedComment ref="H33" dT="2025-08-31T18:00:47.00" personId="{0ee3a1ce-3457-417e-81c9-d609a0ee1fdb}" id="{c8cbb0f8-c7aa-4d62-8eaf-7db79a5bcae9}" done="1">
    <x18tc:text xml:space="preserve">Bonnie is listed twice - not sure if she will know to check info in more than one place</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62" dT="2025-08-26T22:45:30.00" personId="{64e9ee04-de6b-4055-bbbc-2ac796c078bd}" id="{d4a0bd52-ce4d-4884-945f-4ed754270261}" done="1">
    <x18tc:text xml:space="preserve">Does it matter if there's not enough reserved location for all potential comments/notes?</x18tc:text>
  </x18tc:threadedComment>
  <x18tc:threadedComment ref="A62" dT="2025-08-26T23:33:38.00" personId="{e439720c-d2b1-446d-ba88-22e507ab197e}" id="{1246cdf9-0d17-40c4-9ba6-5b908056c53a}" parentId="{d4a0bd52-ce4d-4884-945f-4ed754270261}">
    <x18tc:text xml:space="preserve">It may overflow the box but they will still show up</x18tc:text>
  </x18tc:threadedComment>
  <x18tc:threadedComment ref="A64" dT="2025-08-26T22:46:08.00" personId="{64e9ee04-de6b-4055-bbbc-2ac796c078bd}" id="{a6286b5a-5a1e-4ea6-a003-1cc0f859eb74}" done="1">
    <x18tc:text xml:space="preserve">This one -- and everything below it -- are center-aligned. Not that it really matters?</x18tc:text>
  </x18tc:threadedComment>
  <x18tc:threadedComment ref="I33" dT="2025-08-26T21:51:22.00" personId="{64e9ee04-de6b-4055-bbbc-2ac796c078bd}" id="{174fc8dd-30bb-4d4d-aba4-e86630ec4ea6}" done="1">
    <x18tc:text xml:space="preserve">This appears blank -- is this intentional?</x18tc:text>
  </x18tc:threadedComment>
  <x18tc:threadedComment ref="I33" dT="2025-08-26T22:02:50.00" personId="{e439720c-d2b1-446d-ba88-22e507ab197e}" id="{2e48c487-65b9-42e3-9680-1120576bb5e1}" parentId="{174fc8dd-30bb-4d4d-aba4-e86630ec4ea6}">
    <x18tc:text xml:space="preserve">Yes</x18tc:text>
  </x18tc:threadedComment>
  <x18tc:threadedComment ref="I13" dT="2025-08-26T21:51:11.00" personId="{64e9ee04-de6b-4055-bbbc-2ac796c078bd}" id="{555ab156-6091-4691-bb29-eec8928507d6}" done="1">
    <x18tc:text xml:space="preserve">This appears blank -- is this intentional?</x18tc:text>
  </x18tc:threadedComment>
  <x18tc:threadedComment ref="I13" dT="2025-08-26T22:02:39.00" personId="{e439720c-d2b1-446d-ba88-22e507ab197e}" id="{56719aed-fe4f-4137-ace6-6975b315102e}" parentId="{555ab156-6091-4691-bb29-eec8928507d6}">
    <x18tc:text xml:space="preserve">Yes</x18tc:text>
  </x18tc:threadedComment>
  <x18tc:threadedComment ref="I32" dT="2025-08-26T21:51:18.00" personId="{64e9ee04-de6b-4055-bbbc-2ac796c078bd}" id="{d3b1cf56-7ba7-4210-ba37-e8db061a92aa}" done="1">
    <x18tc:text xml:space="preserve">This appears blank -- is this intentional?</x18tc:text>
  </x18tc:threadedComment>
  <x18tc:threadedComment ref="I32" dT="2025-08-26T22:02:44.00" personId="{e439720c-d2b1-446d-ba88-22e507ab197e}" id="{e323c226-6b5a-43a5-8f28-8a46fdaa9de5}" parentId="{d3b1cf56-7ba7-4210-ba37-e8db061a92aa}">
    <x18tc:text xml:space="preserve">Yes</x18tc:text>
  </x18tc:threadedComment>
  <x18tc:threadedComment ref="A43" dT="2025-08-26T22:44:26.00" personId="{64e9ee04-de6b-4055-bbbc-2ac796c078bd}" id="{326430b2-6c4c-4d84-84a7-a1b2b4e70758}" done="1">
    <x18tc:text xml:space="preserve">These ones (A43:D61) are center-aligned. Not that it really matters?</x18tc:text>
  </x18tc:threadedComment>
  <x18tc:threadedComment ref="F35" dT="2025-08-26T22:30:53.00" personId="{64e9ee04-de6b-4055-bbbc-2ac796c078bd}" id="{921b4845-2014-4035-8957-818f7faa0b50}" done="1">
    <x18tc:text xml:space="preserve">The Party Tracker sheet seems to not have a checkbox set for this item</x18tc:text>
  </x18tc:threadedComment>
  <x18tc:threadedComment ref="F35" dT="2025-08-26T23:34:02.00" personId="{e439720c-d2b1-446d-ba88-22e507ab197e}" id="{6d4ac495-2e1d-4afa-9ad4-72be6ea7ef9b}" parentId="{921b4845-2014-4035-8957-818f7faa0b50}">
    <x18tc:text xml:space="preserve">Correct. This is entered by EMs when talking to companions.</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24" dT="2025-08-31T17:01:05.00" personId="{0ee3a1ce-3457-417e-81c9-d609a0ee1fdb}" id="{d4dcc572-6c15-4369-b628-032864d064ee}" done="1">
    <x18tc:text xml:space="preserve">No formatting or text in this cell. Does turn green when checked.</x18tc:text>
  </x18tc:threadedComment>
  <x18tc:threadedComment ref="I24" dT="2025-08-31T17:15:36.00" personId="{e439720c-d2b1-446d-ba88-22e507ab197e}" id="{070c4467-7daa-4155-a1a1-9fe499b6bef7}" parentId="{d4dcc572-6c15-4369-b628-032864d064ee}">
    <x18tc:text xml:space="preserve">That's OK if some don't have formatting. Should've been party of the brief.</x18tc:text>
  </x18tc:threadedComment>
  <x18tc:threadedComment ref="I18" dT="2025-08-31T16:54:37.00" personId="{0ee3a1ce-3457-417e-81c9-d609a0ee1fdb}" id="{11c95f9a-9191-45e8-be4a-e4487f5be62d}" done="1">
    <x18tc:text xml:space="preserve">No formatting or text in this cell. Does turn green when checked.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5.xml"/><Relationship Id="rId5"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6.xml"/><Relationship Id="rId5"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8.xml"/><Relationship Id="rId5"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19.xml"/><Relationship Id="rId5" Type="http://schemas.openxmlformats.org/officeDocument/2006/relationships/vmlDrawing" Target="../drawings/vmlDrawing4.v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21.xml"/><Relationship Id="rId5" Type="http://schemas.openxmlformats.org/officeDocument/2006/relationships/vmlDrawing" Target="../drawings/vmlDrawing5.v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23.xml"/><Relationship Id="rId5" Type="http://schemas.openxmlformats.org/officeDocument/2006/relationships/vmlDrawing" Target="../drawings/vmlDrawing6.v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25.xml"/><Relationship Id="rId5" Type="http://schemas.openxmlformats.org/officeDocument/2006/relationships/vmlDrawing" Target="../drawings/vmlDrawing7.v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13"/>
    <col customWidth="1" min="2" max="2" width="13.88"/>
    <col customWidth="1" min="3" max="3" width="13.5"/>
    <col customWidth="1" min="4" max="4" width="11.88"/>
    <col customWidth="1" min="5" max="5" width="17.63"/>
    <col customWidth="1" min="6" max="6" width="15.13"/>
    <col customWidth="1" min="7" max="7" width="75.88"/>
    <col customWidth="1" min="8" max="8" width="16.5"/>
  </cols>
  <sheetData>
    <row r="1" ht="22.5" customHeight="1">
      <c r="A1" s="29" t="s">
        <v>36</v>
      </c>
      <c r="B1" s="29" t="s">
        <v>52</v>
      </c>
      <c r="C1" s="33" t="s">
        <v>93</v>
      </c>
      <c r="D1" s="33" t="s">
        <v>94</v>
      </c>
      <c r="E1" s="29" t="s">
        <v>54</v>
      </c>
      <c r="F1" s="33" t="s">
        <v>55</v>
      </c>
      <c r="G1" s="33" t="s">
        <v>56</v>
      </c>
      <c r="H1" s="33" t="s">
        <v>57</v>
      </c>
    </row>
    <row r="2" ht="48.75" customHeight="1">
      <c r="A2" s="36" t="s">
        <v>58</v>
      </c>
      <c r="B2" s="37">
        <v>0.5416666666666666</v>
      </c>
      <c r="C2" s="36" t="s">
        <v>19</v>
      </c>
      <c r="D2" s="36" t="s">
        <v>97</v>
      </c>
      <c r="E2" s="36" t="s">
        <v>60</v>
      </c>
      <c r="F2" s="36" t="s">
        <v>61</v>
      </c>
      <c r="G2" s="101" t="s">
        <v>101</v>
      </c>
      <c r="H2" s="36" t="s">
        <v>102</v>
      </c>
    </row>
    <row r="3" ht="48.75" customHeight="1">
      <c r="A3" s="36" t="s">
        <v>108</v>
      </c>
      <c r="B3" s="37">
        <v>0.78125</v>
      </c>
      <c r="C3" s="36" t="s">
        <v>110</v>
      </c>
      <c r="D3" s="79"/>
      <c r="E3" s="36" t="s">
        <v>60</v>
      </c>
      <c r="F3" s="36" t="s">
        <v>105</v>
      </c>
      <c r="G3" s="116" t="s">
        <v>111</v>
      </c>
      <c r="H3" s="36" t="s">
        <v>102</v>
      </c>
      <c r="I3" s="71"/>
      <c r="J3" s="71"/>
      <c r="K3" s="71"/>
      <c r="L3" s="71"/>
      <c r="M3" s="71"/>
      <c r="N3" s="71"/>
      <c r="O3" s="71"/>
      <c r="P3" s="71"/>
      <c r="Q3" s="71"/>
      <c r="R3" s="71"/>
      <c r="S3" s="71"/>
      <c r="T3" s="71"/>
      <c r="U3" s="71"/>
      <c r="V3" s="71"/>
    </row>
    <row r="4" ht="48.75" customHeight="1">
      <c r="A4" s="36" t="s">
        <v>108</v>
      </c>
      <c r="B4" s="37">
        <v>0.7708333333333334</v>
      </c>
      <c r="C4" s="36" t="s">
        <v>34</v>
      </c>
      <c r="D4" s="36" t="s">
        <v>117</v>
      </c>
      <c r="E4" s="36" t="s">
        <v>60</v>
      </c>
      <c r="F4" s="36" t="s">
        <v>61</v>
      </c>
      <c r="G4" s="135" t="s">
        <v>118</v>
      </c>
      <c r="H4" s="39"/>
    </row>
    <row r="5" ht="48.75" customHeight="1">
      <c r="A5" s="36" t="s">
        <v>108</v>
      </c>
      <c r="B5" s="37">
        <v>0.8125</v>
      </c>
      <c r="C5" s="36" t="s">
        <v>22</v>
      </c>
      <c r="D5" s="36" t="s">
        <v>138</v>
      </c>
      <c r="E5" s="36" t="s">
        <v>60</v>
      </c>
      <c r="F5" s="36" t="s">
        <v>61</v>
      </c>
      <c r="G5" s="101" t="s">
        <v>139</v>
      </c>
      <c r="H5" s="79"/>
    </row>
    <row r="6" ht="48.75" customHeight="1">
      <c r="A6" s="36" t="s">
        <v>108</v>
      </c>
      <c r="B6" s="37">
        <v>0.9166666666666666</v>
      </c>
      <c r="C6" s="36" t="s">
        <v>110</v>
      </c>
      <c r="D6" s="36" t="s">
        <v>97</v>
      </c>
      <c r="E6" s="36" t="s">
        <v>60</v>
      </c>
      <c r="F6" s="36" t="s">
        <v>61</v>
      </c>
      <c r="G6" s="101" t="s">
        <v>146</v>
      </c>
      <c r="H6" s="79"/>
    </row>
    <row r="7" ht="48.75" customHeight="1">
      <c r="A7" s="36" t="s">
        <v>58</v>
      </c>
      <c r="B7" s="37">
        <v>0.3125</v>
      </c>
      <c r="C7" s="36" t="s">
        <v>33</v>
      </c>
      <c r="D7" s="36" t="s">
        <v>148</v>
      </c>
      <c r="E7" s="36" t="s">
        <v>60</v>
      </c>
      <c r="F7" s="36" t="s">
        <v>61</v>
      </c>
      <c r="G7" s="101" t="s">
        <v>149</v>
      </c>
      <c r="H7" s="79"/>
    </row>
    <row r="8" ht="48.75" customHeight="1">
      <c r="A8" s="36" t="s">
        <v>108</v>
      </c>
      <c r="B8" s="37">
        <v>0.9583333333333334</v>
      </c>
      <c r="C8" s="36" t="s">
        <v>31</v>
      </c>
      <c r="D8" s="36" t="s">
        <v>138</v>
      </c>
      <c r="E8" s="36" t="s">
        <v>60</v>
      </c>
      <c r="F8" s="36" t="s">
        <v>61</v>
      </c>
      <c r="G8" s="101" t="s">
        <v>150</v>
      </c>
      <c r="H8" s="39"/>
    </row>
    <row r="9" ht="48.75" customHeight="1">
      <c r="A9" s="69" t="s">
        <v>58</v>
      </c>
      <c r="B9" s="70">
        <v>0.3333333333333333</v>
      </c>
      <c r="C9" s="69" t="s">
        <v>22</v>
      </c>
      <c r="D9" s="69" t="s">
        <v>138</v>
      </c>
      <c r="E9" s="69" t="s">
        <v>60</v>
      </c>
      <c r="F9" s="69" t="s">
        <v>105</v>
      </c>
      <c r="G9" s="101" t="s">
        <v>152</v>
      </c>
      <c r="H9" s="143"/>
    </row>
    <row r="10" ht="48.75" customHeight="1">
      <c r="A10" s="36" t="s">
        <v>58</v>
      </c>
      <c r="B10" s="37">
        <v>0.375</v>
      </c>
      <c r="C10" s="36" t="s">
        <v>30</v>
      </c>
      <c r="D10" s="36" t="s">
        <v>148</v>
      </c>
      <c r="E10" s="36" t="s">
        <v>60</v>
      </c>
      <c r="F10" s="36" t="s">
        <v>61</v>
      </c>
      <c r="G10" s="101" t="s">
        <v>154</v>
      </c>
      <c r="H10" s="39"/>
    </row>
    <row r="11" ht="48.75" customHeight="1">
      <c r="A11" s="36" t="s">
        <v>58</v>
      </c>
      <c r="B11" s="37">
        <v>0.375</v>
      </c>
      <c r="C11" s="36" t="s">
        <v>35</v>
      </c>
      <c r="D11" s="36" t="s">
        <v>155</v>
      </c>
      <c r="E11" s="36" t="s">
        <v>60</v>
      </c>
      <c r="F11" s="36" t="s">
        <v>61</v>
      </c>
      <c r="G11" s="101" t="s">
        <v>156</v>
      </c>
      <c r="H11" s="36" t="s">
        <v>68</v>
      </c>
    </row>
    <row r="12" ht="48.75" customHeight="1">
      <c r="A12" s="36" t="s">
        <v>58</v>
      </c>
      <c r="B12" s="37">
        <v>0.375</v>
      </c>
      <c r="C12" s="36" t="s">
        <v>19</v>
      </c>
      <c r="D12" s="36" t="s">
        <v>155</v>
      </c>
      <c r="E12" s="36" t="s">
        <v>60</v>
      </c>
      <c r="F12" s="36" t="s">
        <v>61</v>
      </c>
      <c r="G12" s="101" t="s">
        <v>157</v>
      </c>
      <c r="H12" s="79"/>
    </row>
    <row r="13" ht="48.75" customHeight="1">
      <c r="A13" s="36" t="s">
        <v>58</v>
      </c>
      <c r="B13" s="37">
        <v>0.375</v>
      </c>
      <c r="C13" s="36" t="s">
        <v>26</v>
      </c>
      <c r="D13" s="36" t="s">
        <v>138</v>
      </c>
      <c r="E13" s="36" t="s">
        <v>60</v>
      </c>
      <c r="F13" s="36" t="s">
        <v>61</v>
      </c>
      <c r="G13" s="101" t="s">
        <v>158</v>
      </c>
      <c r="H13" s="36" t="s">
        <v>68</v>
      </c>
    </row>
    <row r="14" ht="48.75" customHeight="1">
      <c r="A14" s="36" t="s">
        <v>58</v>
      </c>
      <c r="B14" s="37">
        <v>0.5208333333333334</v>
      </c>
      <c r="C14" s="36" t="s">
        <v>34</v>
      </c>
      <c r="D14" s="36" t="s">
        <v>148</v>
      </c>
      <c r="E14" s="36" t="s">
        <v>60</v>
      </c>
      <c r="F14" s="36" t="s">
        <v>105</v>
      </c>
      <c r="G14" s="101" t="s">
        <v>160</v>
      </c>
      <c r="H14" s="79"/>
    </row>
    <row r="15" ht="48.75" customHeight="1">
      <c r="A15" s="36" t="s">
        <v>58</v>
      </c>
      <c r="B15" s="37">
        <v>0.6666666666666666</v>
      </c>
      <c r="C15" s="36" t="s">
        <v>33</v>
      </c>
      <c r="D15" s="36" t="s">
        <v>138</v>
      </c>
      <c r="E15" s="36" t="s">
        <v>60</v>
      </c>
      <c r="F15" s="36" t="s">
        <v>105</v>
      </c>
      <c r="G15" s="101" t="s">
        <v>161</v>
      </c>
      <c r="H15" s="36" t="s">
        <v>68</v>
      </c>
    </row>
    <row r="16" ht="48.75" customHeight="1">
      <c r="A16" s="36" t="s">
        <v>58</v>
      </c>
      <c r="B16" s="37">
        <v>0.5416666666666666</v>
      </c>
      <c r="C16" s="36" t="s">
        <v>34</v>
      </c>
      <c r="D16" s="36" t="s">
        <v>117</v>
      </c>
      <c r="E16" s="36" t="s">
        <v>60</v>
      </c>
      <c r="F16" s="36" t="s">
        <v>61</v>
      </c>
      <c r="G16" s="101" t="s">
        <v>163</v>
      </c>
      <c r="H16" s="79"/>
    </row>
    <row r="17" ht="48.75" customHeight="1">
      <c r="A17" s="36" t="s">
        <v>58</v>
      </c>
      <c r="B17" s="37">
        <v>0.3541666666666667</v>
      </c>
      <c r="C17" s="36" t="s">
        <v>31</v>
      </c>
      <c r="D17" s="36" t="s">
        <v>138</v>
      </c>
      <c r="E17" s="36" t="s">
        <v>60</v>
      </c>
      <c r="F17" s="36" t="s">
        <v>61</v>
      </c>
      <c r="G17" s="101" t="s">
        <v>165</v>
      </c>
      <c r="H17" s="36" t="s">
        <v>68</v>
      </c>
    </row>
    <row r="18" ht="48.75" customHeight="1">
      <c r="A18" s="36" t="s">
        <v>58</v>
      </c>
      <c r="B18" s="37">
        <v>0.375</v>
      </c>
      <c r="C18" s="36" t="s">
        <v>30</v>
      </c>
      <c r="D18" s="36" t="s">
        <v>166</v>
      </c>
      <c r="E18" s="36" t="s">
        <v>60</v>
      </c>
      <c r="F18" s="36" t="s">
        <v>61</v>
      </c>
      <c r="G18" s="101" t="s">
        <v>167</v>
      </c>
      <c r="H18" s="39"/>
    </row>
    <row r="19" ht="48.75" customHeight="1">
      <c r="A19" s="36" t="s">
        <v>58</v>
      </c>
      <c r="B19" s="37">
        <v>0.375</v>
      </c>
      <c r="C19" s="36" t="s">
        <v>19</v>
      </c>
      <c r="D19" s="36" t="s">
        <v>117</v>
      </c>
      <c r="E19" s="36" t="s">
        <v>79</v>
      </c>
      <c r="F19" s="36" t="s">
        <v>61</v>
      </c>
      <c r="G19" s="101" t="s">
        <v>168</v>
      </c>
      <c r="H19" s="36" t="s">
        <v>102</v>
      </c>
    </row>
    <row r="20" ht="48.75" customHeight="1">
      <c r="A20" s="36" t="s">
        <v>58</v>
      </c>
      <c r="B20" s="37">
        <v>0.5416666666666666</v>
      </c>
      <c r="C20" s="36" t="s">
        <v>29</v>
      </c>
      <c r="D20" s="36" t="s">
        <v>138</v>
      </c>
      <c r="E20" s="36" t="s">
        <v>79</v>
      </c>
      <c r="F20" s="36" t="s">
        <v>61</v>
      </c>
      <c r="G20" s="101" t="s">
        <v>169</v>
      </c>
      <c r="H20" s="36" t="s">
        <v>68</v>
      </c>
    </row>
    <row r="21" ht="48.75" customHeight="1">
      <c r="A21" s="36" t="s">
        <v>58</v>
      </c>
      <c r="B21" s="37">
        <v>0.5416666666666666</v>
      </c>
      <c r="C21" s="36" t="s">
        <v>29</v>
      </c>
      <c r="D21" s="36" t="s">
        <v>117</v>
      </c>
      <c r="E21" s="36" t="s">
        <v>60</v>
      </c>
      <c r="F21" s="36" t="s">
        <v>61</v>
      </c>
      <c r="G21" s="101" t="s">
        <v>171</v>
      </c>
      <c r="H21" s="79"/>
    </row>
    <row r="22" ht="48.75" customHeight="1">
      <c r="A22" s="36" t="s">
        <v>58</v>
      </c>
      <c r="B22" s="37">
        <v>0.5833333333333334</v>
      </c>
      <c r="C22" s="36" t="s">
        <v>22</v>
      </c>
      <c r="D22" s="36" t="s">
        <v>173</v>
      </c>
      <c r="E22" s="36" t="s">
        <v>60</v>
      </c>
      <c r="F22" s="36" t="s">
        <v>61</v>
      </c>
      <c r="G22" s="101" t="s">
        <v>174</v>
      </c>
      <c r="H22" s="79"/>
    </row>
    <row r="23" ht="48.75" customHeight="1">
      <c r="A23" s="36" t="s">
        <v>58</v>
      </c>
      <c r="B23" s="37">
        <v>0.625</v>
      </c>
      <c r="C23" s="36" t="s">
        <v>19</v>
      </c>
      <c r="D23" s="36" t="s">
        <v>138</v>
      </c>
      <c r="E23" s="36" t="s">
        <v>60</v>
      </c>
      <c r="F23" s="36" t="s">
        <v>61</v>
      </c>
      <c r="G23" s="101" t="s">
        <v>176</v>
      </c>
      <c r="H23" s="79"/>
    </row>
    <row r="24" ht="48.75" customHeight="1">
      <c r="A24" s="36" t="s">
        <v>58</v>
      </c>
      <c r="B24" s="37">
        <v>0.7083333333333334</v>
      </c>
      <c r="C24" s="36" t="s">
        <v>34</v>
      </c>
      <c r="D24" s="36" t="s">
        <v>138</v>
      </c>
      <c r="E24" s="36" t="s">
        <v>104</v>
      </c>
      <c r="F24" s="36" t="s">
        <v>61</v>
      </c>
      <c r="G24" s="101" t="s">
        <v>178</v>
      </c>
      <c r="H24" s="79"/>
    </row>
    <row r="25" ht="48.75" customHeight="1">
      <c r="A25" s="36" t="s">
        <v>58</v>
      </c>
      <c r="B25" s="37">
        <v>0.7708333333333334</v>
      </c>
      <c r="C25" s="36" t="s">
        <v>33</v>
      </c>
      <c r="D25" s="36" t="s">
        <v>138</v>
      </c>
      <c r="E25" s="36" t="s">
        <v>60</v>
      </c>
      <c r="F25" s="36" t="s">
        <v>61</v>
      </c>
      <c r="G25" s="101" t="s">
        <v>180</v>
      </c>
      <c r="H25" s="36" t="s">
        <v>68</v>
      </c>
    </row>
    <row r="26" ht="48.75" customHeight="1">
      <c r="A26" s="36" t="s">
        <v>58</v>
      </c>
      <c r="B26" s="37">
        <v>0.7708333333333334</v>
      </c>
      <c r="C26" s="36" t="s">
        <v>19</v>
      </c>
      <c r="D26" s="36" t="s">
        <v>138</v>
      </c>
      <c r="E26" s="36" t="s">
        <v>60</v>
      </c>
      <c r="F26" s="36" t="s">
        <v>61</v>
      </c>
      <c r="G26" s="101" t="s">
        <v>182</v>
      </c>
      <c r="H26" s="79"/>
    </row>
    <row r="27" ht="48.75" customHeight="1">
      <c r="A27" s="36" t="s">
        <v>58</v>
      </c>
      <c r="B27" s="37">
        <v>0.7708333333333334</v>
      </c>
      <c r="C27" s="36" t="s">
        <v>26</v>
      </c>
      <c r="D27" s="36" t="s">
        <v>138</v>
      </c>
      <c r="E27" s="36" t="s">
        <v>60</v>
      </c>
      <c r="F27" s="36" t="s">
        <v>61</v>
      </c>
      <c r="G27" s="101" t="s">
        <v>184</v>
      </c>
      <c r="H27" s="79"/>
    </row>
    <row r="28" ht="48.75" customHeight="1">
      <c r="A28" s="36" t="s">
        <v>58</v>
      </c>
      <c r="B28" s="37">
        <v>0.8541666666666666</v>
      </c>
      <c r="C28" s="36" t="s">
        <v>22</v>
      </c>
      <c r="D28" s="36" t="s">
        <v>117</v>
      </c>
      <c r="E28" s="36" t="s">
        <v>79</v>
      </c>
      <c r="F28" s="36" t="s">
        <v>61</v>
      </c>
      <c r="G28" s="101" t="s">
        <v>185</v>
      </c>
      <c r="H28" s="79"/>
    </row>
    <row r="29" ht="48.75" customHeight="1">
      <c r="A29" s="36" t="s">
        <v>13</v>
      </c>
      <c r="B29" s="37">
        <v>0.375</v>
      </c>
      <c r="C29" s="36" t="s">
        <v>29</v>
      </c>
      <c r="D29" s="36" t="s">
        <v>148</v>
      </c>
      <c r="E29" s="36" t="s">
        <v>60</v>
      </c>
      <c r="F29" s="36" t="s">
        <v>61</v>
      </c>
      <c r="G29" s="101" t="s">
        <v>187</v>
      </c>
      <c r="H29" s="36" t="s">
        <v>68</v>
      </c>
    </row>
    <row r="30" ht="48.75" customHeight="1">
      <c r="A30" s="36"/>
      <c r="B30" s="37"/>
      <c r="C30" s="36"/>
      <c r="D30" s="36"/>
      <c r="E30" s="36"/>
      <c r="F30" s="36"/>
      <c r="G30" s="101"/>
      <c r="H30" s="79"/>
    </row>
    <row r="31" ht="48.75" customHeight="1">
      <c r="A31" s="79"/>
      <c r="B31" s="142"/>
      <c r="C31" s="79"/>
      <c r="D31" s="36"/>
      <c r="E31" s="36"/>
      <c r="F31" s="79"/>
      <c r="G31" s="101"/>
      <c r="H31" s="79"/>
    </row>
    <row r="32" ht="48.75" customHeight="1">
      <c r="A32" s="79"/>
      <c r="B32" s="142"/>
      <c r="C32" s="79"/>
      <c r="D32" s="36"/>
      <c r="E32" s="36"/>
      <c r="F32" s="79"/>
      <c r="G32" s="101"/>
      <c r="H32" s="79"/>
    </row>
    <row r="33" ht="48.75" customHeight="1">
      <c r="A33" s="79"/>
      <c r="B33" s="142"/>
      <c r="C33" s="79"/>
      <c r="D33" s="36"/>
      <c r="E33" s="36"/>
      <c r="F33" s="79"/>
      <c r="G33" s="101"/>
      <c r="H33" s="79"/>
    </row>
    <row r="34" ht="48.75" customHeight="1">
      <c r="A34" s="79"/>
      <c r="B34" s="142"/>
      <c r="C34" s="79"/>
      <c r="D34" s="36"/>
      <c r="E34" s="36"/>
      <c r="F34" s="79"/>
      <c r="G34" s="101"/>
      <c r="H34" s="79"/>
    </row>
    <row r="35" ht="48.75" customHeight="1">
      <c r="A35" s="79"/>
      <c r="B35" s="142"/>
      <c r="C35" s="79"/>
      <c r="D35" s="36"/>
      <c r="E35" s="36"/>
      <c r="F35" s="79"/>
      <c r="G35" s="101"/>
      <c r="H35" s="79"/>
    </row>
    <row r="36" ht="48.75" customHeight="1">
      <c r="A36" s="79"/>
      <c r="B36" s="142"/>
      <c r="C36" s="79"/>
      <c r="D36" s="36"/>
      <c r="E36" s="36"/>
      <c r="F36" s="79"/>
      <c r="G36" s="101"/>
      <c r="H36" s="79"/>
    </row>
    <row r="37" ht="48.75" customHeight="1">
      <c r="A37" s="79"/>
      <c r="B37" s="142"/>
      <c r="C37" s="79"/>
      <c r="D37" s="36"/>
      <c r="E37" s="36"/>
      <c r="F37" s="79"/>
      <c r="G37" s="101"/>
      <c r="H37" s="79"/>
    </row>
    <row r="38" ht="48.75" customHeight="1">
      <c r="A38" s="79"/>
      <c r="B38" s="142"/>
      <c r="C38" s="79"/>
      <c r="D38" s="36"/>
      <c r="E38" s="36"/>
      <c r="F38" s="79"/>
      <c r="G38" s="101"/>
      <c r="H38" s="79"/>
    </row>
    <row r="39" ht="48.75" customHeight="1">
      <c r="A39" s="79"/>
      <c r="B39" s="142"/>
      <c r="C39" s="79"/>
      <c r="D39" s="36"/>
      <c r="E39" s="36"/>
      <c r="F39" s="79"/>
      <c r="G39" s="101"/>
      <c r="H39" s="79"/>
    </row>
    <row r="40" ht="48.75" customHeight="1">
      <c r="A40" s="79"/>
      <c r="B40" s="142"/>
      <c r="C40" s="79"/>
      <c r="D40" s="36"/>
      <c r="E40" s="36"/>
      <c r="F40" s="79"/>
      <c r="G40" s="101"/>
      <c r="H40" s="79"/>
    </row>
    <row r="41" ht="48.75" customHeight="1">
      <c r="A41" s="79"/>
      <c r="B41" s="142"/>
      <c r="C41" s="79"/>
      <c r="D41" s="36"/>
      <c r="E41" s="36"/>
      <c r="F41" s="79"/>
      <c r="G41" s="101"/>
      <c r="H41" s="79"/>
    </row>
    <row r="42" ht="48.75" customHeight="1">
      <c r="A42" s="79"/>
      <c r="B42" s="142"/>
      <c r="C42" s="79"/>
      <c r="D42" s="36"/>
      <c r="E42" s="36"/>
      <c r="F42" s="79"/>
      <c r="G42" s="101"/>
      <c r="H42" s="79"/>
    </row>
    <row r="43" ht="48.75" customHeight="1">
      <c r="A43" s="79"/>
      <c r="B43" s="142"/>
      <c r="C43" s="79"/>
      <c r="D43" s="36"/>
      <c r="E43" s="36"/>
      <c r="F43" s="79"/>
      <c r="G43" s="101"/>
      <c r="H43" s="79"/>
    </row>
    <row r="44" ht="48.75" customHeight="1">
      <c r="A44" s="79"/>
      <c r="B44" s="142"/>
      <c r="C44" s="79"/>
      <c r="D44" s="36"/>
      <c r="E44" s="36"/>
      <c r="F44" s="79"/>
      <c r="G44" s="101"/>
      <c r="H44" s="79"/>
    </row>
    <row r="45" ht="48.75" customHeight="1">
      <c r="A45" s="79"/>
      <c r="B45" s="142"/>
      <c r="C45" s="79"/>
      <c r="D45" s="36"/>
      <c r="E45" s="36"/>
      <c r="F45" s="79"/>
      <c r="G45" s="101"/>
      <c r="H45" s="79"/>
    </row>
    <row r="46" ht="48.75" customHeight="1">
      <c r="A46" s="79"/>
      <c r="B46" s="142"/>
      <c r="C46" s="79"/>
      <c r="D46" s="36"/>
      <c r="E46" s="36"/>
      <c r="F46" s="79"/>
      <c r="G46" s="101"/>
      <c r="H46" s="79"/>
    </row>
    <row r="47" ht="48.75" customHeight="1">
      <c r="A47" s="79"/>
      <c r="B47" s="142"/>
      <c r="C47" s="79"/>
      <c r="D47" s="36"/>
      <c r="E47" s="36"/>
      <c r="F47" s="79"/>
      <c r="G47" s="101"/>
      <c r="H47" s="79"/>
    </row>
    <row r="48" ht="48.75" customHeight="1">
      <c r="A48" s="79"/>
      <c r="B48" s="142"/>
      <c r="C48" s="79"/>
      <c r="D48" s="36"/>
      <c r="E48" s="36"/>
      <c r="F48" s="79"/>
      <c r="G48" s="101"/>
      <c r="H48" s="79"/>
    </row>
    <row r="49" ht="48.75" customHeight="1">
      <c r="A49" s="79"/>
      <c r="B49" s="142"/>
      <c r="C49" s="79"/>
      <c r="D49" s="36"/>
      <c r="E49" s="36"/>
      <c r="F49" s="79"/>
      <c r="G49" s="101"/>
      <c r="H49" s="79"/>
    </row>
    <row r="50" ht="48.75" customHeight="1">
      <c r="A50" s="79"/>
      <c r="B50" s="142"/>
      <c r="C50" s="79"/>
      <c r="D50" s="36"/>
      <c r="E50" s="36"/>
      <c r="F50" s="79"/>
      <c r="G50" s="101"/>
      <c r="H50" s="79"/>
    </row>
    <row r="51" ht="48.75" customHeight="1">
      <c r="A51" s="79"/>
      <c r="B51" s="142"/>
      <c r="C51" s="79"/>
      <c r="D51" s="36"/>
      <c r="E51" s="36"/>
      <c r="F51" s="79"/>
      <c r="G51" s="101"/>
      <c r="H51" s="79"/>
    </row>
    <row r="52" ht="48.75" customHeight="1">
      <c r="A52" s="79"/>
      <c r="B52" s="142"/>
      <c r="C52" s="79"/>
      <c r="D52" s="36"/>
      <c r="E52" s="36"/>
      <c r="F52" s="79"/>
      <c r="G52" s="101"/>
      <c r="H52" s="79"/>
    </row>
    <row r="53" ht="48.75" customHeight="1">
      <c r="A53" s="79"/>
      <c r="B53" s="142"/>
      <c r="C53" s="79"/>
      <c r="D53" s="36"/>
      <c r="E53" s="36"/>
      <c r="F53" s="79"/>
      <c r="G53" s="101"/>
      <c r="H53" s="79"/>
    </row>
    <row r="54" ht="48.75" customHeight="1">
      <c r="A54" s="79"/>
      <c r="B54" s="142"/>
      <c r="C54" s="79"/>
      <c r="D54" s="36"/>
      <c r="E54" s="36"/>
      <c r="F54" s="79"/>
      <c r="G54" s="101"/>
      <c r="H54" s="79"/>
    </row>
    <row r="55" ht="48.75" customHeight="1">
      <c r="A55" s="79"/>
      <c r="B55" s="142"/>
      <c r="C55" s="79"/>
      <c r="D55" s="36"/>
      <c r="E55" s="36"/>
      <c r="F55" s="79"/>
      <c r="G55" s="101"/>
      <c r="H55" s="79"/>
    </row>
    <row r="56" ht="48.75" customHeight="1">
      <c r="A56" s="79"/>
      <c r="B56" s="142"/>
      <c r="C56" s="79"/>
      <c r="D56" s="36"/>
      <c r="E56" s="36"/>
      <c r="F56" s="79"/>
      <c r="G56" s="101"/>
      <c r="H56" s="79"/>
    </row>
    <row r="57" ht="48.75" customHeight="1">
      <c r="A57" s="79"/>
      <c r="B57" s="142"/>
      <c r="C57" s="79"/>
      <c r="D57" s="36"/>
      <c r="E57" s="36"/>
      <c r="F57" s="79"/>
      <c r="G57" s="101"/>
      <c r="H57" s="79"/>
    </row>
    <row r="58" ht="48.75" customHeight="1">
      <c r="A58" s="79"/>
      <c r="B58" s="142"/>
      <c r="C58" s="79"/>
      <c r="D58" s="36"/>
      <c r="E58" s="36"/>
      <c r="F58" s="79"/>
      <c r="G58" s="101"/>
      <c r="H58" s="79"/>
    </row>
    <row r="59" ht="48.75" customHeight="1">
      <c r="A59" s="79"/>
      <c r="B59" s="142"/>
      <c r="C59" s="79"/>
      <c r="D59" s="36"/>
      <c r="E59" s="36"/>
      <c r="F59" s="79"/>
      <c r="G59" s="101"/>
      <c r="H59" s="79"/>
    </row>
    <row r="60" ht="48.75" customHeight="1">
      <c r="A60" s="79"/>
      <c r="B60" s="142"/>
      <c r="C60" s="79"/>
      <c r="D60" s="36"/>
      <c r="E60" s="36"/>
      <c r="F60" s="79"/>
      <c r="G60" s="101"/>
      <c r="H60" s="79"/>
    </row>
    <row r="61" ht="48.75" customHeight="1">
      <c r="A61" s="79"/>
      <c r="B61" s="142"/>
      <c r="C61" s="79"/>
      <c r="D61" s="36"/>
      <c r="E61" s="36"/>
      <c r="F61" s="79"/>
      <c r="G61" s="101"/>
      <c r="H61" s="79"/>
    </row>
    <row r="62" ht="48.75" customHeight="1">
      <c r="A62" s="79"/>
      <c r="B62" s="142"/>
      <c r="C62" s="79"/>
      <c r="D62" s="36"/>
      <c r="E62" s="36"/>
      <c r="F62" s="79"/>
      <c r="G62" s="101"/>
      <c r="H62" s="79"/>
    </row>
    <row r="63" ht="48.75" customHeight="1">
      <c r="A63" s="79"/>
      <c r="B63" s="142"/>
      <c r="C63" s="79"/>
      <c r="D63" s="36"/>
      <c r="E63" s="36"/>
      <c r="F63" s="79"/>
      <c r="G63" s="101"/>
      <c r="H63" s="79"/>
    </row>
    <row r="64" ht="48.75" customHeight="1">
      <c r="A64" s="79"/>
      <c r="B64" s="142"/>
      <c r="C64" s="79"/>
      <c r="D64" s="36"/>
      <c r="E64" s="36"/>
      <c r="F64" s="79"/>
      <c r="G64" s="101"/>
      <c r="H64" s="79"/>
    </row>
    <row r="65" ht="48.75" customHeight="1">
      <c r="A65" s="79"/>
      <c r="B65" s="142"/>
      <c r="C65" s="79"/>
      <c r="D65" s="36"/>
      <c r="E65" s="36"/>
      <c r="F65" s="79"/>
      <c r="G65" s="101"/>
      <c r="H65" s="79"/>
    </row>
    <row r="66" ht="48.75" customHeight="1">
      <c r="A66" s="79"/>
      <c r="B66" s="142"/>
      <c r="C66" s="79"/>
      <c r="D66" s="36"/>
      <c r="E66" s="36"/>
      <c r="F66" s="79"/>
      <c r="G66" s="101"/>
      <c r="H66" s="79"/>
    </row>
    <row r="67" ht="48.75" customHeight="1">
      <c r="A67" s="79"/>
      <c r="B67" s="142"/>
      <c r="C67" s="79"/>
      <c r="D67" s="36"/>
      <c r="E67" s="36"/>
      <c r="F67" s="79"/>
      <c r="G67" s="101"/>
      <c r="H67" s="79"/>
    </row>
    <row r="68" ht="48.75" customHeight="1">
      <c r="A68" s="79"/>
      <c r="B68" s="142"/>
      <c r="C68" s="79"/>
      <c r="D68" s="36"/>
      <c r="E68" s="36"/>
      <c r="F68" s="79"/>
      <c r="G68" s="101"/>
      <c r="H68" s="79"/>
    </row>
    <row r="69" ht="48.75" customHeight="1">
      <c r="A69" s="79"/>
      <c r="B69" s="142"/>
      <c r="C69" s="79"/>
      <c r="D69" s="36"/>
      <c r="E69" s="36"/>
      <c r="F69" s="79"/>
      <c r="G69" s="101"/>
      <c r="H69" s="79"/>
    </row>
    <row r="70" ht="48.75" customHeight="1">
      <c r="A70" s="79"/>
      <c r="B70" s="142"/>
      <c r="C70" s="79"/>
      <c r="D70" s="36"/>
      <c r="E70" s="36"/>
      <c r="F70" s="79"/>
      <c r="G70" s="101"/>
      <c r="H70" s="79"/>
    </row>
    <row r="71" ht="48.75" customHeight="1">
      <c r="A71" s="79"/>
      <c r="B71" s="142"/>
      <c r="C71" s="79"/>
      <c r="D71" s="36"/>
      <c r="E71" s="36"/>
      <c r="F71" s="79"/>
      <c r="G71" s="101"/>
      <c r="H71" s="79"/>
    </row>
  </sheetData>
  <customSheetViews>
    <customSheetView guid="{182C7E0B-BC29-4023-84F6-F5958F226D43}" filter="1" showAutoFilter="1">
      <autoFilter ref="$A$1:$H$71">
        <sortState ref="A1:H71">
          <sortCondition ref="C1:C71"/>
        </sortState>
      </autoFilter>
    </customSheetView>
    <customSheetView guid="{6CCD31E3-C386-494F-9391-980F52EFB23B}" filter="1" showAutoFilter="1">
      <autoFilter ref="$A$1:$H$71"/>
    </customSheetView>
    <customSheetView guid="{3DB92C38-FBF1-4574-83D4-D36E33291680}" filter="1" showAutoFilter="1">
      <autoFilter ref="$A$1:$H$71"/>
    </customSheetView>
  </customSheetViews>
  <conditionalFormatting sqref="A2:H71">
    <cfRule type="expression" dxfId="8" priority="1">
      <formula>($E2)="Hopefully fixed"</formula>
    </cfRule>
  </conditionalFormatting>
  <conditionalFormatting sqref="G2:G71">
    <cfRule type="expression" dxfId="9" priority="2">
      <formula>len(G2)&gt;300</formula>
    </cfRule>
  </conditionalFormatting>
  <conditionalFormatting sqref="F2:F71">
    <cfRule type="expression" dxfId="10" priority="3">
      <formula>($E2)="Hopefully fixed"</formula>
    </cfRule>
  </conditionalFormatting>
  <conditionalFormatting sqref="F2:F71">
    <cfRule type="expression" dxfId="11" priority="4">
      <formula>E2="Hopefully fixed"</formula>
    </cfRule>
  </conditionalFormatting>
  <conditionalFormatting sqref="F2:F71">
    <cfRule type="expression" dxfId="12" priority="5">
      <formula>$F2="High"</formula>
    </cfRule>
  </conditionalFormatting>
  <dataValidations>
    <dataValidation type="list" allowBlank="1" sqref="E2:E71">
      <formula1>"Monitoring,Fixing,Hopefully fixed"</formula1>
    </dataValidation>
    <dataValidation type="list" allowBlank="1" sqref="H2:H71">
      <formula1>"Medical,Opportunity!,Shopping,Combat"</formula1>
    </dataValidation>
    <dataValidation type="list" allowBlank="1" sqref="B2:B71">
      <formula1>"7:00 am,7:30 am,8:00 am,8:30 am,9:00 am,9:30 am,10:00 am,10:30 am,11:00 am,11:30 am,12:00 pm,12:30 pm,1:00 pm,1:30 pm,2:00 pm,2:30 pm,3:00 pm,3:30 pm,4:00 pm,4:30 pm,5:00 pm,5:30 pm,6:00 pm,6:30 pm,7:00 pm,7:30 pm,8:00 pm,8:30 pm,9:00 pm,9:30 pm,10:00 pm,"&amp;"10:30 pm,11:00 pm,Overnight"</formula1>
    </dataValidation>
    <dataValidation type="list" allowBlank="1" sqref="A2:A71">
      <formula1>"Friday,Satuday,Sunday"</formula1>
    </dataValidation>
    <dataValidation type="list" allowBlank="1" sqref="C2:C71">
      <formula1>"Arden,Clairia,Doloron,Elsewhich,Glendeep,Keer,Noctara,P'Loa,Sythwan,Uri-Kesh,Waylon"</formula1>
    </dataValidation>
    <dataValidation allowBlank="1" showDropDown="1" sqref="G2:G71"/>
    <dataValidation type="list" allowBlank="1" sqref="F2:F71">
      <formula1>"High,Low"</formula1>
    </dataValidation>
    <dataValidation type="list" allowBlank="1" sqref="D2:D71">
      <formula1>"Caster,Keeper,Maker,Ranger,Seeker,Traveler,Other"</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13"/>
    <col customWidth="1" min="2" max="2" width="12.0"/>
    <col customWidth="1" min="3" max="3" width="18.88"/>
    <col customWidth="1" min="4" max="4" width="18.13"/>
    <col customWidth="1" min="5" max="5" width="15.13"/>
    <col customWidth="1" min="6" max="6" width="86.88"/>
    <col customWidth="1" min="7" max="7" width="16.5"/>
    <col customWidth="1" min="8" max="8" width="22.63"/>
    <col customWidth="1" hidden="1" min="10" max="10" width="19.0"/>
  </cols>
  <sheetData>
    <row r="1" ht="22.5" customHeight="1">
      <c r="A1" s="29" t="s">
        <v>36</v>
      </c>
      <c r="B1" s="29" t="s">
        <v>52</v>
      </c>
      <c r="C1" s="33" t="s">
        <v>53</v>
      </c>
      <c r="D1" s="33" t="s">
        <v>54</v>
      </c>
      <c r="E1" s="33" t="s">
        <v>55</v>
      </c>
      <c r="F1" s="33" t="s">
        <v>56</v>
      </c>
      <c r="G1" s="33" t="s">
        <v>57</v>
      </c>
    </row>
    <row r="2" ht="48.75" customHeight="1">
      <c r="A2" s="36" t="s">
        <v>58</v>
      </c>
      <c r="B2" s="37">
        <v>0.6666666666666666</v>
      </c>
      <c r="C2" s="36" t="s">
        <v>59</v>
      </c>
      <c r="D2" s="36" t="s">
        <v>60</v>
      </c>
      <c r="E2" s="36" t="s">
        <v>61</v>
      </c>
      <c r="F2" s="38" t="s">
        <v>62</v>
      </c>
      <c r="G2" s="39"/>
      <c r="J2" s="40" t="s">
        <v>63</v>
      </c>
    </row>
    <row r="3" ht="48.75" customHeight="1">
      <c r="A3" s="36" t="s">
        <v>58</v>
      </c>
      <c r="B3" s="37">
        <v>0.3541666666666667</v>
      </c>
      <c r="C3" s="36" t="s">
        <v>65</v>
      </c>
      <c r="D3" s="36" t="s">
        <v>60</v>
      </c>
      <c r="E3" s="36" t="s">
        <v>61</v>
      </c>
      <c r="F3" s="38" t="s">
        <v>67</v>
      </c>
      <c r="G3" s="36" t="s">
        <v>68</v>
      </c>
      <c r="J3" s="40" t="s">
        <v>69</v>
      </c>
    </row>
    <row r="4" ht="48.75" customHeight="1">
      <c r="A4" s="36" t="s">
        <v>58</v>
      </c>
      <c r="B4" s="37">
        <v>0.3333333333333333</v>
      </c>
      <c r="C4" s="36" t="s">
        <v>65</v>
      </c>
      <c r="D4" s="36" t="s">
        <v>60</v>
      </c>
      <c r="E4" s="36" t="s">
        <v>61</v>
      </c>
      <c r="F4" s="38" t="s">
        <v>71</v>
      </c>
      <c r="G4" s="39"/>
      <c r="J4" s="40" t="s">
        <v>72</v>
      </c>
    </row>
    <row r="5" ht="48.75" customHeight="1">
      <c r="A5" s="36" t="s">
        <v>58</v>
      </c>
      <c r="B5" s="37">
        <v>0.3958333333333333</v>
      </c>
      <c r="C5" s="36" t="s">
        <v>74</v>
      </c>
      <c r="D5" s="36" t="s">
        <v>60</v>
      </c>
      <c r="E5" s="36" t="s">
        <v>61</v>
      </c>
      <c r="F5" s="38" t="s">
        <v>75</v>
      </c>
      <c r="G5" s="39"/>
      <c r="J5" s="40" t="s">
        <v>76</v>
      </c>
    </row>
    <row r="6" ht="48.75" customHeight="1">
      <c r="A6" s="69" t="s">
        <v>77</v>
      </c>
      <c r="B6" s="70">
        <v>0.5416666666666666</v>
      </c>
      <c r="C6" s="69" t="s">
        <v>78</v>
      </c>
      <c r="D6" s="69" t="s">
        <v>79</v>
      </c>
      <c r="E6" s="69" t="s">
        <v>61</v>
      </c>
      <c r="F6" s="38" t="s">
        <v>80</v>
      </c>
      <c r="G6" s="69"/>
      <c r="H6" s="71"/>
      <c r="I6" s="71"/>
      <c r="J6" s="40" t="s">
        <v>81</v>
      </c>
      <c r="K6" s="71"/>
      <c r="L6" s="71"/>
      <c r="M6" s="71"/>
      <c r="N6" s="71"/>
      <c r="O6" s="71"/>
      <c r="P6" s="71"/>
      <c r="Q6" s="71"/>
      <c r="R6" s="71"/>
      <c r="S6" s="71"/>
      <c r="T6" s="71"/>
      <c r="U6" s="71"/>
      <c r="V6" s="71"/>
      <c r="W6" s="71"/>
    </row>
    <row r="7" ht="48.75" customHeight="1">
      <c r="A7" s="36" t="s">
        <v>77</v>
      </c>
      <c r="B7" s="37">
        <v>0.75</v>
      </c>
      <c r="C7" s="36" t="s">
        <v>83</v>
      </c>
      <c r="D7" s="36" t="s">
        <v>79</v>
      </c>
      <c r="E7" s="36" t="s">
        <v>61</v>
      </c>
      <c r="F7" s="38" t="s">
        <v>84</v>
      </c>
      <c r="G7" s="79"/>
      <c r="J7" s="40" t="s">
        <v>85</v>
      </c>
    </row>
    <row r="8" ht="48.75" customHeight="1">
      <c r="A8" s="36" t="s">
        <v>77</v>
      </c>
      <c r="B8" s="37">
        <v>0.375</v>
      </c>
      <c r="C8" s="36" t="s">
        <v>90</v>
      </c>
      <c r="D8" s="36" t="s">
        <v>79</v>
      </c>
      <c r="E8" s="36" t="s">
        <v>61</v>
      </c>
      <c r="F8" s="38" t="s">
        <v>91</v>
      </c>
      <c r="G8" s="79"/>
      <c r="J8" s="40" t="s">
        <v>92</v>
      </c>
    </row>
    <row r="9" ht="48.75" customHeight="1">
      <c r="A9" s="36" t="s">
        <v>58</v>
      </c>
      <c r="B9" s="37">
        <v>0.3541666666666667</v>
      </c>
      <c r="C9" s="36" t="s">
        <v>95</v>
      </c>
      <c r="D9" s="36" t="s">
        <v>79</v>
      </c>
      <c r="E9" s="36" t="s">
        <v>61</v>
      </c>
      <c r="F9" s="97" t="s">
        <v>98</v>
      </c>
      <c r="G9" s="39"/>
      <c r="J9" s="40" t="s">
        <v>100</v>
      </c>
    </row>
    <row r="10" ht="48.75" customHeight="1">
      <c r="A10" s="36" t="s">
        <v>58</v>
      </c>
      <c r="B10" s="37">
        <v>0.5</v>
      </c>
      <c r="C10" s="36" t="s">
        <v>103</v>
      </c>
      <c r="D10" s="36" t="s">
        <v>104</v>
      </c>
      <c r="E10" s="36" t="s">
        <v>105</v>
      </c>
      <c r="F10" s="38" t="s">
        <v>106</v>
      </c>
      <c r="G10" s="39"/>
      <c r="J10" s="40" t="s">
        <v>109</v>
      </c>
    </row>
    <row r="11" ht="48.75" customHeight="1">
      <c r="A11" s="36" t="s">
        <v>58</v>
      </c>
      <c r="B11" s="37">
        <v>0.75</v>
      </c>
      <c r="C11" s="36" t="s">
        <v>113</v>
      </c>
      <c r="D11" s="36" t="s">
        <v>104</v>
      </c>
      <c r="E11" s="36" t="s">
        <v>105</v>
      </c>
      <c r="F11" s="38" t="s">
        <v>114</v>
      </c>
      <c r="G11" s="39"/>
      <c r="J11" s="40" t="s">
        <v>115</v>
      </c>
    </row>
    <row r="12" ht="48.75" customHeight="1">
      <c r="A12" s="36" t="s">
        <v>58</v>
      </c>
      <c r="B12" s="37">
        <v>0.6666666666666666</v>
      </c>
      <c r="C12" s="36" t="s">
        <v>59</v>
      </c>
      <c r="D12" s="36" t="s">
        <v>60</v>
      </c>
      <c r="E12" s="36" t="s">
        <v>61</v>
      </c>
      <c r="F12" s="38" t="s">
        <v>119</v>
      </c>
      <c r="G12" s="39"/>
      <c r="J12" s="40" t="s">
        <v>121</v>
      </c>
    </row>
    <row r="13" ht="48.75" customHeight="1">
      <c r="A13" s="36" t="s">
        <v>58</v>
      </c>
      <c r="B13" s="37">
        <v>0.7916666666666666</v>
      </c>
      <c r="C13" s="36" t="s">
        <v>132</v>
      </c>
      <c r="D13" s="36" t="s">
        <v>79</v>
      </c>
      <c r="E13" s="36" t="s">
        <v>61</v>
      </c>
      <c r="F13" s="38" t="s">
        <v>134</v>
      </c>
      <c r="G13" s="39"/>
      <c r="J13" s="40" t="s">
        <v>136</v>
      </c>
    </row>
    <row r="14" ht="48.75" customHeight="1">
      <c r="A14" s="39"/>
      <c r="B14" s="141"/>
      <c r="C14" s="79"/>
      <c r="D14" s="79"/>
      <c r="E14" s="79"/>
      <c r="F14" s="38"/>
      <c r="G14" s="39"/>
      <c r="J14" s="40" t="s">
        <v>145</v>
      </c>
    </row>
    <row r="15" ht="48.75" customHeight="1">
      <c r="A15" s="39"/>
      <c r="B15" s="141"/>
      <c r="C15" s="79"/>
      <c r="D15" s="79"/>
      <c r="E15" s="79"/>
      <c r="F15" s="38"/>
      <c r="G15" s="79"/>
      <c r="J15" s="40" t="s">
        <v>147</v>
      </c>
    </row>
    <row r="16" ht="48.75" customHeight="1">
      <c r="A16" s="79"/>
      <c r="B16" s="142"/>
      <c r="C16" s="79"/>
      <c r="D16" s="79"/>
      <c r="E16" s="79"/>
      <c r="F16" s="38"/>
      <c r="G16" s="79"/>
      <c r="J16" s="40" t="s">
        <v>151</v>
      </c>
    </row>
    <row r="17" ht="48.75" customHeight="1">
      <c r="A17" s="79"/>
      <c r="B17" s="142"/>
      <c r="C17" s="79"/>
      <c r="D17" s="79"/>
      <c r="E17" s="79"/>
      <c r="F17" s="38"/>
      <c r="G17" s="79"/>
      <c r="J17" s="40" t="s">
        <v>153</v>
      </c>
    </row>
    <row r="18" ht="48.75" customHeight="1">
      <c r="A18" s="79"/>
      <c r="B18" s="142"/>
      <c r="C18" s="79"/>
      <c r="D18" s="79"/>
      <c r="E18" s="79"/>
      <c r="F18" s="38"/>
      <c r="G18" s="79"/>
      <c r="J18" s="40" t="s">
        <v>159</v>
      </c>
    </row>
    <row r="19" ht="48.75" customHeight="1">
      <c r="A19" s="79"/>
      <c r="B19" s="142"/>
      <c r="C19" s="79"/>
      <c r="D19" s="79"/>
      <c r="E19" s="79"/>
      <c r="F19" s="38"/>
      <c r="G19" s="79"/>
      <c r="J19" s="40" t="s">
        <v>162</v>
      </c>
    </row>
    <row r="20" ht="48.75" customHeight="1">
      <c r="A20" s="79"/>
      <c r="B20" s="142"/>
      <c r="C20" s="79"/>
      <c r="D20" s="79"/>
      <c r="E20" s="79"/>
      <c r="F20" s="38"/>
      <c r="G20" s="79"/>
      <c r="J20" s="40" t="s">
        <v>164</v>
      </c>
    </row>
    <row r="21" ht="48.75" customHeight="1">
      <c r="A21" s="79"/>
      <c r="B21" s="142"/>
      <c r="C21" s="79"/>
      <c r="D21" s="79"/>
      <c r="E21" s="79"/>
      <c r="F21" s="38"/>
      <c r="G21" s="79"/>
      <c r="J21" s="40" t="s">
        <v>65</v>
      </c>
    </row>
    <row r="22" ht="48.75" customHeight="1">
      <c r="A22" s="79"/>
      <c r="B22" s="142"/>
      <c r="C22" s="79"/>
      <c r="D22" s="79"/>
      <c r="E22" s="79"/>
      <c r="F22" s="38"/>
      <c r="G22" s="79"/>
      <c r="J22" s="40" t="s">
        <v>170</v>
      </c>
    </row>
    <row r="23" ht="48.75" customHeight="1">
      <c r="A23" s="79"/>
      <c r="B23" s="142"/>
      <c r="C23" s="79"/>
      <c r="D23" s="79"/>
      <c r="E23" s="79"/>
      <c r="F23" s="38"/>
      <c r="G23" s="79"/>
      <c r="J23" s="40" t="s">
        <v>172</v>
      </c>
    </row>
    <row r="24" ht="48.75" customHeight="1">
      <c r="A24" s="79"/>
      <c r="B24" s="142"/>
      <c r="C24" s="79"/>
      <c r="D24" s="79"/>
      <c r="E24" s="79"/>
      <c r="F24" s="38"/>
      <c r="G24" s="79"/>
      <c r="J24" s="40" t="s">
        <v>175</v>
      </c>
    </row>
    <row r="25" ht="48.75" customHeight="1">
      <c r="A25" s="79"/>
      <c r="B25" s="142"/>
      <c r="C25" s="79"/>
      <c r="D25" s="79"/>
      <c r="E25" s="79"/>
      <c r="F25" s="38"/>
      <c r="G25" s="79"/>
      <c r="J25" s="40" t="s">
        <v>177</v>
      </c>
    </row>
    <row r="26" ht="48.75" customHeight="1">
      <c r="A26" s="79"/>
      <c r="B26" s="142"/>
      <c r="C26" s="79"/>
      <c r="D26" s="79"/>
      <c r="E26" s="79"/>
      <c r="F26" s="38"/>
      <c r="G26" s="79"/>
      <c r="J26" s="40" t="s">
        <v>179</v>
      </c>
    </row>
    <row r="27" ht="48.75" customHeight="1">
      <c r="A27" s="79"/>
      <c r="B27" s="142"/>
      <c r="C27" s="79"/>
      <c r="D27" s="79"/>
      <c r="E27" s="79"/>
      <c r="F27" s="38"/>
      <c r="G27" s="79"/>
      <c r="J27" s="40" t="s">
        <v>181</v>
      </c>
    </row>
    <row r="28" ht="48.75" customHeight="1">
      <c r="A28" s="79"/>
      <c r="B28" s="142"/>
      <c r="C28" s="79"/>
      <c r="D28" s="79"/>
      <c r="E28" s="79"/>
      <c r="F28" s="38"/>
      <c r="G28" s="79"/>
      <c r="J28" s="40" t="s">
        <v>183</v>
      </c>
    </row>
    <row r="29" ht="48.75" customHeight="1">
      <c r="A29" s="79"/>
      <c r="B29" s="142"/>
      <c r="C29" s="79"/>
      <c r="D29" s="79"/>
      <c r="E29" s="79"/>
      <c r="F29" s="38"/>
      <c r="G29" s="79"/>
      <c r="J29" s="40" t="s">
        <v>186</v>
      </c>
    </row>
    <row r="30" ht="48.75" customHeight="1">
      <c r="A30" s="79"/>
      <c r="B30" s="142"/>
      <c r="C30" s="79"/>
      <c r="D30" s="79"/>
      <c r="E30" s="79"/>
      <c r="F30" s="38"/>
      <c r="G30" s="79"/>
      <c r="J30" s="40" t="s">
        <v>188</v>
      </c>
    </row>
    <row r="31" ht="48.75" customHeight="1">
      <c r="A31" s="79"/>
      <c r="B31" s="142"/>
      <c r="C31" s="79"/>
      <c r="D31" s="79"/>
      <c r="E31" s="79"/>
      <c r="F31" s="38"/>
      <c r="G31" s="79"/>
      <c r="J31" s="40" t="s">
        <v>189</v>
      </c>
    </row>
    <row r="32" ht="48.75" customHeight="1">
      <c r="A32" s="79"/>
      <c r="B32" s="142"/>
      <c r="C32" s="79"/>
      <c r="D32" s="79"/>
      <c r="E32" s="79"/>
      <c r="F32" s="38"/>
      <c r="G32" s="79"/>
      <c r="J32" s="40" t="s">
        <v>190</v>
      </c>
    </row>
    <row r="33" ht="48.75" customHeight="1">
      <c r="A33" s="79"/>
      <c r="B33" s="142"/>
      <c r="C33" s="79"/>
      <c r="D33" s="79"/>
      <c r="E33" s="79"/>
      <c r="F33" s="38"/>
      <c r="G33" s="79"/>
      <c r="J33" s="40" t="s">
        <v>83</v>
      </c>
    </row>
    <row r="34" ht="48.75" customHeight="1">
      <c r="A34" s="79"/>
      <c r="B34" s="142"/>
      <c r="C34" s="79"/>
      <c r="D34" s="79"/>
      <c r="E34" s="79"/>
      <c r="F34" s="38"/>
      <c r="G34" s="79"/>
      <c r="J34" s="40" t="s">
        <v>191</v>
      </c>
    </row>
    <row r="35" ht="48.75" customHeight="1">
      <c r="A35" s="79"/>
      <c r="B35" s="142"/>
      <c r="C35" s="79"/>
      <c r="D35" s="79"/>
      <c r="E35" s="79"/>
      <c r="F35" s="38"/>
      <c r="G35" s="79"/>
      <c r="J35" s="40" t="s">
        <v>192</v>
      </c>
    </row>
    <row r="36" ht="48.75" customHeight="1">
      <c r="A36" s="79"/>
      <c r="B36" s="142"/>
      <c r="C36" s="79"/>
      <c r="D36" s="79"/>
      <c r="E36" s="79"/>
      <c r="F36" s="38"/>
      <c r="G36" s="79"/>
      <c r="J36" s="40" t="s">
        <v>210</v>
      </c>
    </row>
    <row r="37" ht="48.75" customHeight="1">
      <c r="A37" s="79"/>
      <c r="B37" s="142"/>
      <c r="C37" s="79"/>
      <c r="D37" s="79"/>
      <c r="E37" s="79"/>
      <c r="F37" s="38"/>
      <c r="G37" s="79"/>
      <c r="J37" s="40" t="s">
        <v>233</v>
      </c>
    </row>
    <row r="38" ht="48.75" customHeight="1">
      <c r="A38" s="79"/>
      <c r="B38" s="142"/>
      <c r="C38" s="79"/>
      <c r="D38" s="79"/>
      <c r="E38" s="79"/>
      <c r="F38" s="38"/>
      <c r="G38" s="79"/>
      <c r="J38" s="40" t="s">
        <v>256</v>
      </c>
    </row>
    <row r="39" ht="48.75" customHeight="1">
      <c r="A39" s="79"/>
      <c r="B39" s="142"/>
      <c r="C39" s="79"/>
      <c r="D39" s="79"/>
      <c r="E39" s="79"/>
      <c r="F39" s="38"/>
      <c r="G39" s="79"/>
      <c r="J39" s="40" t="s">
        <v>283</v>
      </c>
    </row>
    <row r="40" ht="48.75" customHeight="1">
      <c r="A40" s="79"/>
      <c r="B40" s="142"/>
      <c r="C40" s="79"/>
      <c r="D40" s="79"/>
      <c r="E40" s="79"/>
      <c r="F40" s="38"/>
      <c r="G40" s="79"/>
      <c r="J40" s="40" t="s">
        <v>296</v>
      </c>
    </row>
    <row r="41" ht="48.75" customHeight="1">
      <c r="A41" s="79"/>
      <c r="B41" s="142"/>
      <c r="C41" s="79"/>
      <c r="D41" s="79"/>
      <c r="E41" s="79"/>
      <c r="F41" s="38"/>
      <c r="G41" s="79"/>
      <c r="J41" s="40" t="s">
        <v>305</v>
      </c>
    </row>
    <row r="42" ht="48.75" customHeight="1">
      <c r="A42" s="79"/>
      <c r="B42" s="142"/>
      <c r="C42" s="79"/>
      <c r="D42" s="79"/>
      <c r="E42" s="79"/>
      <c r="F42" s="38"/>
      <c r="G42" s="79"/>
      <c r="J42" s="40" t="s">
        <v>310</v>
      </c>
    </row>
    <row r="43" ht="48.75" customHeight="1">
      <c r="A43" s="79"/>
      <c r="B43" s="142"/>
      <c r="C43" s="79"/>
      <c r="D43" s="79"/>
      <c r="E43" s="79"/>
      <c r="F43" s="38"/>
      <c r="G43" s="79"/>
      <c r="J43" s="40" t="s">
        <v>311</v>
      </c>
    </row>
    <row r="44" ht="48.75" customHeight="1">
      <c r="A44" s="79"/>
      <c r="B44" s="142"/>
      <c r="C44" s="79"/>
      <c r="D44" s="79"/>
      <c r="E44" s="79"/>
      <c r="F44" s="38"/>
      <c r="G44" s="79"/>
      <c r="J44" s="40" t="s">
        <v>312</v>
      </c>
    </row>
    <row r="45" ht="48.75" customHeight="1">
      <c r="A45" s="79"/>
      <c r="B45" s="142"/>
      <c r="C45" s="79"/>
      <c r="D45" s="79"/>
      <c r="E45" s="79"/>
      <c r="F45" s="38"/>
      <c r="G45" s="79"/>
      <c r="J45" s="40" t="s">
        <v>313</v>
      </c>
    </row>
    <row r="46" ht="48.75" customHeight="1">
      <c r="A46" s="79"/>
      <c r="B46" s="142"/>
      <c r="C46" s="79"/>
      <c r="D46" s="79"/>
      <c r="E46" s="79"/>
      <c r="F46" s="38"/>
      <c r="G46" s="79"/>
      <c r="J46" s="40" t="s">
        <v>314</v>
      </c>
    </row>
    <row r="47" ht="48.75" customHeight="1">
      <c r="A47" s="79"/>
      <c r="B47" s="142"/>
      <c r="C47" s="79"/>
      <c r="D47" s="79"/>
      <c r="E47" s="79"/>
      <c r="F47" s="38"/>
      <c r="G47" s="79"/>
      <c r="J47" s="40" t="s">
        <v>315</v>
      </c>
    </row>
    <row r="48" ht="48.75" customHeight="1">
      <c r="A48" s="79"/>
      <c r="B48" s="142"/>
      <c r="C48" s="79"/>
      <c r="D48" s="79"/>
      <c r="E48" s="79"/>
      <c r="F48" s="38"/>
      <c r="G48" s="79"/>
      <c r="J48" s="40" t="s">
        <v>316</v>
      </c>
    </row>
    <row r="49" ht="48.75" customHeight="1">
      <c r="A49" s="79"/>
      <c r="B49" s="142"/>
      <c r="C49" s="79"/>
      <c r="D49" s="79"/>
      <c r="E49" s="79"/>
      <c r="F49" s="38"/>
      <c r="G49" s="79"/>
      <c r="J49" s="40" t="s">
        <v>317</v>
      </c>
    </row>
    <row r="50" ht="48.75" customHeight="1">
      <c r="A50" s="79"/>
      <c r="B50" s="142"/>
      <c r="C50" s="79"/>
      <c r="D50" s="79"/>
      <c r="E50" s="79"/>
      <c r="F50" s="38"/>
      <c r="G50" s="79"/>
      <c r="J50" s="40" t="s">
        <v>318</v>
      </c>
    </row>
    <row r="51" ht="48.75" customHeight="1">
      <c r="A51" s="79"/>
      <c r="B51" s="142"/>
      <c r="C51" s="79"/>
      <c r="D51" s="79"/>
      <c r="E51" s="79"/>
      <c r="F51" s="38"/>
      <c r="G51" s="79"/>
      <c r="J51" s="40" t="s">
        <v>319</v>
      </c>
    </row>
    <row r="52" ht="48.75" customHeight="1">
      <c r="A52" s="79"/>
      <c r="B52" s="142"/>
      <c r="C52" s="79"/>
      <c r="D52" s="79"/>
      <c r="E52" s="79"/>
      <c r="F52" s="38"/>
      <c r="G52" s="79"/>
      <c r="J52" s="40" t="s">
        <v>320</v>
      </c>
    </row>
    <row r="53" ht="48.75" customHeight="1">
      <c r="A53" s="79"/>
      <c r="B53" s="142"/>
      <c r="C53" s="79"/>
      <c r="D53" s="79"/>
      <c r="E53" s="79"/>
      <c r="F53" s="38"/>
      <c r="G53" s="79"/>
      <c r="J53" s="40" t="s">
        <v>321</v>
      </c>
    </row>
    <row r="54" ht="48.75" customHeight="1">
      <c r="A54" s="79"/>
      <c r="B54" s="142"/>
      <c r="C54" s="79"/>
      <c r="D54" s="79"/>
      <c r="E54" s="79"/>
      <c r="F54" s="38"/>
      <c r="G54" s="79"/>
      <c r="J54" s="40" t="s">
        <v>322</v>
      </c>
    </row>
    <row r="55" ht="48.75" customHeight="1">
      <c r="A55" s="79"/>
      <c r="B55" s="142"/>
      <c r="C55" s="79"/>
      <c r="D55" s="79"/>
      <c r="E55" s="79"/>
      <c r="F55" s="38"/>
      <c r="G55" s="79"/>
      <c r="J55" s="40" t="s">
        <v>323</v>
      </c>
    </row>
    <row r="56" ht="48.75" customHeight="1">
      <c r="A56" s="79"/>
      <c r="B56" s="142"/>
      <c r="C56" s="79"/>
      <c r="D56" s="79"/>
      <c r="E56" s="79"/>
      <c r="F56" s="38"/>
      <c r="G56" s="79"/>
      <c r="J56" s="40" t="s">
        <v>103</v>
      </c>
    </row>
    <row r="57" ht="48.75" customHeight="1">
      <c r="A57" s="79"/>
      <c r="B57" s="142"/>
      <c r="C57" s="79"/>
      <c r="D57" s="79"/>
      <c r="E57" s="79"/>
      <c r="F57" s="38"/>
      <c r="G57" s="79"/>
      <c r="J57" s="40" t="s">
        <v>324</v>
      </c>
    </row>
    <row r="58" ht="48.75" customHeight="1">
      <c r="A58" s="79"/>
      <c r="B58" s="142"/>
      <c r="C58" s="79"/>
      <c r="D58" s="79"/>
      <c r="E58" s="79"/>
      <c r="F58" s="38"/>
      <c r="G58" s="79"/>
      <c r="J58" s="40" t="s">
        <v>325</v>
      </c>
    </row>
    <row r="59" ht="48.75" customHeight="1">
      <c r="A59" s="79"/>
      <c r="B59" s="142"/>
      <c r="C59" s="79"/>
      <c r="D59" s="79"/>
      <c r="E59" s="79"/>
      <c r="F59" s="38"/>
      <c r="G59" s="79"/>
      <c r="J59" s="40" t="s">
        <v>326</v>
      </c>
    </row>
    <row r="60" ht="48.75" customHeight="1">
      <c r="A60" s="79"/>
      <c r="B60" s="142"/>
      <c r="C60" s="79"/>
      <c r="D60" s="79"/>
      <c r="E60" s="79"/>
      <c r="F60" s="38"/>
      <c r="G60" s="79"/>
      <c r="J60" s="40" t="s">
        <v>327</v>
      </c>
    </row>
    <row r="61" ht="48.75" customHeight="1">
      <c r="A61" s="79"/>
      <c r="B61" s="142"/>
      <c r="C61" s="79"/>
      <c r="D61" s="79"/>
      <c r="E61" s="79"/>
      <c r="F61" s="38"/>
      <c r="G61" s="79"/>
      <c r="J61" s="40" t="s">
        <v>328</v>
      </c>
    </row>
    <row r="62" ht="48.75" customHeight="1">
      <c r="A62" s="79"/>
      <c r="B62" s="142"/>
      <c r="C62" s="79"/>
      <c r="D62" s="79"/>
      <c r="E62" s="79"/>
      <c r="F62" s="38"/>
      <c r="G62" s="79"/>
      <c r="J62" s="40" t="s">
        <v>329</v>
      </c>
    </row>
    <row r="63" ht="48.75" customHeight="1">
      <c r="A63" s="79"/>
      <c r="B63" s="142"/>
      <c r="C63" s="79"/>
      <c r="D63" s="79"/>
      <c r="E63" s="79"/>
      <c r="F63" s="38"/>
      <c r="G63" s="79"/>
      <c r="J63" s="40" t="s">
        <v>330</v>
      </c>
    </row>
    <row r="64" ht="48.75" customHeight="1">
      <c r="A64" s="79"/>
      <c r="B64" s="142"/>
      <c r="C64" s="79"/>
      <c r="D64" s="79"/>
      <c r="E64" s="79"/>
      <c r="F64" s="38"/>
      <c r="G64" s="79"/>
      <c r="J64" s="40" t="s">
        <v>113</v>
      </c>
    </row>
    <row r="65" ht="48.75" customHeight="1">
      <c r="A65" s="79"/>
      <c r="B65" s="142"/>
      <c r="C65" s="79"/>
      <c r="D65" s="79"/>
      <c r="E65" s="79"/>
      <c r="F65" s="38"/>
      <c r="G65" s="79"/>
      <c r="J65" s="40" t="s">
        <v>331</v>
      </c>
    </row>
    <row r="66" ht="48.75" customHeight="1">
      <c r="A66" s="79"/>
      <c r="B66" s="142"/>
      <c r="C66" s="79"/>
      <c r="D66" s="79"/>
      <c r="E66" s="79"/>
      <c r="F66" s="38"/>
      <c r="G66" s="79"/>
      <c r="J66" s="40" t="s">
        <v>90</v>
      </c>
    </row>
    <row r="67" ht="48.75" customHeight="1">
      <c r="A67" s="79"/>
      <c r="B67" s="142"/>
      <c r="C67" s="79"/>
      <c r="D67" s="79"/>
      <c r="E67" s="79"/>
      <c r="F67" s="38"/>
      <c r="G67" s="79"/>
      <c r="J67" s="40" t="s">
        <v>78</v>
      </c>
    </row>
    <row r="68" ht="48.75" customHeight="1">
      <c r="A68" s="79"/>
      <c r="B68" s="142"/>
      <c r="C68" s="79"/>
      <c r="D68" s="79"/>
      <c r="E68" s="79"/>
      <c r="F68" s="38"/>
      <c r="G68" s="79"/>
      <c r="J68" s="40" t="s">
        <v>332</v>
      </c>
    </row>
    <row r="69" ht="48.75" customHeight="1">
      <c r="A69" s="79"/>
      <c r="B69" s="142"/>
      <c r="C69" s="79"/>
      <c r="D69" s="79"/>
      <c r="E69" s="79"/>
      <c r="F69" s="38"/>
      <c r="G69" s="79"/>
      <c r="J69" s="40" t="s">
        <v>333</v>
      </c>
    </row>
    <row r="70" ht="48.75" customHeight="1">
      <c r="A70" s="79"/>
      <c r="B70" s="142"/>
      <c r="C70" s="79"/>
      <c r="D70" s="79"/>
      <c r="E70" s="79"/>
      <c r="F70" s="38"/>
      <c r="G70" s="79"/>
      <c r="J70" s="40" t="s">
        <v>334</v>
      </c>
    </row>
    <row r="71" ht="48.75" customHeight="1">
      <c r="A71" s="79"/>
      <c r="B71" s="142"/>
      <c r="C71" s="79"/>
      <c r="D71" s="79"/>
      <c r="E71" s="79"/>
      <c r="F71" s="38"/>
      <c r="G71" s="79"/>
      <c r="J71" s="40" t="s">
        <v>335</v>
      </c>
    </row>
    <row r="72" ht="48.75" customHeight="1">
      <c r="A72" s="79"/>
      <c r="B72" s="142"/>
      <c r="C72" s="79"/>
      <c r="D72" s="79"/>
      <c r="E72" s="79"/>
      <c r="F72" s="38"/>
      <c r="G72" s="79"/>
      <c r="J72" s="40" t="s">
        <v>342</v>
      </c>
    </row>
    <row r="73" ht="48.75" customHeight="1">
      <c r="A73" s="79"/>
      <c r="B73" s="142"/>
      <c r="C73" s="79"/>
      <c r="D73" s="79"/>
      <c r="E73" s="79"/>
      <c r="F73" s="38"/>
      <c r="G73" s="79"/>
      <c r="J73" s="40" t="s">
        <v>345</v>
      </c>
    </row>
    <row r="74" ht="48.75" customHeight="1">
      <c r="A74" s="79"/>
      <c r="B74" s="142"/>
      <c r="C74" s="79"/>
      <c r="D74" s="79"/>
      <c r="E74" s="79"/>
      <c r="F74" s="38"/>
      <c r="G74" s="79"/>
      <c r="J74" s="40" t="s">
        <v>350</v>
      </c>
    </row>
    <row r="75" ht="48.75" customHeight="1">
      <c r="A75" s="79"/>
      <c r="B75" s="142"/>
      <c r="C75" s="79"/>
      <c r="D75" s="79"/>
      <c r="E75" s="79"/>
      <c r="F75" s="38"/>
      <c r="G75" s="79"/>
      <c r="J75" s="40" t="s">
        <v>358</v>
      </c>
    </row>
    <row r="76" ht="48.75" customHeight="1">
      <c r="A76" s="79"/>
      <c r="B76" s="142"/>
      <c r="C76" s="79"/>
      <c r="D76" s="79"/>
      <c r="E76" s="79"/>
      <c r="F76" s="38"/>
      <c r="G76" s="79"/>
      <c r="J76" s="40" t="s">
        <v>371</v>
      </c>
    </row>
    <row r="77" ht="48.75" customHeight="1">
      <c r="A77" s="79"/>
      <c r="B77" s="142"/>
      <c r="C77" s="79"/>
      <c r="D77" s="79"/>
      <c r="E77" s="79"/>
      <c r="F77" s="38"/>
      <c r="G77" s="79"/>
      <c r="J77" s="40" t="s">
        <v>387</v>
      </c>
    </row>
    <row r="78" ht="48.75" customHeight="1">
      <c r="A78" s="79"/>
      <c r="B78" s="142"/>
      <c r="C78" s="79"/>
      <c r="D78" s="79"/>
      <c r="E78" s="79"/>
      <c r="F78" s="38"/>
      <c r="G78" s="79"/>
      <c r="J78" s="40" t="s">
        <v>398</v>
      </c>
    </row>
    <row r="79" ht="48.75" customHeight="1">
      <c r="A79" s="79"/>
      <c r="B79" s="142"/>
      <c r="C79" s="79"/>
      <c r="D79" s="79"/>
      <c r="E79" s="79"/>
      <c r="F79" s="38"/>
      <c r="G79" s="79"/>
      <c r="J79" s="40" t="s">
        <v>403</v>
      </c>
    </row>
    <row r="80" ht="48.75" customHeight="1">
      <c r="A80" s="79"/>
      <c r="B80" s="142"/>
      <c r="C80" s="79"/>
      <c r="D80" s="79"/>
      <c r="E80" s="79"/>
      <c r="F80" s="38"/>
      <c r="G80" s="79"/>
      <c r="J80" s="40" t="s">
        <v>408</v>
      </c>
    </row>
    <row r="81" ht="48.75" customHeight="1">
      <c r="A81" s="79"/>
      <c r="B81" s="142"/>
      <c r="C81" s="79"/>
      <c r="D81" s="79"/>
      <c r="E81" s="79"/>
      <c r="F81" s="38"/>
      <c r="G81" s="79"/>
      <c r="J81" s="40" t="s">
        <v>414</v>
      </c>
    </row>
    <row r="82" ht="48.75" customHeight="1">
      <c r="A82" s="79"/>
      <c r="B82" s="142"/>
      <c r="C82" s="79"/>
      <c r="D82" s="79"/>
      <c r="E82" s="79"/>
      <c r="F82" s="38"/>
      <c r="G82" s="79"/>
      <c r="J82" s="40" t="s">
        <v>421</v>
      </c>
    </row>
    <row r="83" ht="48.75" customHeight="1">
      <c r="A83" s="79"/>
      <c r="B83" s="142"/>
      <c r="C83" s="79"/>
      <c r="D83" s="79"/>
      <c r="E83" s="79"/>
      <c r="F83" s="38"/>
      <c r="G83" s="79"/>
      <c r="J83" s="40" t="s">
        <v>423</v>
      </c>
    </row>
    <row r="84" ht="48.75" customHeight="1">
      <c r="A84" s="79"/>
      <c r="B84" s="142"/>
      <c r="C84" s="79"/>
      <c r="D84" s="79"/>
      <c r="E84" s="79"/>
      <c r="F84" s="38"/>
      <c r="G84" s="79"/>
      <c r="J84" s="40" t="s">
        <v>424</v>
      </c>
    </row>
    <row r="85" ht="48.75" customHeight="1">
      <c r="A85" s="79"/>
      <c r="B85" s="142"/>
      <c r="C85" s="79"/>
      <c r="D85" s="79"/>
      <c r="E85" s="79"/>
      <c r="F85" s="38"/>
      <c r="G85" s="79"/>
      <c r="J85" s="40" t="s">
        <v>425</v>
      </c>
    </row>
    <row r="86" ht="48.75" customHeight="1">
      <c r="A86" s="79"/>
      <c r="B86" s="142"/>
      <c r="C86" s="79"/>
      <c r="D86" s="79"/>
      <c r="E86" s="79"/>
      <c r="F86" s="38"/>
      <c r="G86" s="79"/>
      <c r="J86" s="40" t="s">
        <v>426</v>
      </c>
    </row>
    <row r="87" ht="48.75" customHeight="1">
      <c r="A87" s="79"/>
      <c r="B87" s="142"/>
      <c r="C87" s="79"/>
      <c r="D87" s="79"/>
      <c r="E87" s="79"/>
      <c r="F87" s="38"/>
      <c r="G87" s="79"/>
      <c r="J87" s="40" t="s">
        <v>427</v>
      </c>
    </row>
    <row r="88" ht="48.75" customHeight="1">
      <c r="A88" s="79"/>
      <c r="B88" s="142"/>
      <c r="C88" s="79"/>
      <c r="D88" s="79"/>
      <c r="E88" s="79"/>
      <c r="F88" s="38"/>
      <c r="G88" s="79"/>
      <c r="J88" s="40" t="s">
        <v>95</v>
      </c>
    </row>
    <row r="89" ht="48.75" customHeight="1">
      <c r="A89" s="79"/>
      <c r="B89" s="142"/>
      <c r="C89" s="79"/>
      <c r="D89" s="79"/>
      <c r="E89" s="79"/>
      <c r="F89" s="38"/>
      <c r="G89" s="79"/>
      <c r="J89" s="40" t="s">
        <v>428</v>
      </c>
    </row>
    <row r="90" ht="48.75" customHeight="1">
      <c r="A90" s="79"/>
      <c r="B90" s="142"/>
      <c r="C90" s="79"/>
      <c r="D90" s="79"/>
      <c r="E90" s="79"/>
      <c r="F90" s="38"/>
      <c r="G90" s="79"/>
      <c r="J90" s="40" t="s">
        <v>429</v>
      </c>
    </row>
    <row r="91" ht="48.75" customHeight="1">
      <c r="A91" s="79"/>
      <c r="B91" s="142"/>
      <c r="C91" s="79"/>
      <c r="D91" s="79"/>
      <c r="E91" s="79"/>
      <c r="F91" s="38"/>
      <c r="G91" s="79"/>
      <c r="J91" s="40" t="s">
        <v>430</v>
      </c>
    </row>
    <row r="92" ht="48.75" customHeight="1">
      <c r="A92" s="79"/>
      <c r="B92" s="142"/>
      <c r="C92" s="79"/>
      <c r="D92" s="79"/>
      <c r="E92" s="79"/>
      <c r="F92" s="38"/>
      <c r="G92" s="79"/>
      <c r="J92" s="40" t="s">
        <v>431</v>
      </c>
    </row>
    <row r="93" ht="48.75" customHeight="1">
      <c r="A93" s="79"/>
      <c r="B93" s="142"/>
      <c r="C93" s="79"/>
      <c r="D93" s="79"/>
      <c r="E93" s="79"/>
      <c r="F93" s="38"/>
      <c r="G93" s="79"/>
      <c r="J93" s="40" t="s">
        <v>432</v>
      </c>
    </row>
    <row r="94" ht="48.75" customHeight="1">
      <c r="A94" s="79"/>
      <c r="B94" s="142"/>
      <c r="C94" s="79"/>
      <c r="D94" s="79"/>
      <c r="E94" s="79"/>
      <c r="F94" s="38"/>
      <c r="G94" s="79"/>
      <c r="J94" s="40" t="s">
        <v>433</v>
      </c>
    </row>
    <row r="95" ht="48.75" customHeight="1">
      <c r="A95" s="79"/>
      <c r="B95" s="142"/>
      <c r="C95" s="79"/>
      <c r="D95" s="79"/>
      <c r="E95" s="79"/>
      <c r="F95" s="38"/>
      <c r="G95" s="79"/>
      <c r="J95" s="40" t="s">
        <v>434</v>
      </c>
    </row>
    <row r="96" ht="48.75" customHeight="1">
      <c r="A96" s="79"/>
      <c r="B96" s="142"/>
      <c r="C96" s="79"/>
      <c r="D96" s="79"/>
      <c r="E96" s="79"/>
      <c r="F96" s="38"/>
      <c r="G96" s="79"/>
      <c r="J96" s="40" t="s">
        <v>435</v>
      </c>
    </row>
    <row r="97" ht="48.75" customHeight="1">
      <c r="A97" s="79"/>
      <c r="B97" s="142"/>
      <c r="C97" s="79"/>
      <c r="D97" s="79"/>
      <c r="E97" s="79"/>
      <c r="F97" s="38"/>
      <c r="G97" s="79"/>
      <c r="J97" s="40" t="s">
        <v>132</v>
      </c>
    </row>
    <row r="98" ht="48.75" customHeight="1">
      <c r="A98" s="79"/>
      <c r="B98" s="142"/>
      <c r="C98" s="79"/>
      <c r="D98" s="79"/>
      <c r="E98" s="79"/>
      <c r="F98" s="38"/>
      <c r="G98" s="79"/>
      <c r="J98" s="40" t="s">
        <v>436</v>
      </c>
    </row>
    <row r="99" ht="48.75" customHeight="1">
      <c r="A99" s="79"/>
      <c r="B99" s="142"/>
      <c r="C99" s="79"/>
      <c r="D99" s="79"/>
      <c r="E99" s="79"/>
      <c r="F99" s="38"/>
      <c r="G99" s="79"/>
      <c r="J99" s="40" t="s">
        <v>437</v>
      </c>
    </row>
    <row r="100" ht="48.75" customHeight="1">
      <c r="A100" s="79"/>
      <c r="B100" s="142"/>
      <c r="C100" s="79"/>
      <c r="D100" s="79"/>
      <c r="E100" s="79"/>
      <c r="F100" s="38"/>
      <c r="G100" s="79"/>
      <c r="J100" s="40" t="s">
        <v>59</v>
      </c>
    </row>
    <row r="101" ht="48.75" customHeight="1">
      <c r="A101" s="79"/>
      <c r="B101" s="142"/>
      <c r="C101" s="79"/>
      <c r="D101" s="79"/>
      <c r="E101" s="79"/>
      <c r="F101" s="38"/>
      <c r="G101" s="79"/>
      <c r="J101" s="40" t="s">
        <v>438</v>
      </c>
    </row>
    <row r="102" ht="48.75" customHeight="1">
      <c r="A102" s="79"/>
      <c r="B102" s="142"/>
      <c r="C102" s="79"/>
      <c r="D102" s="79"/>
      <c r="E102" s="79"/>
      <c r="F102" s="38"/>
      <c r="G102" s="79"/>
      <c r="J102" s="40" t="s">
        <v>439</v>
      </c>
    </row>
    <row r="103" ht="48.75" customHeight="1">
      <c r="A103" s="79"/>
      <c r="B103" s="142"/>
      <c r="C103" s="79"/>
      <c r="D103" s="79"/>
      <c r="E103" s="79"/>
      <c r="F103" s="38"/>
      <c r="G103" s="79"/>
      <c r="J103" s="40" t="s">
        <v>440</v>
      </c>
    </row>
    <row r="104" ht="48.75" customHeight="1">
      <c r="A104" s="79"/>
      <c r="B104" s="142"/>
      <c r="C104" s="79"/>
      <c r="D104" s="79"/>
      <c r="E104" s="79"/>
      <c r="F104" s="38"/>
      <c r="G104" s="79"/>
      <c r="J104" s="40" t="s">
        <v>441</v>
      </c>
    </row>
    <row r="105" ht="48.75" customHeight="1">
      <c r="A105" s="79"/>
      <c r="B105" s="142"/>
      <c r="C105" s="79"/>
      <c r="D105" s="79"/>
      <c r="E105" s="79"/>
      <c r="F105" s="38"/>
      <c r="G105" s="79"/>
      <c r="J105" s="40" t="s">
        <v>442</v>
      </c>
    </row>
    <row r="106" ht="48.75" customHeight="1">
      <c r="A106" s="79"/>
      <c r="B106" s="142"/>
      <c r="C106" s="79"/>
      <c r="D106" s="79"/>
      <c r="E106" s="79"/>
      <c r="F106" s="38"/>
      <c r="G106" s="79"/>
      <c r="J106" s="40" t="s">
        <v>443</v>
      </c>
    </row>
    <row r="107" ht="48.75" customHeight="1">
      <c r="A107" s="79"/>
      <c r="B107" s="142"/>
      <c r="C107" s="79"/>
      <c r="D107" s="79"/>
      <c r="E107" s="79"/>
      <c r="F107" s="38"/>
      <c r="G107" s="79"/>
      <c r="J107" s="40" t="s">
        <v>450</v>
      </c>
    </row>
    <row r="108" ht="48.75" customHeight="1">
      <c r="A108" s="79"/>
      <c r="B108" s="142"/>
      <c r="C108" s="79"/>
      <c r="D108" s="79"/>
      <c r="E108" s="79"/>
      <c r="F108" s="38"/>
      <c r="G108" s="79"/>
      <c r="J108" s="40" t="s">
        <v>451</v>
      </c>
    </row>
    <row r="109" ht="48.75" customHeight="1">
      <c r="A109" s="79"/>
      <c r="B109" s="142"/>
      <c r="C109" s="79"/>
      <c r="D109" s="79"/>
      <c r="E109" s="79"/>
      <c r="F109" s="38"/>
      <c r="G109" s="79"/>
      <c r="J109" s="40" t="s">
        <v>456</v>
      </c>
    </row>
    <row r="110" ht="48.75" customHeight="1">
      <c r="A110" s="79"/>
      <c r="B110" s="142"/>
      <c r="C110" s="79"/>
      <c r="D110" s="79"/>
      <c r="E110" s="79"/>
      <c r="F110" s="38"/>
      <c r="G110" s="79"/>
      <c r="J110" s="40" t="s">
        <v>459</v>
      </c>
    </row>
    <row r="111" ht="48.75" customHeight="1">
      <c r="A111" s="79"/>
      <c r="B111" s="142"/>
      <c r="C111" s="79"/>
      <c r="D111" s="79"/>
      <c r="E111" s="79"/>
      <c r="F111" s="38"/>
      <c r="G111" s="79"/>
      <c r="J111" s="40" t="s">
        <v>466</v>
      </c>
    </row>
    <row r="112" ht="48.75" customHeight="1">
      <c r="A112" s="79"/>
      <c r="B112" s="142"/>
      <c r="C112" s="79"/>
      <c r="D112" s="79"/>
      <c r="E112" s="79"/>
      <c r="F112" s="38"/>
      <c r="G112" s="79"/>
      <c r="J112" s="40" t="s">
        <v>476</v>
      </c>
    </row>
    <row r="113" ht="48.75" customHeight="1">
      <c r="A113" s="79"/>
      <c r="B113" s="142"/>
      <c r="C113" s="79"/>
      <c r="D113" s="79"/>
      <c r="E113" s="79"/>
      <c r="F113" s="38"/>
      <c r="G113" s="79"/>
      <c r="J113" s="40" t="s">
        <v>484</v>
      </c>
    </row>
    <row r="114" ht="48.75" customHeight="1">
      <c r="A114" s="79"/>
      <c r="B114" s="142"/>
      <c r="C114" s="79"/>
      <c r="D114" s="79"/>
      <c r="E114" s="79"/>
      <c r="F114" s="38"/>
      <c r="G114" s="79"/>
      <c r="J114" s="40" t="s">
        <v>490</v>
      </c>
    </row>
    <row r="115" ht="48.75" customHeight="1">
      <c r="A115" s="79"/>
      <c r="B115" s="142"/>
      <c r="C115" s="79"/>
      <c r="D115" s="79"/>
      <c r="E115" s="79"/>
      <c r="F115" s="38"/>
      <c r="G115" s="79"/>
    </row>
    <row r="116" ht="48.75" customHeight="1">
      <c r="A116" s="79"/>
      <c r="B116" s="142"/>
      <c r="C116" s="79"/>
      <c r="D116" s="79"/>
      <c r="E116" s="79"/>
      <c r="F116" s="38"/>
      <c r="G116" s="79"/>
    </row>
    <row r="117" ht="48.75" customHeight="1">
      <c r="A117" s="79"/>
      <c r="B117" s="142"/>
      <c r="C117" s="79"/>
      <c r="D117" s="79"/>
      <c r="E117" s="79"/>
      <c r="F117" s="38"/>
      <c r="G117" s="79"/>
    </row>
    <row r="118" ht="48.75" customHeight="1">
      <c r="A118" s="79"/>
      <c r="B118" s="142"/>
      <c r="C118" s="79"/>
      <c r="D118" s="79"/>
      <c r="E118" s="79"/>
      <c r="F118" s="38"/>
      <c r="G118" s="79"/>
    </row>
    <row r="119" ht="48.75" customHeight="1">
      <c r="A119" s="79"/>
      <c r="B119" s="142"/>
      <c r="C119" s="79"/>
      <c r="D119" s="79"/>
      <c r="E119" s="79"/>
      <c r="F119" s="38"/>
      <c r="G119" s="79"/>
    </row>
    <row r="120" ht="48.75" customHeight="1">
      <c r="A120" s="79"/>
      <c r="B120" s="142"/>
      <c r="C120" s="79"/>
      <c r="D120" s="79"/>
      <c r="E120" s="79"/>
      <c r="F120" s="38"/>
      <c r="G120" s="79"/>
    </row>
    <row r="121" ht="48.75" customHeight="1">
      <c r="A121" s="79"/>
      <c r="B121" s="142"/>
      <c r="C121" s="79"/>
      <c r="D121" s="79"/>
      <c r="E121" s="79"/>
      <c r="F121" s="38"/>
      <c r="G121" s="79"/>
    </row>
    <row r="122" ht="48.75" customHeight="1">
      <c r="A122" s="79"/>
      <c r="B122" s="142"/>
      <c r="C122" s="79"/>
      <c r="D122" s="79"/>
      <c r="E122" s="79"/>
      <c r="F122" s="38"/>
      <c r="G122" s="79"/>
    </row>
    <row r="123" ht="48.75" customHeight="1">
      <c r="A123" s="79"/>
      <c r="B123" s="142"/>
      <c r="C123" s="79"/>
      <c r="D123" s="79"/>
      <c r="E123" s="79"/>
      <c r="F123" s="38"/>
      <c r="G123" s="79"/>
    </row>
    <row r="124" ht="48.75" customHeight="1">
      <c r="A124" s="79"/>
      <c r="B124" s="142"/>
      <c r="C124" s="79"/>
      <c r="D124" s="79"/>
      <c r="E124" s="79"/>
      <c r="F124" s="38"/>
      <c r="G124" s="79"/>
    </row>
    <row r="125" ht="48.75" customHeight="1">
      <c r="A125" s="79"/>
      <c r="B125" s="142"/>
      <c r="C125" s="79"/>
      <c r="D125" s="79"/>
      <c r="E125" s="79"/>
      <c r="F125" s="38"/>
      <c r="G125" s="79"/>
    </row>
    <row r="126" ht="48.75" customHeight="1">
      <c r="A126" s="79"/>
      <c r="B126" s="142"/>
      <c r="C126" s="79"/>
      <c r="D126" s="79"/>
      <c r="E126" s="79"/>
      <c r="F126" s="38"/>
      <c r="G126" s="79"/>
    </row>
    <row r="127" ht="48.75" customHeight="1">
      <c r="A127" s="79"/>
      <c r="B127" s="142"/>
      <c r="C127" s="79"/>
      <c r="D127" s="79"/>
      <c r="E127" s="79"/>
      <c r="F127" s="38"/>
      <c r="G127" s="79"/>
    </row>
    <row r="128" ht="48.75" customHeight="1">
      <c r="A128" s="79"/>
      <c r="B128" s="142"/>
      <c r="C128" s="79"/>
      <c r="D128" s="79"/>
      <c r="E128" s="79"/>
      <c r="F128" s="38"/>
      <c r="G128" s="79"/>
    </row>
    <row r="129" ht="48.75" customHeight="1">
      <c r="A129" s="79"/>
      <c r="B129" s="142"/>
      <c r="C129" s="79"/>
      <c r="D129" s="36" t="s">
        <v>60</v>
      </c>
      <c r="E129" s="79"/>
      <c r="F129" s="38" t="s">
        <v>583</v>
      </c>
      <c r="G129" s="79"/>
    </row>
    <row r="130" ht="48.75" customHeight="1">
      <c r="A130" s="79"/>
      <c r="B130" s="142"/>
      <c r="C130" s="79"/>
      <c r="D130" s="79"/>
      <c r="E130" s="79"/>
      <c r="F130" s="38"/>
      <c r="G130" s="79"/>
    </row>
    <row r="131" ht="48.75" customHeight="1">
      <c r="A131" s="79"/>
      <c r="B131" s="142"/>
      <c r="C131" s="79"/>
      <c r="D131" s="79"/>
      <c r="E131" s="79"/>
      <c r="F131" s="38"/>
      <c r="G131" s="79"/>
    </row>
    <row r="132" ht="48.75" customHeight="1">
      <c r="A132" s="79"/>
      <c r="B132" s="142"/>
      <c r="C132" s="79"/>
      <c r="D132" s="79"/>
      <c r="E132" s="79"/>
      <c r="F132" s="38"/>
      <c r="G132" s="79"/>
    </row>
    <row r="133" ht="48.75" customHeight="1">
      <c r="A133" s="79"/>
      <c r="B133" s="142"/>
      <c r="C133" s="79"/>
      <c r="D133" s="79"/>
      <c r="E133" s="79"/>
      <c r="F133" s="38"/>
      <c r="G133" s="79"/>
    </row>
    <row r="134" ht="48.75" customHeight="1">
      <c r="A134" s="36" t="s">
        <v>58</v>
      </c>
      <c r="B134" s="37">
        <v>0.5833333333333334</v>
      </c>
      <c r="C134" s="36" t="s">
        <v>320</v>
      </c>
      <c r="D134" s="36" t="s">
        <v>60</v>
      </c>
      <c r="E134" s="36" t="s">
        <v>61</v>
      </c>
      <c r="F134" s="38" t="s">
        <v>584</v>
      </c>
      <c r="G134" s="39"/>
      <c r="J134" s="40" t="s">
        <v>585</v>
      </c>
    </row>
    <row r="135" ht="48.75" customHeight="1">
      <c r="A135" s="79"/>
      <c r="B135" s="142"/>
      <c r="C135" s="79"/>
      <c r="D135" s="79"/>
      <c r="E135" s="79"/>
      <c r="F135" s="38"/>
      <c r="G135" s="79"/>
    </row>
    <row r="136" ht="48.75" customHeight="1">
      <c r="A136" s="79"/>
      <c r="B136" s="142"/>
      <c r="C136" s="79"/>
      <c r="D136" s="79"/>
      <c r="E136" s="79"/>
      <c r="F136" s="38"/>
      <c r="G136" s="79"/>
    </row>
    <row r="137" ht="48.75" customHeight="1">
      <c r="A137" s="79"/>
      <c r="B137" s="142"/>
      <c r="C137" s="79"/>
      <c r="D137" s="79"/>
      <c r="E137" s="79"/>
      <c r="F137" s="38"/>
      <c r="G137" s="79"/>
    </row>
    <row r="138" ht="48.75" customHeight="1">
      <c r="A138" s="79"/>
      <c r="B138" s="142"/>
      <c r="C138" s="79"/>
      <c r="D138" s="79"/>
      <c r="E138" s="79"/>
      <c r="F138" s="38"/>
      <c r="G138" s="79"/>
    </row>
    <row r="139" ht="48.75" customHeight="1">
      <c r="A139" s="79"/>
      <c r="B139" s="142"/>
      <c r="C139" s="79"/>
      <c r="D139" s="79"/>
      <c r="E139" s="79"/>
      <c r="F139" s="38"/>
      <c r="G139" s="79"/>
    </row>
    <row r="140" ht="48.75" customHeight="1">
      <c r="A140" s="79"/>
      <c r="B140" s="142"/>
      <c r="C140" s="79"/>
      <c r="D140" s="79"/>
      <c r="E140" s="79"/>
      <c r="F140" s="38"/>
      <c r="G140" s="79"/>
    </row>
  </sheetData>
  <customSheetViews>
    <customSheetView guid="{2C7218CC-D5AB-4E0D-A693-8373A7D0F1EB}" filter="1" showAutoFilter="1">
      <autoFilter ref="$A$1:$G$140"/>
    </customSheetView>
  </customSheetViews>
  <conditionalFormatting sqref="F2:F140">
    <cfRule type="expression" dxfId="9" priority="1">
      <formula>len(F2)&gt;300</formula>
    </cfRule>
  </conditionalFormatting>
  <conditionalFormatting sqref="A2:G140">
    <cfRule type="expression" dxfId="10" priority="2">
      <formula>($D2)="Hopefully fixed"</formula>
    </cfRule>
  </conditionalFormatting>
  <dataValidations>
    <dataValidation type="list" allowBlank="1" sqref="D2:D140">
      <formula1>"Monitoring,Fixing,Hopefully fixed"</formula1>
    </dataValidation>
    <dataValidation type="list" allowBlank="1" sqref="A2:A140">
      <formula1>"Set Up,Friday,Satuday,Sunday"</formula1>
    </dataValidation>
    <dataValidation type="list" allowBlank="1" sqref="B2:B140">
      <formula1>"7:00 am,7:30 am,8:00 am,8:30 am,9:00 am,9:30 am,10:00 am,10:30 am,11:00 am,11:30 am,12:00 pm,12:30 pm,1:00 pm,1:30 pm,2:00 pm,2:30 pm,3:00 pm,3:30 pm,4:00 pm,4:30 pm,5:00 pm,5:30 pm,6:00 pm,6:30 pm,7:00 pm,7:30 pm,8:00 pm,8:30 pm,9:00 pm,9:30 pm,10:00 pm,"&amp;"10:30 pm,11:00 pm,Overnight"</formula1>
    </dataValidation>
    <dataValidation type="list" allowBlank="1" sqref="G2:G140">
      <formula1>"Medical,Opportunity!,Shopping"</formula1>
    </dataValidation>
    <dataValidation type="list" allowBlank="1" sqref="E2:E140">
      <formula1>"High,Low"</formula1>
    </dataValidation>
    <dataValidation allowBlank="1" showDropDown="1" sqref="F2:F140"/>
    <dataValidation type="list" allowBlank="1" sqref="C2:C140">
      <formula1>#REF!</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2" max="2" width="9.38"/>
    <col customWidth="1" min="3" max="3" width="7.63"/>
    <col customWidth="1" min="4" max="5" width="6.5"/>
    <col customWidth="1" min="6" max="6" width="9.0"/>
    <col customWidth="1" min="7" max="7" width="8.63"/>
    <col customWidth="1" min="8" max="8" width="8.38"/>
    <col customWidth="1" min="9" max="9" width="9.75"/>
    <col customWidth="1" min="10" max="10" width="9.5"/>
    <col customWidth="1" min="11" max="11" width="8.13"/>
    <col customWidth="1" min="12" max="13" width="9.5"/>
    <col customWidth="1" min="14" max="14" width="6.0"/>
    <col customWidth="1" min="15" max="15" width="2.88"/>
    <col customWidth="1" min="16" max="16" width="74.13"/>
  </cols>
  <sheetData>
    <row r="1" ht="24.0" customHeight="1">
      <c r="B1" s="2" t="s">
        <v>0</v>
      </c>
      <c r="C1" s="4"/>
      <c r="D1" s="4"/>
      <c r="E1" s="5"/>
      <c r="F1" s="2" t="s">
        <v>13</v>
      </c>
      <c r="G1" s="5"/>
      <c r="H1" s="9"/>
      <c r="I1" s="9"/>
      <c r="J1" s="9"/>
      <c r="K1" s="9"/>
      <c r="L1" s="9"/>
      <c r="M1" s="9"/>
      <c r="N1" s="12"/>
      <c r="O1" s="12"/>
    </row>
    <row r="2" ht="27.75" customHeight="1">
      <c r="B2" s="15" t="s">
        <v>16</v>
      </c>
      <c r="C2" s="16" t="s">
        <v>17</v>
      </c>
      <c r="D2" s="16" t="s">
        <v>18</v>
      </c>
      <c r="E2" s="18" t="s">
        <v>20</v>
      </c>
      <c r="F2" s="15" t="s">
        <v>16</v>
      </c>
      <c r="G2" s="18" t="s">
        <v>17</v>
      </c>
      <c r="H2" s="20" t="s">
        <v>21</v>
      </c>
      <c r="I2" s="20" t="s">
        <v>23</v>
      </c>
      <c r="J2" s="20" t="s">
        <v>24</v>
      </c>
      <c r="K2" s="20" t="s">
        <v>25</v>
      </c>
      <c r="L2" s="20" t="s">
        <v>27</v>
      </c>
      <c r="M2" s="20" t="s">
        <v>28</v>
      </c>
      <c r="N2" s="12"/>
      <c r="O2" s="12"/>
    </row>
    <row r="3">
      <c r="A3" s="21" t="s">
        <v>15</v>
      </c>
      <c r="B3" s="22" t="b">
        <v>1</v>
      </c>
      <c r="C3" s="23" t="b">
        <v>1</v>
      </c>
      <c r="D3" s="23" t="b">
        <v>1</v>
      </c>
      <c r="E3" s="25" t="b">
        <v>1</v>
      </c>
      <c r="F3" s="22" t="b">
        <v>1</v>
      </c>
      <c r="G3" s="27" t="b">
        <v>1</v>
      </c>
      <c r="H3" s="34" t="str">
        <f>'All Party Summary'!B2</f>
        <v>8/8</v>
      </c>
      <c r="I3" s="34" t="str">
        <f>'All Party Summary'!C2</f>
        <v>Yes!</v>
      </c>
      <c r="J3" s="34" t="str">
        <f>'All Party Summary'!D2</f>
        <v>Yes!</v>
      </c>
      <c r="K3" s="34">
        <f>'All Party Summary'!F2</f>
        <v>9</v>
      </c>
      <c r="L3" s="34">
        <f>COUNTIFS('Participants-Parties'!$C:$C, A3,'Participants-Parties'!$E:$E, "&lt;&gt;Hopefully Fixed")</f>
        <v>0</v>
      </c>
      <c r="M3" s="41" t="b">
        <v>1</v>
      </c>
      <c r="N3" s="12"/>
      <c r="O3" s="12"/>
      <c r="P3" s="8" t="s">
        <v>64</v>
      </c>
    </row>
    <row r="4">
      <c r="A4" s="8" t="s">
        <v>19</v>
      </c>
      <c r="B4" s="42" t="b">
        <v>1</v>
      </c>
      <c r="C4" s="32" t="b">
        <v>1</v>
      </c>
      <c r="D4" s="32" t="b">
        <v>1</v>
      </c>
      <c r="E4" s="43" t="b">
        <v>1</v>
      </c>
      <c r="F4" s="42" t="b">
        <v>1</v>
      </c>
      <c r="G4" s="44" t="b">
        <v>1</v>
      </c>
      <c r="H4" s="45" t="str">
        <f>'All Party Summary'!B3</f>
        <v>8/8</v>
      </c>
      <c r="I4" s="45" t="str">
        <f>'All Party Summary'!C3</f>
        <v>Yes!</v>
      </c>
      <c r="J4" s="45" t="str">
        <f>'All Party Summary'!D3</f>
        <v>Yes!</v>
      </c>
      <c r="K4" s="46">
        <f>'All Party Summary'!F3</f>
        <v>5</v>
      </c>
      <c r="L4" s="45">
        <f>COUNTIFS('Participants-Parties'!$C:$C, A4,'Participants-Parties'!$E:$E, "&lt;&gt;Hopefully Fixed")</f>
        <v>1</v>
      </c>
      <c r="M4" s="47" t="b">
        <v>0</v>
      </c>
      <c r="N4" s="48"/>
      <c r="O4" s="48">
        <v>1.0</v>
      </c>
      <c r="P4" s="32" t="s">
        <v>66</v>
      </c>
    </row>
    <row r="5">
      <c r="A5" s="49" t="s">
        <v>22</v>
      </c>
      <c r="B5" s="50" t="b">
        <v>1</v>
      </c>
      <c r="C5" s="51" t="b">
        <v>1</v>
      </c>
      <c r="D5" s="51" t="b">
        <v>1</v>
      </c>
      <c r="E5" s="52" t="b">
        <v>1</v>
      </c>
      <c r="F5" s="50" t="b">
        <v>1</v>
      </c>
      <c r="G5" s="53" t="b">
        <v>1</v>
      </c>
      <c r="H5" s="54" t="str">
        <f>'All Party Summary'!B4</f>
        <v>7/8</v>
      </c>
      <c r="I5" s="54" t="str">
        <f>'All Party Summary'!C4</f>
        <v>Yes!</v>
      </c>
      <c r="J5" s="54" t="str">
        <f>'All Party Summary'!D4</f>
        <v>Yes!</v>
      </c>
      <c r="K5" s="54">
        <f>'All Party Summary'!F4</f>
        <v>7</v>
      </c>
      <c r="L5" s="54">
        <f>COUNTIFS('Participants-Parties'!$C:$C, A5,'Participants-Parties'!$E:$E, "&lt;&gt;Hopefully Fixed")</f>
        <v>1</v>
      </c>
      <c r="M5" s="55" t="b">
        <v>0</v>
      </c>
      <c r="N5" s="48"/>
      <c r="O5" s="48">
        <v>2.0</v>
      </c>
      <c r="P5" s="32" t="s">
        <v>70</v>
      </c>
    </row>
    <row r="6">
      <c r="A6" s="56" t="s">
        <v>26</v>
      </c>
      <c r="B6" s="57" t="b">
        <v>1</v>
      </c>
      <c r="C6" s="58" t="b">
        <v>1</v>
      </c>
      <c r="D6" s="58" t="b">
        <v>1</v>
      </c>
      <c r="E6" s="59" t="b">
        <v>1</v>
      </c>
      <c r="F6" s="57" t="b">
        <v>1</v>
      </c>
      <c r="G6" s="60" t="b">
        <v>1</v>
      </c>
      <c r="H6" s="61" t="str">
        <f>'All Party Summary'!B5</f>
        <v>8/8</v>
      </c>
      <c r="I6" s="61" t="str">
        <f>'All Party Summary'!C5</f>
        <v>Yes!</v>
      </c>
      <c r="J6" s="61" t="str">
        <f>'All Party Summary'!D5</f>
        <v>Yes!</v>
      </c>
      <c r="K6" s="61">
        <f>'All Party Summary'!F5</f>
        <v>7</v>
      </c>
      <c r="L6" s="61">
        <f>COUNTIFS('Participants-Parties'!$C:$C, A6,'Participants-Parties'!$E:$E, "&lt;&gt;Hopefully Fixed")</f>
        <v>0</v>
      </c>
      <c r="M6" s="62" t="b">
        <v>1</v>
      </c>
      <c r="N6" s="48"/>
      <c r="O6" s="48">
        <v>3.0</v>
      </c>
      <c r="P6" s="32" t="s">
        <v>73</v>
      </c>
    </row>
    <row r="7">
      <c r="A7" s="63" t="s">
        <v>29</v>
      </c>
      <c r="B7" s="64" t="b">
        <v>1</v>
      </c>
      <c r="C7" s="65" t="b">
        <v>1</v>
      </c>
      <c r="D7" s="65" t="b">
        <v>1</v>
      </c>
      <c r="E7" s="66" t="b">
        <v>1</v>
      </c>
      <c r="F7" s="64" t="b">
        <v>1</v>
      </c>
      <c r="G7" s="67" t="b">
        <v>1</v>
      </c>
      <c r="H7" s="68" t="str">
        <f>'All Party Summary'!B6</f>
        <v>7/8</v>
      </c>
      <c r="I7" s="68" t="str">
        <f>'All Party Summary'!C6</f>
        <v>Yes!</v>
      </c>
      <c r="J7" s="68" t="str">
        <f>'All Party Summary'!D6</f>
        <v>Yes!</v>
      </c>
      <c r="K7" s="68">
        <f>'All Party Summary'!F6</f>
        <v>8</v>
      </c>
      <c r="L7" s="68">
        <f>COUNTIFS('Participants-Parties'!$C:$C, A7,'Participants-Parties'!$E:$E, "&lt;&gt;Hopefully Fixed")</f>
        <v>1</v>
      </c>
      <c r="M7" s="72" t="b">
        <v>1</v>
      </c>
      <c r="N7" s="48"/>
      <c r="O7" s="48">
        <v>4.0</v>
      </c>
      <c r="P7" s="32" t="s">
        <v>82</v>
      </c>
    </row>
    <row r="8">
      <c r="A8" s="73" t="s">
        <v>30</v>
      </c>
      <c r="B8" s="74" t="b">
        <v>1</v>
      </c>
      <c r="C8" s="75" t="b">
        <v>1</v>
      </c>
      <c r="D8" s="75" t="b">
        <v>1</v>
      </c>
      <c r="E8" s="76" t="b">
        <v>1</v>
      </c>
      <c r="F8" s="74" t="b">
        <v>1</v>
      </c>
      <c r="G8" s="77" t="b">
        <v>1</v>
      </c>
      <c r="H8" s="78" t="str">
        <f>'All Party Summary'!B7</f>
        <v>8/8</v>
      </c>
      <c r="I8" s="78" t="str">
        <f>'All Party Summary'!C7</f>
        <v>Yes!</v>
      </c>
      <c r="J8" s="78" t="str">
        <f>'All Party Summary'!D7</f>
        <v>Yes!</v>
      </c>
      <c r="K8" s="80">
        <f>'All Party Summary'!F7</f>
        <v>9</v>
      </c>
      <c r="L8" s="78">
        <f>COUNTIFS('Participants-Parties'!$C:$C, A8,'Participants-Parties'!$E:$E, "&lt;&gt;Hopefully Fixed")</f>
        <v>0</v>
      </c>
      <c r="M8" s="81" t="b">
        <v>1</v>
      </c>
      <c r="N8" s="48"/>
      <c r="O8" s="48">
        <v>5.0</v>
      </c>
      <c r="P8" s="32" t="s">
        <v>86</v>
      </c>
    </row>
    <row r="9">
      <c r="A9" s="83" t="s">
        <v>31</v>
      </c>
      <c r="B9" s="85" t="b">
        <v>1</v>
      </c>
      <c r="C9" s="88" t="b">
        <v>1</v>
      </c>
      <c r="D9" s="88" t="b">
        <v>1</v>
      </c>
      <c r="E9" s="89" t="b">
        <v>1</v>
      </c>
      <c r="F9" s="85" t="b">
        <v>1</v>
      </c>
      <c r="G9" s="90" t="b">
        <v>1</v>
      </c>
      <c r="H9" s="92" t="str">
        <f>'All Party Summary'!B8</f>
        <v>8/8</v>
      </c>
      <c r="I9" s="92" t="str">
        <f>'All Party Summary'!C8</f>
        <v>Yes!</v>
      </c>
      <c r="J9" s="92" t="str">
        <f>'All Party Summary'!D8</f>
        <v>Yes!</v>
      </c>
      <c r="K9" s="92">
        <f>'All Party Summary'!F8</f>
        <v>8</v>
      </c>
      <c r="L9" s="92">
        <f>COUNTIFS('Participants-Parties'!$C:$C, A9,'Participants-Parties'!$E:$E, "&lt;&gt;Hopefully Fixed")</f>
        <v>0</v>
      </c>
      <c r="M9" s="95" t="b">
        <v>1</v>
      </c>
      <c r="N9" s="48"/>
      <c r="O9" s="48">
        <v>6.0</v>
      </c>
      <c r="P9" s="32" t="s">
        <v>96</v>
      </c>
    </row>
    <row r="10">
      <c r="A10" s="96" t="s">
        <v>32</v>
      </c>
      <c r="B10" s="99" t="b">
        <v>1</v>
      </c>
      <c r="C10" s="100" t="b">
        <v>1</v>
      </c>
      <c r="D10" s="100" t="b">
        <v>1</v>
      </c>
      <c r="E10" s="102" t="b">
        <v>1</v>
      </c>
      <c r="F10" s="99" t="b">
        <v>1</v>
      </c>
      <c r="G10" s="103" t="b">
        <v>1</v>
      </c>
      <c r="H10" s="104" t="str">
        <f>'All Party Summary'!B9</f>
        <v>8/8</v>
      </c>
      <c r="I10" s="104" t="str">
        <f>'All Party Summary'!C9</f>
        <v>Yes!</v>
      </c>
      <c r="J10" s="104" t="str">
        <f>'All Party Summary'!D9</f>
        <v>Yes!</v>
      </c>
      <c r="K10" s="104">
        <f>'All Party Summary'!F9</f>
        <v>8</v>
      </c>
      <c r="L10" s="104">
        <f>COUNTIFS('Participants-Parties'!$C:$C, A10,'Participants-Parties'!$E:$E, "&lt;&gt;Hopefully Fixed")</f>
        <v>0</v>
      </c>
      <c r="M10" s="107" t="b">
        <v>1</v>
      </c>
      <c r="N10" s="48"/>
      <c r="O10" s="48">
        <v>7.0</v>
      </c>
      <c r="P10" s="32" t="s">
        <v>107</v>
      </c>
    </row>
    <row r="11">
      <c r="A11" s="109" t="s">
        <v>33</v>
      </c>
      <c r="B11" s="110" t="b">
        <v>1</v>
      </c>
      <c r="C11" s="111" t="b">
        <v>1</v>
      </c>
      <c r="D11" s="111" t="b">
        <v>1</v>
      </c>
      <c r="E11" s="112" t="b">
        <v>1</v>
      </c>
      <c r="F11" s="110" t="b">
        <v>1</v>
      </c>
      <c r="G11" s="113" t="b">
        <v>1</v>
      </c>
      <c r="H11" s="114" t="str">
        <f>'All Party Summary'!B10</f>
        <v>8/8</v>
      </c>
      <c r="I11" s="114" t="str">
        <f>'All Party Summary'!C10</f>
        <v>Yes!</v>
      </c>
      <c r="J11" s="114" t="str">
        <f>'All Party Summary'!D10</f>
        <v>Yes!</v>
      </c>
      <c r="K11" s="114">
        <f>'All Party Summary'!F10</f>
        <v>10</v>
      </c>
      <c r="L11" s="114">
        <f>COUNTIFS('Participants-Parties'!$C:$C, A11,'Participants-Parties'!$E:$E, "&lt;&gt;Hopefully Fixed")</f>
        <v>0</v>
      </c>
      <c r="M11" s="117" t="b">
        <v>1</v>
      </c>
      <c r="O11" s="48">
        <v>8.0</v>
      </c>
      <c r="P11" s="32" t="s">
        <v>112</v>
      </c>
    </row>
    <row r="12">
      <c r="A12" s="118" t="s">
        <v>34</v>
      </c>
      <c r="B12" s="120" t="b">
        <v>1</v>
      </c>
      <c r="C12" s="121" t="b">
        <v>1</v>
      </c>
      <c r="D12" s="121" t="b">
        <v>1</v>
      </c>
      <c r="E12" s="122" t="b">
        <v>1</v>
      </c>
      <c r="F12" s="120" t="b">
        <v>1</v>
      </c>
      <c r="G12" s="123" t="b">
        <v>1</v>
      </c>
      <c r="H12" s="124" t="str">
        <f>'All Party Summary'!B11</f>
        <v>8/8</v>
      </c>
      <c r="I12" s="124" t="str">
        <f>'All Party Summary'!C11</f>
        <v>Yes!</v>
      </c>
      <c r="J12" s="124" t="str">
        <f>'All Party Summary'!D11</f>
        <v>Yes!</v>
      </c>
      <c r="K12" s="124">
        <f>'All Party Summary'!F11</f>
        <v>5</v>
      </c>
      <c r="L12" s="124">
        <f>COUNTIFS('Participants-Parties'!$C:$C, A12,'Participants-Parties'!$E:$E, "&lt;&gt;Hopefully Fixed")</f>
        <v>1</v>
      </c>
      <c r="M12" s="126" t="b">
        <v>1</v>
      </c>
      <c r="N12" s="12"/>
      <c r="O12" s="48">
        <v>9.0</v>
      </c>
      <c r="P12" s="32" t="s">
        <v>116</v>
      </c>
    </row>
    <row r="13">
      <c r="A13" s="127" t="s">
        <v>35</v>
      </c>
      <c r="B13" s="128" t="b">
        <v>1</v>
      </c>
      <c r="C13" s="129" t="b">
        <v>1</v>
      </c>
      <c r="D13" s="129" t="b">
        <v>1</v>
      </c>
      <c r="E13" s="130" t="b">
        <v>1</v>
      </c>
      <c r="F13" s="128" t="b">
        <v>1</v>
      </c>
      <c r="G13" s="132" t="b">
        <v>1</v>
      </c>
      <c r="H13" s="133" t="str">
        <f>'All Party Summary'!B12</f>
        <v>8/8</v>
      </c>
      <c r="I13" s="133" t="str">
        <f>'All Party Summary'!C12</f>
        <v>Yes!</v>
      </c>
      <c r="J13" s="133" t="str">
        <f>'All Party Summary'!D12</f>
        <v>Yes!</v>
      </c>
      <c r="K13" s="133">
        <f>'All Party Summary'!F12</f>
        <v>14</v>
      </c>
      <c r="L13" s="133">
        <f>COUNTIFS('Participants-Parties'!$C:$C, A13,'Participants-Parties'!$E:$E, "&lt;&gt;Hopefully Fixed")</f>
        <v>0</v>
      </c>
      <c r="M13" s="136" t="b">
        <v>0</v>
      </c>
      <c r="N13" s="12"/>
    </row>
    <row r="14">
      <c r="G14" s="137"/>
      <c r="K14" s="137"/>
      <c r="L14" s="137"/>
      <c r="M14" s="138"/>
      <c r="N14" s="12"/>
      <c r="O14" s="12"/>
      <c r="P14" s="139" t="s">
        <v>120</v>
      </c>
    </row>
    <row r="15">
      <c r="G15" s="137"/>
      <c r="K15" s="137"/>
      <c r="L15" s="137"/>
      <c r="M15" s="138"/>
      <c r="N15" s="12"/>
      <c r="O15" s="48">
        <v>1.0</v>
      </c>
      <c r="P15" s="32" t="s">
        <v>122</v>
      </c>
    </row>
    <row r="16">
      <c r="G16" s="137"/>
      <c r="K16" s="137"/>
      <c r="L16" s="137"/>
      <c r="M16" s="138"/>
      <c r="N16" s="12"/>
      <c r="O16" s="48">
        <v>2.0</v>
      </c>
      <c r="P16" s="32" t="s">
        <v>123</v>
      </c>
    </row>
    <row r="17">
      <c r="G17" s="137"/>
      <c r="K17" s="137"/>
      <c r="L17" s="137"/>
      <c r="M17" s="138"/>
      <c r="N17" s="12"/>
      <c r="O17" s="48">
        <v>3.0</v>
      </c>
      <c r="P17" s="32" t="s">
        <v>124</v>
      </c>
    </row>
    <row r="18">
      <c r="G18" s="137"/>
      <c r="K18" s="137"/>
      <c r="L18" s="137"/>
      <c r="M18" s="138"/>
      <c r="O18" s="48">
        <v>4.0</v>
      </c>
      <c r="P18" s="32" t="s">
        <v>125</v>
      </c>
    </row>
    <row r="19">
      <c r="G19" s="137"/>
      <c r="K19" s="137"/>
      <c r="L19" s="137"/>
      <c r="M19" s="138"/>
      <c r="N19" s="12"/>
      <c r="O19" s="48">
        <v>5.0</v>
      </c>
      <c r="P19" s="32" t="s">
        <v>112</v>
      </c>
    </row>
    <row r="20">
      <c r="G20" s="137"/>
      <c r="K20" s="137"/>
      <c r="L20" s="137"/>
      <c r="M20" s="138"/>
      <c r="N20" s="12"/>
      <c r="O20" s="48">
        <v>6.0</v>
      </c>
      <c r="P20" s="32" t="s">
        <v>126</v>
      </c>
    </row>
    <row r="21">
      <c r="G21" s="137"/>
      <c r="K21" s="137"/>
      <c r="L21" s="137"/>
      <c r="M21" s="138"/>
      <c r="N21" s="12"/>
      <c r="O21" s="48">
        <v>7.0</v>
      </c>
      <c r="P21" s="32" t="s">
        <v>127</v>
      </c>
    </row>
    <row r="22">
      <c r="G22" s="137"/>
      <c r="K22" s="137"/>
      <c r="L22" s="137"/>
      <c r="M22" s="138"/>
      <c r="N22" s="12"/>
      <c r="O22" s="48">
        <v>8.0</v>
      </c>
      <c r="P22" s="32" t="s">
        <v>128</v>
      </c>
    </row>
    <row r="23">
      <c r="G23" s="137"/>
      <c r="K23" s="137"/>
      <c r="L23" s="137"/>
      <c r="M23" s="138"/>
      <c r="N23" s="12"/>
      <c r="O23" s="48">
        <v>9.0</v>
      </c>
      <c r="P23" s="32" t="s">
        <v>129</v>
      </c>
    </row>
    <row r="24">
      <c r="G24" s="137"/>
      <c r="K24" s="137"/>
      <c r="L24" s="137"/>
      <c r="M24" s="138"/>
      <c r="N24" s="12"/>
      <c r="O24" s="48">
        <v>10.0</v>
      </c>
      <c r="P24" s="32" t="s">
        <v>130</v>
      </c>
    </row>
    <row r="25">
      <c r="G25" s="137"/>
      <c r="K25" s="137"/>
      <c r="L25" s="137"/>
      <c r="M25" s="138"/>
      <c r="N25" s="12"/>
      <c r="O25" s="12"/>
    </row>
    <row r="26">
      <c r="G26" s="137"/>
      <c r="K26" s="137"/>
      <c r="L26" s="137"/>
      <c r="M26" s="138"/>
      <c r="N26" s="12"/>
      <c r="O26" s="12"/>
      <c r="P26" s="139" t="s">
        <v>131</v>
      </c>
    </row>
    <row r="27">
      <c r="G27" s="137"/>
      <c r="K27" s="137"/>
      <c r="L27" s="137"/>
      <c r="M27" s="138"/>
      <c r="N27" s="12"/>
      <c r="O27" s="48">
        <v>1.0</v>
      </c>
      <c r="P27" s="32" t="s">
        <v>124</v>
      </c>
    </row>
    <row r="28">
      <c r="G28" s="137"/>
      <c r="K28" s="137"/>
      <c r="L28" s="137"/>
      <c r="M28" s="138"/>
      <c r="N28" s="12"/>
      <c r="O28" s="48">
        <v>2.0</v>
      </c>
      <c r="P28" s="32" t="s">
        <v>133</v>
      </c>
    </row>
    <row r="29">
      <c r="G29" s="137"/>
      <c r="K29" s="137"/>
      <c r="L29" s="137"/>
      <c r="M29" s="138"/>
      <c r="N29" s="12"/>
      <c r="O29" s="48">
        <v>3.0</v>
      </c>
      <c r="P29" s="32" t="s">
        <v>112</v>
      </c>
    </row>
    <row r="30">
      <c r="G30" s="137"/>
      <c r="K30" s="137"/>
      <c r="L30" s="137"/>
      <c r="M30" s="138"/>
      <c r="N30" s="12"/>
      <c r="O30" s="48">
        <v>4.0</v>
      </c>
      <c r="P30" s="32" t="s">
        <v>135</v>
      </c>
    </row>
    <row r="31">
      <c r="G31" s="137"/>
      <c r="K31" s="137"/>
      <c r="L31" s="137"/>
      <c r="M31" s="138"/>
      <c r="N31" s="12"/>
      <c r="O31" s="12"/>
    </row>
    <row r="32">
      <c r="G32" s="137"/>
      <c r="K32" s="137"/>
      <c r="L32" s="137"/>
      <c r="M32" s="138"/>
      <c r="N32" s="12"/>
      <c r="O32" s="12"/>
      <c r="P32" s="139" t="s">
        <v>137</v>
      </c>
    </row>
    <row r="33">
      <c r="G33" s="137"/>
      <c r="K33" s="137"/>
      <c r="L33" s="137"/>
      <c r="M33" s="138"/>
      <c r="N33" s="12"/>
      <c r="O33" s="48">
        <v>1.0</v>
      </c>
      <c r="P33" s="32" t="s">
        <v>66</v>
      </c>
    </row>
    <row r="34">
      <c r="G34" s="137"/>
      <c r="K34" s="137"/>
      <c r="L34" s="137"/>
      <c r="M34" s="138"/>
      <c r="N34" s="12"/>
      <c r="O34" s="48">
        <v>2.0</v>
      </c>
      <c r="P34" s="32" t="s">
        <v>70</v>
      </c>
    </row>
    <row r="35">
      <c r="G35" s="137"/>
      <c r="K35" s="137"/>
      <c r="L35" s="137"/>
      <c r="M35" s="138"/>
      <c r="N35" s="12"/>
      <c r="O35" s="48">
        <v>3.0</v>
      </c>
      <c r="P35" s="32" t="s">
        <v>73</v>
      </c>
    </row>
    <row r="36">
      <c r="G36" s="137"/>
      <c r="K36" s="137"/>
      <c r="L36" s="137"/>
      <c r="M36" s="138"/>
      <c r="N36" s="12"/>
      <c r="O36" s="48">
        <v>4.0</v>
      </c>
      <c r="P36" s="32" t="s">
        <v>82</v>
      </c>
    </row>
    <row r="37">
      <c r="G37" s="137"/>
      <c r="K37" s="137"/>
      <c r="L37" s="137"/>
      <c r="M37" s="138"/>
      <c r="N37" s="12"/>
      <c r="O37" s="48">
        <v>5.0</v>
      </c>
      <c r="P37" s="32" t="s">
        <v>140</v>
      </c>
    </row>
    <row r="38">
      <c r="G38" s="137"/>
      <c r="K38" s="137"/>
      <c r="L38" s="137"/>
      <c r="M38" s="138"/>
      <c r="N38" s="12"/>
      <c r="O38" s="48">
        <v>6.0</v>
      </c>
      <c r="P38" s="32" t="s">
        <v>141</v>
      </c>
    </row>
    <row r="39">
      <c r="G39" s="137"/>
      <c r="K39" s="137"/>
      <c r="L39" s="137"/>
      <c r="M39" s="138"/>
      <c r="N39" s="12"/>
      <c r="O39" s="48">
        <v>7.0</v>
      </c>
      <c r="P39" s="32" t="s">
        <v>142</v>
      </c>
    </row>
    <row r="40">
      <c r="G40" s="137"/>
      <c r="K40" s="137"/>
      <c r="L40" s="137"/>
      <c r="M40" s="138"/>
      <c r="N40" s="12"/>
      <c r="O40" s="48">
        <v>8.0</v>
      </c>
      <c r="P40" s="32" t="s">
        <v>143</v>
      </c>
    </row>
    <row r="41">
      <c r="G41" s="137"/>
      <c r="K41" s="137"/>
      <c r="L41" s="137"/>
      <c r="M41" s="138"/>
      <c r="N41" s="12"/>
      <c r="O41" s="48">
        <v>9.0</v>
      </c>
      <c r="P41" s="32" t="s">
        <v>144</v>
      </c>
    </row>
    <row r="42">
      <c r="G42" s="137"/>
      <c r="K42" s="137"/>
      <c r="L42" s="137"/>
      <c r="M42" s="138"/>
      <c r="N42" s="12"/>
      <c r="O42" s="48"/>
    </row>
    <row r="43">
      <c r="G43" s="137"/>
      <c r="K43" s="137"/>
      <c r="L43" s="137"/>
      <c r="M43" s="138"/>
      <c r="N43" s="12"/>
      <c r="O43" s="12"/>
    </row>
    <row r="44">
      <c r="G44" s="137"/>
      <c r="K44" s="137"/>
      <c r="L44" s="137"/>
      <c r="M44" s="138"/>
      <c r="N44" s="12"/>
      <c r="O44" s="12"/>
    </row>
    <row r="45">
      <c r="G45" s="137"/>
      <c r="K45" s="137"/>
      <c r="L45" s="137"/>
      <c r="M45" s="138"/>
      <c r="N45" s="12"/>
      <c r="O45" s="12"/>
    </row>
    <row r="46">
      <c r="G46" s="137"/>
      <c r="K46" s="137"/>
      <c r="L46" s="137"/>
      <c r="M46" s="138"/>
      <c r="N46" s="12"/>
      <c r="O46" s="12"/>
    </row>
    <row r="47">
      <c r="G47" s="137"/>
      <c r="K47" s="137"/>
      <c r="L47" s="137"/>
      <c r="M47" s="138"/>
      <c r="N47" s="12"/>
      <c r="O47" s="12"/>
    </row>
    <row r="48">
      <c r="G48" s="137"/>
      <c r="K48" s="137"/>
      <c r="L48" s="137"/>
      <c r="M48" s="138"/>
      <c r="N48" s="12"/>
      <c r="O48" s="12"/>
    </row>
    <row r="49">
      <c r="G49" s="137"/>
      <c r="K49" s="137"/>
      <c r="L49" s="137"/>
      <c r="M49" s="138"/>
      <c r="N49" s="12"/>
      <c r="O49" s="12"/>
    </row>
    <row r="50">
      <c r="G50" s="137"/>
      <c r="K50" s="137"/>
      <c r="L50" s="137"/>
      <c r="M50" s="138"/>
      <c r="N50" s="12"/>
      <c r="O50" s="12"/>
    </row>
    <row r="51">
      <c r="G51" s="137"/>
      <c r="K51" s="137"/>
      <c r="L51" s="137"/>
      <c r="M51" s="138"/>
      <c r="N51" s="12"/>
      <c r="O51" s="12"/>
    </row>
    <row r="52">
      <c r="G52" s="137"/>
      <c r="K52" s="137"/>
      <c r="L52" s="137"/>
      <c r="M52" s="138"/>
      <c r="N52" s="12"/>
      <c r="O52" s="12"/>
    </row>
    <row r="53">
      <c r="G53" s="137"/>
      <c r="K53" s="137"/>
      <c r="L53" s="137"/>
      <c r="M53" s="138"/>
      <c r="N53" s="12"/>
      <c r="O53" s="12"/>
    </row>
    <row r="54">
      <c r="G54" s="137"/>
      <c r="K54" s="137"/>
      <c r="L54" s="137"/>
      <c r="M54" s="138"/>
      <c r="N54" s="12"/>
      <c r="O54" s="12"/>
    </row>
    <row r="55">
      <c r="G55" s="137"/>
      <c r="K55" s="137"/>
      <c r="L55" s="137"/>
      <c r="M55" s="138"/>
      <c r="N55" s="12"/>
      <c r="O55" s="12"/>
    </row>
    <row r="56">
      <c r="G56" s="137"/>
      <c r="K56" s="137"/>
      <c r="L56" s="137"/>
      <c r="M56" s="138"/>
      <c r="N56" s="12"/>
      <c r="O56" s="12"/>
    </row>
    <row r="57">
      <c r="G57" s="137"/>
      <c r="K57" s="137"/>
      <c r="L57" s="137"/>
      <c r="M57" s="138"/>
      <c r="N57" s="12"/>
      <c r="O57" s="12"/>
    </row>
    <row r="58">
      <c r="G58" s="137"/>
      <c r="K58" s="137"/>
      <c r="L58" s="137"/>
      <c r="M58" s="138"/>
      <c r="N58" s="12"/>
      <c r="O58" s="12"/>
    </row>
    <row r="59">
      <c r="G59" s="137"/>
      <c r="K59" s="137"/>
      <c r="L59" s="137"/>
      <c r="M59" s="138"/>
      <c r="N59" s="12"/>
      <c r="O59" s="12"/>
    </row>
    <row r="60">
      <c r="G60" s="137"/>
      <c r="K60" s="137"/>
      <c r="L60" s="137"/>
      <c r="M60" s="138"/>
      <c r="N60" s="12"/>
      <c r="O60" s="12"/>
    </row>
    <row r="61">
      <c r="G61" s="137"/>
      <c r="K61" s="137"/>
      <c r="L61" s="137"/>
      <c r="M61" s="138"/>
      <c r="N61" s="12"/>
      <c r="O61" s="12"/>
    </row>
    <row r="62">
      <c r="G62" s="137"/>
      <c r="K62" s="137"/>
      <c r="L62" s="137"/>
      <c r="M62" s="138"/>
      <c r="N62" s="12"/>
      <c r="O62" s="12"/>
    </row>
    <row r="63">
      <c r="G63" s="137"/>
      <c r="K63" s="137"/>
      <c r="L63" s="137"/>
      <c r="M63" s="138"/>
      <c r="N63" s="12"/>
      <c r="O63" s="12"/>
    </row>
    <row r="64">
      <c r="G64" s="137"/>
      <c r="K64" s="137"/>
      <c r="L64" s="137"/>
      <c r="M64" s="138"/>
      <c r="N64" s="12"/>
      <c r="O64" s="12"/>
    </row>
    <row r="65">
      <c r="G65" s="137"/>
      <c r="K65" s="137"/>
      <c r="L65" s="137"/>
      <c r="M65" s="138"/>
      <c r="N65" s="12"/>
      <c r="O65" s="12"/>
    </row>
    <row r="66">
      <c r="G66" s="137"/>
      <c r="K66" s="137"/>
      <c r="L66" s="137"/>
      <c r="M66" s="138"/>
      <c r="N66" s="12"/>
      <c r="O66" s="12"/>
    </row>
    <row r="67">
      <c r="G67" s="137"/>
      <c r="K67" s="137"/>
      <c r="L67" s="137"/>
      <c r="M67" s="138"/>
      <c r="N67" s="12"/>
      <c r="O67" s="12"/>
    </row>
    <row r="68">
      <c r="G68" s="137"/>
      <c r="K68" s="137"/>
      <c r="L68" s="137"/>
      <c r="M68" s="138"/>
      <c r="N68" s="12"/>
      <c r="O68" s="12"/>
    </row>
    <row r="69">
      <c r="G69" s="137"/>
      <c r="K69" s="137"/>
      <c r="L69" s="137"/>
      <c r="M69" s="138"/>
      <c r="N69" s="12"/>
      <c r="O69" s="12"/>
    </row>
    <row r="70">
      <c r="G70" s="137"/>
      <c r="K70" s="137"/>
      <c r="L70" s="137"/>
      <c r="M70" s="138"/>
      <c r="N70" s="12"/>
      <c r="O70" s="12"/>
    </row>
    <row r="71">
      <c r="G71" s="137"/>
      <c r="K71" s="137"/>
      <c r="L71" s="137"/>
      <c r="M71" s="138"/>
      <c r="N71" s="12"/>
      <c r="O71" s="12"/>
    </row>
    <row r="72">
      <c r="G72" s="137"/>
      <c r="K72" s="137"/>
      <c r="L72" s="137"/>
      <c r="M72" s="138"/>
      <c r="N72" s="12"/>
      <c r="O72" s="12"/>
    </row>
    <row r="73">
      <c r="G73" s="137"/>
      <c r="K73" s="137"/>
      <c r="L73" s="137"/>
      <c r="M73" s="138"/>
      <c r="N73" s="12"/>
      <c r="O73" s="12"/>
    </row>
    <row r="74">
      <c r="G74" s="137"/>
      <c r="K74" s="137"/>
      <c r="L74" s="137"/>
      <c r="M74" s="138"/>
      <c r="N74" s="12"/>
      <c r="O74" s="12"/>
    </row>
    <row r="75">
      <c r="G75" s="137"/>
      <c r="K75" s="137"/>
      <c r="L75" s="137"/>
      <c r="M75" s="138"/>
      <c r="N75" s="12"/>
      <c r="O75" s="12"/>
    </row>
    <row r="76">
      <c r="G76" s="137"/>
      <c r="K76" s="137"/>
      <c r="L76" s="137"/>
      <c r="M76" s="138"/>
      <c r="N76" s="12"/>
      <c r="O76" s="12"/>
    </row>
    <row r="77">
      <c r="G77" s="137"/>
      <c r="K77" s="137"/>
      <c r="L77" s="137"/>
      <c r="M77" s="138"/>
      <c r="N77" s="12"/>
      <c r="O77" s="12"/>
    </row>
    <row r="78">
      <c r="G78" s="137"/>
      <c r="K78" s="137"/>
      <c r="L78" s="137"/>
      <c r="M78" s="138"/>
      <c r="N78" s="12"/>
      <c r="O78" s="12"/>
    </row>
    <row r="79">
      <c r="G79" s="137"/>
      <c r="K79" s="137"/>
      <c r="L79" s="137"/>
      <c r="M79" s="138"/>
      <c r="N79" s="12"/>
      <c r="O79" s="12"/>
    </row>
    <row r="80">
      <c r="G80" s="137"/>
      <c r="K80" s="137"/>
      <c r="L80" s="137"/>
      <c r="M80" s="138"/>
      <c r="N80" s="12"/>
      <c r="O80" s="12"/>
    </row>
    <row r="81">
      <c r="G81" s="137"/>
      <c r="K81" s="137"/>
      <c r="L81" s="137"/>
      <c r="M81" s="138"/>
      <c r="N81" s="12"/>
      <c r="O81" s="12"/>
    </row>
    <row r="82">
      <c r="G82" s="137"/>
      <c r="K82" s="137"/>
      <c r="L82" s="137"/>
      <c r="M82" s="138"/>
      <c r="N82" s="12"/>
      <c r="O82" s="12"/>
    </row>
    <row r="83">
      <c r="G83" s="137"/>
      <c r="K83" s="137"/>
      <c r="L83" s="137"/>
      <c r="M83" s="138"/>
      <c r="N83" s="12"/>
      <c r="O83" s="12"/>
    </row>
    <row r="84">
      <c r="G84" s="137"/>
      <c r="K84" s="137"/>
      <c r="L84" s="137"/>
      <c r="M84" s="138"/>
      <c r="N84" s="12"/>
      <c r="O84" s="12"/>
    </row>
    <row r="85">
      <c r="G85" s="137"/>
      <c r="K85" s="137"/>
      <c r="L85" s="137"/>
      <c r="M85" s="138"/>
      <c r="N85" s="12"/>
      <c r="O85" s="12"/>
    </row>
    <row r="86">
      <c r="G86" s="137"/>
      <c r="K86" s="137"/>
      <c r="L86" s="137"/>
      <c r="M86" s="138"/>
      <c r="N86" s="12"/>
      <c r="O86" s="12"/>
    </row>
    <row r="87">
      <c r="G87" s="137"/>
      <c r="K87" s="137"/>
      <c r="L87" s="137"/>
      <c r="M87" s="138"/>
      <c r="N87" s="12"/>
      <c r="O87" s="12"/>
    </row>
    <row r="88">
      <c r="G88" s="137"/>
      <c r="K88" s="137"/>
      <c r="L88" s="137"/>
      <c r="M88" s="138"/>
      <c r="N88" s="12"/>
      <c r="O88" s="12"/>
    </row>
    <row r="89">
      <c r="G89" s="137"/>
      <c r="K89" s="137"/>
      <c r="L89" s="137"/>
      <c r="M89" s="138"/>
      <c r="N89" s="12"/>
      <c r="O89" s="12"/>
    </row>
    <row r="90">
      <c r="G90" s="137"/>
      <c r="K90" s="137"/>
      <c r="L90" s="137"/>
      <c r="M90" s="138"/>
      <c r="N90" s="12"/>
      <c r="O90" s="12"/>
    </row>
    <row r="91">
      <c r="G91" s="137"/>
      <c r="K91" s="137"/>
      <c r="L91" s="137"/>
      <c r="M91" s="138"/>
      <c r="N91" s="12"/>
      <c r="O91" s="12"/>
    </row>
    <row r="92">
      <c r="G92" s="137"/>
      <c r="K92" s="137"/>
      <c r="L92" s="137"/>
      <c r="M92" s="138"/>
      <c r="N92" s="12"/>
      <c r="O92" s="12"/>
    </row>
    <row r="93">
      <c r="G93" s="137"/>
      <c r="K93" s="137"/>
      <c r="L93" s="137"/>
      <c r="M93" s="138"/>
      <c r="N93" s="12"/>
      <c r="O93" s="12"/>
    </row>
    <row r="94">
      <c r="G94" s="137"/>
      <c r="K94" s="137"/>
      <c r="L94" s="137"/>
      <c r="M94" s="138"/>
      <c r="N94" s="12"/>
      <c r="O94" s="12"/>
    </row>
    <row r="95">
      <c r="G95" s="137"/>
      <c r="K95" s="137"/>
      <c r="L95" s="137"/>
      <c r="M95" s="138"/>
      <c r="N95" s="12"/>
      <c r="O95" s="12"/>
    </row>
    <row r="96">
      <c r="G96" s="137"/>
      <c r="K96" s="137"/>
      <c r="L96" s="137"/>
      <c r="M96" s="138"/>
      <c r="N96" s="12"/>
      <c r="O96" s="12"/>
    </row>
    <row r="97">
      <c r="G97" s="137"/>
      <c r="K97" s="137"/>
      <c r="L97" s="137"/>
      <c r="M97" s="138"/>
      <c r="N97" s="12"/>
      <c r="O97" s="12"/>
    </row>
    <row r="98">
      <c r="G98" s="137"/>
      <c r="K98" s="137"/>
      <c r="L98" s="137"/>
      <c r="M98" s="138"/>
      <c r="N98" s="12"/>
      <c r="O98" s="12"/>
    </row>
    <row r="99">
      <c r="G99" s="137"/>
      <c r="K99" s="137"/>
      <c r="L99" s="137"/>
      <c r="M99" s="138"/>
      <c r="N99" s="12"/>
      <c r="O99" s="12"/>
    </row>
    <row r="100">
      <c r="G100" s="137"/>
      <c r="K100" s="137"/>
      <c r="L100" s="137"/>
      <c r="M100" s="138"/>
      <c r="N100" s="12"/>
      <c r="O100" s="12"/>
    </row>
    <row r="101">
      <c r="G101" s="137"/>
      <c r="K101" s="137"/>
      <c r="L101" s="137"/>
      <c r="M101" s="138"/>
      <c r="N101" s="12"/>
      <c r="O101" s="12"/>
    </row>
    <row r="102">
      <c r="G102" s="137"/>
      <c r="K102" s="137"/>
      <c r="L102" s="137"/>
      <c r="M102" s="138"/>
      <c r="N102" s="12"/>
      <c r="O102" s="12"/>
    </row>
    <row r="103">
      <c r="G103" s="137"/>
      <c r="K103" s="137"/>
      <c r="L103" s="137"/>
      <c r="M103" s="138"/>
      <c r="N103" s="12"/>
      <c r="O103" s="12"/>
    </row>
    <row r="104">
      <c r="G104" s="137"/>
      <c r="K104" s="137"/>
      <c r="L104" s="137"/>
      <c r="M104" s="138"/>
      <c r="N104" s="12"/>
      <c r="O104" s="12"/>
    </row>
    <row r="105">
      <c r="G105" s="137"/>
      <c r="K105" s="137"/>
      <c r="L105" s="137"/>
      <c r="M105" s="138"/>
      <c r="N105" s="12"/>
      <c r="O105" s="12"/>
    </row>
    <row r="106">
      <c r="G106" s="137"/>
      <c r="K106" s="137"/>
      <c r="L106" s="137"/>
      <c r="M106" s="138"/>
      <c r="N106" s="12"/>
      <c r="O106" s="12"/>
    </row>
    <row r="107">
      <c r="G107" s="137"/>
      <c r="K107" s="137"/>
      <c r="L107" s="137"/>
      <c r="M107" s="138"/>
      <c r="N107" s="12"/>
      <c r="O107" s="12"/>
    </row>
    <row r="108">
      <c r="G108" s="137"/>
      <c r="K108" s="137"/>
      <c r="L108" s="137"/>
      <c r="M108" s="138"/>
      <c r="N108" s="12"/>
      <c r="O108" s="12"/>
    </row>
    <row r="109">
      <c r="G109" s="137"/>
      <c r="K109" s="137"/>
      <c r="L109" s="137"/>
      <c r="M109" s="138"/>
      <c r="N109" s="12"/>
      <c r="O109" s="12"/>
    </row>
    <row r="110">
      <c r="G110" s="137"/>
      <c r="K110" s="137"/>
      <c r="L110" s="137"/>
      <c r="M110" s="138"/>
      <c r="N110" s="12"/>
      <c r="O110" s="12"/>
    </row>
    <row r="111">
      <c r="G111" s="137"/>
      <c r="K111" s="137"/>
      <c r="L111" s="137"/>
      <c r="M111" s="138"/>
      <c r="N111" s="12"/>
      <c r="O111" s="12"/>
    </row>
    <row r="112">
      <c r="G112" s="137"/>
      <c r="K112" s="137"/>
      <c r="L112" s="137"/>
      <c r="M112" s="138"/>
      <c r="N112" s="12"/>
      <c r="O112" s="12"/>
    </row>
    <row r="113">
      <c r="G113" s="137"/>
      <c r="K113" s="137"/>
      <c r="L113" s="137"/>
      <c r="M113" s="138"/>
      <c r="N113" s="12"/>
      <c r="O113" s="12"/>
    </row>
    <row r="114">
      <c r="G114" s="137"/>
      <c r="K114" s="137"/>
      <c r="L114" s="137"/>
      <c r="M114" s="138"/>
      <c r="N114" s="12"/>
      <c r="O114" s="12"/>
    </row>
    <row r="115">
      <c r="G115" s="137"/>
      <c r="K115" s="137"/>
      <c r="L115" s="137"/>
      <c r="M115" s="138"/>
      <c r="N115" s="12"/>
      <c r="O115" s="12"/>
    </row>
    <row r="116">
      <c r="G116" s="137"/>
      <c r="K116" s="137"/>
      <c r="L116" s="137"/>
      <c r="M116" s="138"/>
      <c r="N116" s="12"/>
      <c r="O116" s="12"/>
    </row>
    <row r="117">
      <c r="G117" s="137"/>
      <c r="K117" s="137"/>
      <c r="L117" s="137"/>
      <c r="M117" s="138"/>
      <c r="N117" s="12"/>
      <c r="O117" s="12"/>
    </row>
    <row r="118">
      <c r="G118" s="137"/>
      <c r="K118" s="137"/>
      <c r="L118" s="137"/>
      <c r="M118" s="138"/>
      <c r="N118" s="12"/>
      <c r="O118" s="12"/>
    </row>
    <row r="119">
      <c r="G119" s="137"/>
      <c r="K119" s="137"/>
      <c r="L119" s="137"/>
      <c r="M119" s="138"/>
      <c r="N119" s="12"/>
      <c r="O119" s="12"/>
    </row>
    <row r="120">
      <c r="G120" s="137"/>
      <c r="K120" s="137"/>
      <c r="L120" s="137"/>
      <c r="M120" s="138"/>
      <c r="N120" s="12"/>
      <c r="O120" s="12"/>
    </row>
    <row r="121">
      <c r="G121" s="137"/>
      <c r="K121" s="137"/>
      <c r="L121" s="137"/>
      <c r="M121" s="138"/>
      <c r="N121" s="12"/>
      <c r="O121" s="12"/>
    </row>
    <row r="122">
      <c r="G122" s="137"/>
      <c r="K122" s="137"/>
      <c r="L122" s="137"/>
      <c r="M122" s="138"/>
      <c r="N122" s="12"/>
      <c r="O122" s="12"/>
    </row>
    <row r="123">
      <c r="G123" s="137"/>
      <c r="K123" s="137"/>
      <c r="L123" s="137"/>
      <c r="M123" s="138"/>
      <c r="N123" s="12"/>
      <c r="O123" s="12"/>
    </row>
    <row r="124">
      <c r="G124" s="137"/>
      <c r="K124" s="137"/>
      <c r="L124" s="137"/>
      <c r="M124" s="138"/>
      <c r="N124" s="12"/>
      <c r="O124" s="12"/>
    </row>
    <row r="125">
      <c r="G125" s="137"/>
      <c r="K125" s="137"/>
      <c r="L125" s="137"/>
      <c r="M125" s="138"/>
      <c r="N125" s="12"/>
      <c r="O125" s="12"/>
    </row>
    <row r="126">
      <c r="G126" s="137"/>
      <c r="K126" s="137"/>
      <c r="L126" s="137"/>
      <c r="M126" s="138"/>
      <c r="N126" s="12"/>
      <c r="O126" s="12"/>
    </row>
    <row r="127">
      <c r="G127" s="137"/>
      <c r="K127" s="137"/>
      <c r="L127" s="137"/>
      <c r="M127" s="138"/>
      <c r="N127" s="12"/>
      <c r="O127" s="12"/>
    </row>
    <row r="128">
      <c r="G128" s="137"/>
      <c r="K128" s="137"/>
      <c r="L128" s="137"/>
      <c r="M128" s="138"/>
      <c r="N128" s="12"/>
      <c r="O128" s="12"/>
    </row>
    <row r="129">
      <c r="G129" s="137"/>
      <c r="K129" s="137"/>
      <c r="L129" s="137"/>
      <c r="M129" s="138"/>
      <c r="N129" s="12"/>
      <c r="O129" s="12"/>
    </row>
    <row r="130">
      <c r="G130" s="137"/>
      <c r="K130" s="137"/>
      <c r="L130" s="137"/>
      <c r="M130" s="138"/>
      <c r="N130" s="12"/>
      <c r="O130" s="12"/>
    </row>
    <row r="131">
      <c r="G131" s="137"/>
      <c r="K131" s="137"/>
      <c r="L131" s="137"/>
      <c r="M131" s="138"/>
      <c r="N131" s="12"/>
      <c r="O131" s="12"/>
    </row>
    <row r="132">
      <c r="G132" s="137"/>
      <c r="K132" s="137"/>
      <c r="L132" s="137"/>
      <c r="M132" s="138"/>
      <c r="N132" s="12"/>
      <c r="O132" s="12"/>
    </row>
    <row r="133">
      <c r="G133" s="137"/>
      <c r="K133" s="137"/>
      <c r="L133" s="137"/>
      <c r="M133" s="138"/>
      <c r="N133" s="12"/>
      <c r="O133" s="12"/>
    </row>
    <row r="134">
      <c r="G134" s="137"/>
      <c r="K134" s="137"/>
      <c r="L134" s="137"/>
      <c r="M134" s="138"/>
      <c r="N134" s="12"/>
      <c r="O134" s="12"/>
    </row>
    <row r="135">
      <c r="G135" s="137"/>
      <c r="K135" s="137"/>
      <c r="L135" s="137"/>
      <c r="M135" s="138"/>
      <c r="N135" s="12"/>
      <c r="O135" s="12"/>
    </row>
    <row r="136">
      <c r="G136" s="137"/>
      <c r="K136" s="137"/>
      <c r="L136" s="137"/>
      <c r="M136" s="138"/>
      <c r="N136" s="12"/>
      <c r="O136" s="12"/>
    </row>
    <row r="137">
      <c r="G137" s="137"/>
      <c r="K137" s="137"/>
      <c r="L137" s="137"/>
      <c r="M137" s="138"/>
      <c r="N137" s="12"/>
      <c r="O137" s="12"/>
    </row>
    <row r="138">
      <c r="G138" s="137"/>
      <c r="K138" s="137"/>
      <c r="L138" s="137"/>
      <c r="M138" s="138"/>
      <c r="N138" s="12"/>
      <c r="O138" s="12"/>
    </row>
    <row r="139">
      <c r="G139" s="137"/>
      <c r="K139" s="137"/>
      <c r="L139" s="137"/>
      <c r="M139" s="138"/>
      <c r="N139" s="12"/>
      <c r="O139" s="12"/>
    </row>
    <row r="140">
      <c r="G140" s="137"/>
      <c r="K140" s="137"/>
      <c r="L140" s="137"/>
      <c r="M140" s="138"/>
      <c r="N140" s="12"/>
      <c r="O140" s="12"/>
    </row>
    <row r="141">
      <c r="G141" s="137"/>
      <c r="K141" s="137"/>
      <c r="L141" s="137"/>
      <c r="M141" s="138"/>
      <c r="N141" s="12"/>
      <c r="O141" s="12"/>
    </row>
    <row r="142">
      <c r="G142" s="137"/>
      <c r="K142" s="137"/>
      <c r="L142" s="137"/>
      <c r="M142" s="138"/>
      <c r="N142" s="12"/>
      <c r="O142" s="12"/>
    </row>
    <row r="143">
      <c r="G143" s="137"/>
      <c r="K143" s="137"/>
      <c r="L143" s="137"/>
      <c r="M143" s="138"/>
      <c r="N143" s="12"/>
      <c r="O143" s="12"/>
    </row>
    <row r="144">
      <c r="G144" s="137"/>
      <c r="K144" s="137"/>
      <c r="L144" s="137"/>
      <c r="M144" s="138"/>
      <c r="N144" s="12"/>
      <c r="O144" s="12"/>
    </row>
    <row r="145">
      <c r="G145" s="137"/>
      <c r="K145" s="137"/>
      <c r="L145" s="137"/>
      <c r="M145" s="138"/>
      <c r="N145" s="12"/>
      <c r="O145" s="12"/>
    </row>
    <row r="146">
      <c r="G146" s="137"/>
      <c r="K146" s="137"/>
      <c r="L146" s="137"/>
      <c r="M146" s="138"/>
      <c r="N146" s="12"/>
      <c r="O146" s="12"/>
    </row>
    <row r="147">
      <c r="G147" s="137"/>
      <c r="K147" s="137"/>
      <c r="L147" s="137"/>
      <c r="M147" s="138"/>
      <c r="N147" s="12"/>
      <c r="O147" s="12"/>
    </row>
    <row r="148">
      <c r="G148" s="137"/>
      <c r="K148" s="137"/>
      <c r="L148" s="137"/>
      <c r="M148" s="138"/>
      <c r="N148" s="12"/>
      <c r="O148" s="12"/>
    </row>
    <row r="149">
      <c r="G149" s="137"/>
      <c r="K149" s="137"/>
      <c r="L149" s="137"/>
      <c r="M149" s="138"/>
      <c r="N149" s="12"/>
      <c r="O149" s="12"/>
    </row>
    <row r="150">
      <c r="G150" s="137"/>
      <c r="K150" s="137"/>
      <c r="L150" s="137"/>
      <c r="M150" s="138"/>
      <c r="N150" s="12"/>
      <c r="O150" s="12"/>
    </row>
    <row r="151">
      <c r="G151" s="137"/>
      <c r="K151" s="137"/>
      <c r="L151" s="137"/>
      <c r="M151" s="138"/>
      <c r="N151" s="12"/>
      <c r="O151" s="12"/>
    </row>
    <row r="152">
      <c r="G152" s="137"/>
      <c r="K152" s="137"/>
      <c r="L152" s="137"/>
      <c r="M152" s="138"/>
      <c r="N152" s="12"/>
      <c r="O152" s="12"/>
    </row>
    <row r="153">
      <c r="G153" s="137"/>
      <c r="K153" s="137"/>
      <c r="L153" s="137"/>
      <c r="M153" s="138"/>
      <c r="N153" s="12"/>
      <c r="O153" s="12"/>
    </row>
    <row r="154">
      <c r="G154" s="137"/>
      <c r="K154" s="137"/>
      <c r="L154" s="137"/>
      <c r="M154" s="138"/>
      <c r="N154" s="12"/>
      <c r="O154" s="12"/>
    </row>
    <row r="155">
      <c r="G155" s="137"/>
      <c r="K155" s="137"/>
      <c r="L155" s="137"/>
      <c r="M155" s="138"/>
      <c r="N155" s="12"/>
      <c r="O155" s="12"/>
    </row>
    <row r="156">
      <c r="G156" s="137"/>
      <c r="K156" s="137"/>
      <c r="L156" s="137"/>
      <c r="M156" s="138"/>
      <c r="N156" s="12"/>
      <c r="O156" s="12"/>
    </row>
    <row r="157">
      <c r="G157" s="137"/>
      <c r="K157" s="137"/>
      <c r="L157" s="137"/>
      <c r="M157" s="138"/>
      <c r="N157" s="12"/>
      <c r="O157" s="12"/>
    </row>
    <row r="158">
      <c r="G158" s="137"/>
      <c r="K158" s="137"/>
      <c r="L158" s="137"/>
      <c r="M158" s="138"/>
      <c r="N158" s="12"/>
      <c r="O158" s="12"/>
    </row>
    <row r="159">
      <c r="G159" s="137"/>
      <c r="K159" s="137"/>
      <c r="L159" s="137"/>
      <c r="M159" s="138"/>
      <c r="N159" s="12"/>
      <c r="O159" s="12"/>
    </row>
    <row r="160">
      <c r="G160" s="137"/>
      <c r="K160" s="137"/>
      <c r="L160" s="137"/>
      <c r="M160" s="138"/>
      <c r="N160" s="12"/>
      <c r="O160" s="12"/>
    </row>
    <row r="161">
      <c r="G161" s="137"/>
      <c r="K161" s="137"/>
      <c r="L161" s="137"/>
      <c r="M161" s="138"/>
      <c r="N161" s="12"/>
      <c r="O161" s="12"/>
    </row>
    <row r="162">
      <c r="G162" s="137"/>
      <c r="K162" s="137"/>
      <c r="L162" s="137"/>
      <c r="M162" s="138"/>
      <c r="N162" s="12"/>
      <c r="O162" s="12"/>
    </row>
    <row r="163">
      <c r="G163" s="137"/>
      <c r="K163" s="137"/>
      <c r="L163" s="137"/>
      <c r="M163" s="138"/>
      <c r="N163" s="12"/>
      <c r="O163" s="12"/>
    </row>
    <row r="164">
      <c r="G164" s="137"/>
      <c r="K164" s="137"/>
      <c r="L164" s="137"/>
      <c r="M164" s="138"/>
      <c r="N164" s="12"/>
      <c r="O164" s="12"/>
    </row>
    <row r="165">
      <c r="G165" s="137"/>
      <c r="K165" s="137"/>
      <c r="L165" s="137"/>
      <c r="M165" s="138"/>
      <c r="N165" s="12"/>
      <c r="O165" s="12"/>
    </row>
    <row r="166">
      <c r="G166" s="137"/>
      <c r="K166" s="137"/>
      <c r="L166" s="137"/>
      <c r="M166" s="138"/>
      <c r="N166" s="12"/>
      <c r="O166" s="12"/>
    </row>
    <row r="167">
      <c r="G167" s="137"/>
      <c r="K167" s="137"/>
      <c r="L167" s="137"/>
      <c r="M167" s="138"/>
      <c r="N167" s="12"/>
      <c r="O167" s="12"/>
    </row>
    <row r="168">
      <c r="G168" s="137"/>
      <c r="K168" s="137"/>
      <c r="L168" s="137"/>
      <c r="M168" s="138"/>
      <c r="N168" s="12"/>
      <c r="O168" s="12"/>
    </row>
    <row r="169">
      <c r="G169" s="137"/>
      <c r="K169" s="137"/>
      <c r="L169" s="137"/>
      <c r="M169" s="138"/>
      <c r="N169" s="12"/>
      <c r="O169" s="12"/>
    </row>
    <row r="170">
      <c r="G170" s="137"/>
      <c r="K170" s="137"/>
      <c r="L170" s="137"/>
      <c r="M170" s="138"/>
      <c r="N170" s="12"/>
      <c r="O170" s="12"/>
    </row>
    <row r="171">
      <c r="G171" s="137"/>
      <c r="K171" s="137"/>
      <c r="L171" s="137"/>
      <c r="M171" s="138"/>
      <c r="N171" s="12"/>
      <c r="O171" s="12"/>
    </row>
    <row r="172">
      <c r="G172" s="137"/>
      <c r="K172" s="137"/>
      <c r="L172" s="137"/>
      <c r="M172" s="138"/>
      <c r="N172" s="12"/>
      <c r="O172" s="12"/>
    </row>
    <row r="173">
      <c r="G173" s="137"/>
      <c r="K173" s="137"/>
      <c r="L173" s="137"/>
      <c r="M173" s="138"/>
      <c r="N173" s="12"/>
      <c r="O173" s="12"/>
    </row>
    <row r="174">
      <c r="G174" s="137"/>
      <c r="K174" s="137"/>
      <c r="L174" s="137"/>
      <c r="M174" s="138"/>
      <c r="N174" s="12"/>
      <c r="O174" s="12"/>
    </row>
    <row r="175">
      <c r="G175" s="137"/>
      <c r="K175" s="137"/>
      <c r="L175" s="137"/>
      <c r="M175" s="138"/>
      <c r="N175" s="12"/>
      <c r="O175" s="12"/>
    </row>
    <row r="176">
      <c r="G176" s="137"/>
      <c r="K176" s="137"/>
      <c r="L176" s="137"/>
      <c r="M176" s="138"/>
      <c r="N176" s="12"/>
      <c r="O176" s="12"/>
    </row>
    <row r="177">
      <c r="G177" s="137"/>
      <c r="K177" s="137"/>
      <c r="L177" s="137"/>
      <c r="M177" s="138"/>
      <c r="N177" s="12"/>
      <c r="O177" s="12"/>
    </row>
    <row r="178">
      <c r="G178" s="137"/>
      <c r="K178" s="137"/>
      <c r="L178" s="137"/>
      <c r="M178" s="138"/>
      <c r="N178" s="12"/>
      <c r="O178" s="12"/>
    </row>
    <row r="179">
      <c r="G179" s="137"/>
      <c r="K179" s="137"/>
      <c r="L179" s="137"/>
      <c r="M179" s="138"/>
      <c r="N179" s="12"/>
      <c r="O179" s="12"/>
    </row>
    <row r="180">
      <c r="G180" s="137"/>
      <c r="K180" s="137"/>
      <c r="L180" s="137"/>
      <c r="M180" s="138"/>
      <c r="N180" s="12"/>
      <c r="O180" s="12"/>
    </row>
    <row r="181">
      <c r="G181" s="137"/>
      <c r="K181" s="137"/>
      <c r="L181" s="137"/>
      <c r="M181" s="138"/>
      <c r="N181" s="12"/>
      <c r="O181" s="12"/>
    </row>
    <row r="182">
      <c r="G182" s="137"/>
      <c r="K182" s="137"/>
      <c r="L182" s="137"/>
      <c r="M182" s="138"/>
      <c r="N182" s="12"/>
      <c r="O182" s="12"/>
    </row>
    <row r="183">
      <c r="G183" s="137"/>
      <c r="K183" s="137"/>
      <c r="L183" s="137"/>
      <c r="M183" s="138"/>
      <c r="N183" s="12"/>
      <c r="O183" s="12"/>
    </row>
    <row r="184">
      <c r="G184" s="137"/>
      <c r="K184" s="137"/>
      <c r="L184" s="137"/>
      <c r="M184" s="138"/>
      <c r="N184" s="12"/>
      <c r="O184" s="12"/>
    </row>
    <row r="185">
      <c r="G185" s="137"/>
      <c r="K185" s="137"/>
      <c r="L185" s="137"/>
      <c r="M185" s="138"/>
      <c r="N185" s="12"/>
      <c r="O185" s="12"/>
    </row>
    <row r="186">
      <c r="G186" s="137"/>
      <c r="K186" s="137"/>
      <c r="L186" s="137"/>
      <c r="M186" s="138"/>
      <c r="N186" s="12"/>
      <c r="O186" s="12"/>
    </row>
    <row r="187">
      <c r="G187" s="137"/>
      <c r="K187" s="137"/>
      <c r="L187" s="137"/>
      <c r="M187" s="138"/>
      <c r="N187" s="12"/>
      <c r="O187" s="12"/>
    </row>
    <row r="188">
      <c r="G188" s="137"/>
      <c r="K188" s="137"/>
      <c r="L188" s="137"/>
      <c r="M188" s="138"/>
      <c r="N188" s="12"/>
      <c r="O188" s="12"/>
    </row>
    <row r="189">
      <c r="G189" s="137"/>
      <c r="K189" s="137"/>
      <c r="L189" s="137"/>
      <c r="M189" s="138"/>
      <c r="N189" s="12"/>
      <c r="O189" s="12"/>
    </row>
    <row r="190">
      <c r="G190" s="137"/>
      <c r="K190" s="137"/>
      <c r="L190" s="137"/>
      <c r="M190" s="138"/>
      <c r="N190" s="12"/>
      <c r="O190" s="12"/>
    </row>
    <row r="191">
      <c r="G191" s="137"/>
      <c r="K191" s="137"/>
      <c r="L191" s="137"/>
      <c r="M191" s="138"/>
      <c r="N191" s="12"/>
      <c r="O191" s="12"/>
    </row>
    <row r="192">
      <c r="G192" s="137"/>
      <c r="K192" s="137"/>
      <c r="L192" s="137"/>
      <c r="M192" s="138"/>
      <c r="N192" s="12"/>
      <c r="O192" s="12"/>
    </row>
    <row r="193">
      <c r="G193" s="137"/>
      <c r="K193" s="137"/>
      <c r="L193" s="137"/>
      <c r="M193" s="138"/>
      <c r="N193" s="12"/>
      <c r="O193" s="12"/>
    </row>
    <row r="194">
      <c r="G194" s="137"/>
      <c r="K194" s="137"/>
      <c r="L194" s="137"/>
      <c r="M194" s="138"/>
      <c r="N194" s="12"/>
      <c r="O194" s="12"/>
    </row>
    <row r="195">
      <c r="G195" s="137"/>
      <c r="K195" s="137"/>
      <c r="L195" s="137"/>
      <c r="M195" s="138"/>
      <c r="N195" s="12"/>
      <c r="O195" s="12"/>
    </row>
    <row r="196">
      <c r="G196" s="137"/>
      <c r="K196" s="137"/>
      <c r="L196" s="137"/>
      <c r="M196" s="138"/>
      <c r="N196" s="12"/>
      <c r="O196" s="12"/>
    </row>
    <row r="197">
      <c r="G197" s="137"/>
      <c r="K197" s="137"/>
      <c r="L197" s="137"/>
      <c r="M197" s="138"/>
      <c r="N197" s="12"/>
      <c r="O197" s="12"/>
    </row>
    <row r="198">
      <c r="G198" s="137"/>
      <c r="K198" s="137"/>
      <c r="L198" s="137"/>
      <c r="M198" s="138"/>
      <c r="N198" s="12"/>
      <c r="O198" s="12"/>
    </row>
    <row r="199">
      <c r="G199" s="137"/>
      <c r="K199" s="137"/>
      <c r="L199" s="137"/>
      <c r="M199" s="138"/>
      <c r="N199" s="12"/>
      <c r="O199" s="12"/>
    </row>
    <row r="200">
      <c r="G200" s="137"/>
      <c r="K200" s="137"/>
      <c r="L200" s="137"/>
      <c r="M200" s="138"/>
      <c r="N200" s="12"/>
      <c r="O200" s="12"/>
    </row>
    <row r="201">
      <c r="G201" s="137"/>
      <c r="K201" s="137"/>
      <c r="L201" s="137"/>
      <c r="M201" s="138"/>
      <c r="N201" s="12"/>
      <c r="O201" s="12"/>
    </row>
    <row r="202">
      <c r="G202" s="137"/>
      <c r="K202" s="137"/>
      <c r="L202" s="137"/>
      <c r="M202" s="138"/>
      <c r="N202" s="12"/>
      <c r="O202" s="12"/>
    </row>
    <row r="203">
      <c r="G203" s="137"/>
      <c r="K203" s="137"/>
      <c r="L203" s="137"/>
      <c r="M203" s="138"/>
      <c r="N203" s="12"/>
      <c r="O203" s="12"/>
    </row>
    <row r="204">
      <c r="G204" s="137"/>
      <c r="K204" s="137"/>
      <c r="L204" s="137"/>
      <c r="M204" s="138"/>
      <c r="N204" s="12"/>
      <c r="O204" s="12"/>
    </row>
    <row r="205">
      <c r="G205" s="137"/>
      <c r="K205" s="137"/>
      <c r="L205" s="137"/>
      <c r="M205" s="138"/>
      <c r="N205" s="12"/>
      <c r="O205" s="12"/>
    </row>
    <row r="206">
      <c r="G206" s="137"/>
      <c r="K206" s="137"/>
      <c r="L206" s="137"/>
      <c r="M206" s="138"/>
      <c r="N206" s="12"/>
      <c r="O206" s="12"/>
    </row>
    <row r="207">
      <c r="G207" s="137"/>
      <c r="K207" s="137"/>
      <c r="L207" s="137"/>
      <c r="M207" s="138"/>
      <c r="N207" s="12"/>
      <c r="O207" s="12"/>
    </row>
    <row r="208">
      <c r="G208" s="137"/>
      <c r="K208" s="137"/>
      <c r="L208" s="137"/>
      <c r="M208" s="138"/>
      <c r="N208" s="12"/>
      <c r="O208" s="12"/>
    </row>
    <row r="209">
      <c r="G209" s="137"/>
      <c r="K209" s="137"/>
      <c r="L209" s="137"/>
      <c r="M209" s="138"/>
      <c r="N209" s="12"/>
      <c r="O209" s="12"/>
    </row>
    <row r="210">
      <c r="G210" s="137"/>
      <c r="K210" s="137"/>
      <c r="L210" s="137"/>
      <c r="M210" s="138"/>
      <c r="N210" s="12"/>
      <c r="O210" s="12"/>
    </row>
    <row r="211">
      <c r="G211" s="137"/>
      <c r="K211" s="137"/>
      <c r="L211" s="137"/>
      <c r="M211" s="138"/>
      <c r="N211" s="12"/>
      <c r="O211" s="12"/>
    </row>
    <row r="212">
      <c r="G212" s="137"/>
      <c r="K212" s="137"/>
      <c r="L212" s="137"/>
      <c r="M212" s="138"/>
      <c r="N212" s="12"/>
      <c r="O212" s="12"/>
    </row>
    <row r="213">
      <c r="G213" s="137"/>
      <c r="K213" s="137"/>
      <c r="L213" s="137"/>
      <c r="M213" s="138"/>
      <c r="N213" s="12"/>
      <c r="O213" s="12"/>
    </row>
    <row r="214">
      <c r="G214" s="137"/>
      <c r="K214" s="137"/>
      <c r="L214" s="137"/>
      <c r="M214" s="138"/>
      <c r="N214" s="12"/>
      <c r="O214" s="12"/>
    </row>
    <row r="215">
      <c r="G215" s="137"/>
      <c r="K215" s="137"/>
      <c r="L215" s="137"/>
      <c r="M215" s="138"/>
      <c r="N215" s="12"/>
      <c r="O215" s="12"/>
    </row>
    <row r="216">
      <c r="G216" s="137"/>
      <c r="K216" s="137"/>
      <c r="L216" s="137"/>
      <c r="M216" s="138"/>
      <c r="N216" s="12"/>
      <c r="O216" s="12"/>
    </row>
    <row r="217">
      <c r="G217" s="137"/>
      <c r="K217" s="137"/>
      <c r="L217" s="137"/>
      <c r="M217" s="138"/>
      <c r="N217" s="12"/>
      <c r="O217" s="12"/>
    </row>
    <row r="218">
      <c r="G218" s="137"/>
      <c r="K218" s="137"/>
      <c r="L218" s="137"/>
      <c r="M218" s="138"/>
      <c r="N218" s="12"/>
      <c r="O218" s="12"/>
    </row>
    <row r="219">
      <c r="G219" s="137"/>
      <c r="K219" s="137"/>
      <c r="L219" s="137"/>
      <c r="M219" s="138"/>
      <c r="N219" s="12"/>
      <c r="O219" s="12"/>
    </row>
    <row r="220">
      <c r="G220" s="137"/>
      <c r="K220" s="137"/>
      <c r="L220" s="137"/>
      <c r="M220" s="138"/>
      <c r="N220" s="12"/>
      <c r="O220" s="12"/>
    </row>
    <row r="221">
      <c r="G221" s="137"/>
      <c r="K221" s="137"/>
      <c r="L221" s="137"/>
      <c r="M221" s="138"/>
      <c r="N221" s="12"/>
      <c r="O221" s="12"/>
    </row>
    <row r="222">
      <c r="G222" s="137"/>
      <c r="K222" s="137"/>
      <c r="L222" s="137"/>
      <c r="M222" s="138"/>
      <c r="N222" s="12"/>
      <c r="O222" s="12"/>
    </row>
    <row r="223">
      <c r="G223" s="137"/>
      <c r="K223" s="137"/>
      <c r="L223" s="137"/>
      <c r="M223" s="138"/>
      <c r="N223" s="12"/>
      <c r="O223" s="12"/>
    </row>
    <row r="224">
      <c r="G224" s="137"/>
      <c r="K224" s="137"/>
      <c r="L224" s="137"/>
      <c r="M224" s="138"/>
      <c r="N224" s="12"/>
      <c r="O224" s="12"/>
    </row>
    <row r="225">
      <c r="G225" s="137"/>
      <c r="K225" s="137"/>
      <c r="L225" s="137"/>
      <c r="M225" s="138"/>
      <c r="N225" s="12"/>
      <c r="O225" s="12"/>
    </row>
    <row r="226">
      <c r="G226" s="137"/>
      <c r="K226" s="137"/>
      <c r="L226" s="137"/>
      <c r="M226" s="138"/>
      <c r="N226" s="12"/>
      <c r="O226" s="12"/>
    </row>
    <row r="227">
      <c r="G227" s="137"/>
      <c r="K227" s="137"/>
      <c r="L227" s="137"/>
      <c r="M227" s="138"/>
      <c r="N227" s="12"/>
      <c r="O227" s="12"/>
    </row>
    <row r="228">
      <c r="G228" s="137"/>
      <c r="K228" s="137"/>
      <c r="L228" s="137"/>
      <c r="M228" s="138"/>
      <c r="N228" s="12"/>
      <c r="O228" s="12"/>
    </row>
    <row r="229">
      <c r="G229" s="137"/>
      <c r="K229" s="137"/>
      <c r="L229" s="137"/>
      <c r="M229" s="138"/>
      <c r="N229" s="12"/>
      <c r="O229" s="12"/>
    </row>
    <row r="230">
      <c r="G230" s="137"/>
      <c r="K230" s="137"/>
      <c r="L230" s="137"/>
      <c r="M230" s="138"/>
      <c r="N230" s="12"/>
      <c r="O230" s="12"/>
    </row>
    <row r="231">
      <c r="G231" s="137"/>
      <c r="K231" s="137"/>
      <c r="L231" s="137"/>
      <c r="M231" s="138"/>
      <c r="N231" s="12"/>
      <c r="O231" s="12"/>
    </row>
    <row r="232">
      <c r="G232" s="137"/>
      <c r="K232" s="137"/>
      <c r="L232" s="137"/>
      <c r="M232" s="138"/>
      <c r="N232" s="12"/>
      <c r="O232" s="12"/>
    </row>
    <row r="233">
      <c r="G233" s="137"/>
      <c r="K233" s="137"/>
      <c r="L233" s="137"/>
      <c r="M233" s="138"/>
      <c r="N233" s="12"/>
      <c r="O233" s="12"/>
    </row>
    <row r="234">
      <c r="G234" s="137"/>
      <c r="K234" s="137"/>
      <c r="L234" s="137"/>
      <c r="M234" s="138"/>
      <c r="N234" s="12"/>
      <c r="O234" s="12"/>
    </row>
    <row r="235">
      <c r="G235" s="137"/>
      <c r="K235" s="137"/>
      <c r="L235" s="137"/>
      <c r="M235" s="138"/>
      <c r="N235" s="12"/>
      <c r="O235" s="12"/>
    </row>
    <row r="236">
      <c r="G236" s="137"/>
      <c r="K236" s="137"/>
      <c r="L236" s="137"/>
      <c r="M236" s="138"/>
      <c r="N236" s="12"/>
      <c r="O236" s="12"/>
    </row>
    <row r="237">
      <c r="G237" s="137"/>
      <c r="K237" s="137"/>
      <c r="L237" s="137"/>
      <c r="M237" s="138"/>
      <c r="N237" s="12"/>
      <c r="O237" s="12"/>
    </row>
    <row r="238">
      <c r="G238" s="137"/>
      <c r="K238" s="137"/>
      <c r="L238" s="137"/>
      <c r="M238" s="138"/>
      <c r="N238" s="12"/>
      <c r="O238" s="12"/>
    </row>
    <row r="239">
      <c r="G239" s="137"/>
      <c r="K239" s="137"/>
      <c r="L239" s="137"/>
      <c r="M239" s="138"/>
      <c r="N239" s="12"/>
      <c r="O239" s="12"/>
    </row>
    <row r="240">
      <c r="G240" s="137"/>
      <c r="K240" s="137"/>
      <c r="L240" s="137"/>
      <c r="M240" s="138"/>
      <c r="N240" s="12"/>
      <c r="O240" s="12"/>
    </row>
    <row r="241">
      <c r="G241" s="137"/>
      <c r="K241" s="137"/>
      <c r="L241" s="137"/>
      <c r="M241" s="138"/>
      <c r="N241" s="12"/>
      <c r="O241" s="12"/>
    </row>
    <row r="242">
      <c r="G242" s="137"/>
      <c r="K242" s="137"/>
      <c r="L242" s="137"/>
      <c r="M242" s="138"/>
      <c r="N242" s="12"/>
      <c r="O242" s="12"/>
    </row>
    <row r="243">
      <c r="G243" s="137"/>
      <c r="K243" s="137"/>
      <c r="L243" s="137"/>
      <c r="M243" s="138"/>
      <c r="N243" s="12"/>
      <c r="O243" s="12"/>
    </row>
    <row r="244">
      <c r="G244" s="137"/>
      <c r="K244" s="137"/>
      <c r="L244" s="137"/>
      <c r="M244" s="138"/>
      <c r="N244" s="12"/>
      <c r="O244" s="12"/>
    </row>
    <row r="245">
      <c r="G245" s="137"/>
      <c r="K245" s="137"/>
      <c r="L245" s="137"/>
      <c r="M245" s="138"/>
      <c r="N245" s="12"/>
      <c r="O245" s="12"/>
    </row>
    <row r="246">
      <c r="G246" s="137"/>
      <c r="K246" s="137"/>
      <c r="L246" s="137"/>
      <c r="M246" s="138"/>
      <c r="N246" s="12"/>
      <c r="O246" s="12"/>
    </row>
    <row r="247">
      <c r="G247" s="137"/>
      <c r="K247" s="137"/>
      <c r="L247" s="137"/>
      <c r="M247" s="138"/>
      <c r="N247" s="12"/>
      <c r="O247" s="12"/>
    </row>
    <row r="248">
      <c r="G248" s="137"/>
      <c r="K248" s="137"/>
      <c r="L248" s="137"/>
      <c r="M248" s="138"/>
      <c r="N248" s="12"/>
      <c r="O248" s="12"/>
    </row>
    <row r="249">
      <c r="G249" s="137"/>
      <c r="K249" s="137"/>
      <c r="L249" s="137"/>
      <c r="M249" s="138"/>
      <c r="N249" s="12"/>
      <c r="O249" s="12"/>
    </row>
    <row r="250">
      <c r="G250" s="137"/>
      <c r="K250" s="137"/>
      <c r="L250" s="137"/>
      <c r="M250" s="138"/>
      <c r="N250" s="12"/>
      <c r="O250" s="12"/>
    </row>
    <row r="251">
      <c r="G251" s="137"/>
      <c r="K251" s="137"/>
      <c r="L251" s="137"/>
      <c r="M251" s="138"/>
      <c r="N251" s="12"/>
      <c r="O251" s="12"/>
    </row>
    <row r="252">
      <c r="G252" s="137"/>
      <c r="K252" s="137"/>
      <c r="L252" s="137"/>
      <c r="M252" s="138"/>
      <c r="N252" s="12"/>
      <c r="O252" s="12"/>
    </row>
    <row r="253">
      <c r="G253" s="137"/>
      <c r="K253" s="137"/>
      <c r="L253" s="137"/>
      <c r="M253" s="138"/>
      <c r="N253" s="12"/>
      <c r="O253" s="12"/>
    </row>
    <row r="254">
      <c r="G254" s="137"/>
      <c r="K254" s="137"/>
      <c r="L254" s="137"/>
      <c r="M254" s="138"/>
      <c r="N254" s="12"/>
      <c r="O254" s="12"/>
    </row>
    <row r="255">
      <c r="G255" s="137"/>
      <c r="K255" s="137"/>
      <c r="L255" s="137"/>
      <c r="M255" s="138"/>
      <c r="N255" s="12"/>
      <c r="O255" s="12"/>
    </row>
    <row r="256">
      <c r="G256" s="137"/>
      <c r="K256" s="137"/>
      <c r="L256" s="137"/>
      <c r="M256" s="138"/>
      <c r="N256" s="12"/>
      <c r="O256" s="12"/>
    </row>
    <row r="257">
      <c r="G257" s="137"/>
      <c r="K257" s="137"/>
      <c r="L257" s="137"/>
      <c r="M257" s="138"/>
      <c r="N257" s="12"/>
      <c r="O257" s="12"/>
    </row>
    <row r="258">
      <c r="G258" s="137"/>
      <c r="K258" s="137"/>
      <c r="L258" s="137"/>
      <c r="M258" s="138"/>
      <c r="N258" s="12"/>
      <c r="O258" s="12"/>
    </row>
    <row r="259">
      <c r="G259" s="137"/>
      <c r="K259" s="137"/>
      <c r="L259" s="137"/>
      <c r="M259" s="138"/>
      <c r="N259" s="12"/>
      <c r="O259" s="12"/>
    </row>
    <row r="260">
      <c r="G260" s="137"/>
      <c r="K260" s="137"/>
      <c r="L260" s="137"/>
      <c r="M260" s="138"/>
      <c r="N260" s="12"/>
      <c r="O260" s="12"/>
    </row>
    <row r="261">
      <c r="G261" s="137"/>
      <c r="K261" s="137"/>
      <c r="L261" s="137"/>
      <c r="M261" s="138"/>
      <c r="N261" s="12"/>
      <c r="O261" s="12"/>
    </row>
    <row r="262">
      <c r="G262" s="137"/>
      <c r="K262" s="137"/>
      <c r="L262" s="137"/>
      <c r="M262" s="138"/>
      <c r="N262" s="12"/>
      <c r="O262" s="12"/>
    </row>
    <row r="263">
      <c r="G263" s="137"/>
      <c r="K263" s="137"/>
      <c r="L263" s="137"/>
      <c r="M263" s="138"/>
      <c r="N263" s="12"/>
      <c r="O263" s="12"/>
    </row>
    <row r="264">
      <c r="G264" s="137"/>
      <c r="K264" s="137"/>
      <c r="L264" s="137"/>
      <c r="M264" s="138"/>
      <c r="N264" s="12"/>
      <c r="O264" s="12"/>
    </row>
    <row r="265">
      <c r="G265" s="137"/>
      <c r="K265" s="137"/>
      <c r="L265" s="137"/>
      <c r="M265" s="138"/>
      <c r="N265" s="12"/>
      <c r="O265" s="12"/>
    </row>
    <row r="266">
      <c r="G266" s="137"/>
      <c r="K266" s="137"/>
      <c r="L266" s="137"/>
      <c r="M266" s="138"/>
      <c r="N266" s="12"/>
      <c r="O266" s="12"/>
    </row>
    <row r="267">
      <c r="G267" s="137"/>
      <c r="K267" s="137"/>
      <c r="L267" s="137"/>
      <c r="M267" s="138"/>
      <c r="N267" s="12"/>
      <c r="O267" s="12"/>
    </row>
    <row r="268">
      <c r="G268" s="137"/>
      <c r="K268" s="137"/>
      <c r="L268" s="137"/>
      <c r="M268" s="138"/>
      <c r="N268" s="12"/>
      <c r="O268" s="12"/>
    </row>
    <row r="269">
      <c r="G269" s="137"/>
      <c r="K269" s="137"/>
      <c r="L269" s="137"/>
      <c r="M269" s="138"/>
      <c r="N269" s="12"/>
      <c r="O269" s="12"/>
    </row>
    <row r="270">
      <c r="G270" s="137"/>
      <c r="K270" s="137"/>
      <c r="L270" s="137"/>
      <c r="M270" s="138"/>
      <c r="N270" s="12"/>
      <c r="O270" s="12"/>
    </row>
    <row r="271">
      <c r="G271" s="137"/>
      <c r="K271" s="137"/>
      <c r="L271" s="137"/>
      <c r="M271" s="138"/>
      <c r="N271" s="12"/>
      <c r="O271" s="12"/>
    </row>
    <row r="272">
      <c r="G272" s="137"/>
      <c r="K272" s="137"/>
      <c r="L272" s="137"/>
      <c r="M272" s="138"/>
      <c r="N272" s="12"/>
      <c r="O272" s="12"/>
    </row>
    <row r="273">
      <c r="G273" s="137"/>
      <c r="K273" s="137"/>
      <c r="L273" s="137"/>
      <c r="M273" s="138"/>
      <c r="N273" s="12"/>
      <c r="O273" s="12"/>
    </row>
    <row r="274">
      <c r="G274" s="137"/>
      <c r="K274" s="137"/>
      <c r="L274" s="137"/>
      <c r="M274" s="138"/>
      <c r="N274" s="12"/>
      <c r="O274" s="12"/>
    </row>
    <row r="275">
      <c r="G275" s="137"/>
      <c r="K275" s="137"/>
      <c r="L275" s="137"/>
      <c r="M275" s="138"/>
      <c r="N275" s="12"/>
      <c r="O275" s="12"/>
    </row>
    <row r="276">
      <c r="G276" s="137"/>
      <c r="K276" s="137"/>
      <c r="L276" s="137"/>
      <c r="M276" s="138"/>
      <c r="N276" s="12"/>
      <c r="O276" s="12"/>
    </row>
    <row r="277">
      <c r="G277" s="137"/>
      <c r="K277" s="137"/>
      <c r="L277" s="137"/>
      <c r="M277" s="138"/>
      <c r="N277" s="12"/>
      <c r="O277" s="12"/>
    </row>
    <row r="278">
      <c r="G278" s="137"/>
      <c r="K278" s="137"/>
      <c r="L278" s="137"/>
      <c r="M278" s="138"/>
      <c r="N278" s="12"/>
      <c r="O278" s="12"/>
    </row>
    <row r="279">
      <c r="G279" s="137"/>
      <c r="K279" s="137"/>
      <c r="L279" s="137"/>
      <c r="M279" s="138"/>
      <c r="N279" s="12"/>
      <c r="O279" s="12"/>
    </row>
    <row r="280">
      <c r="G280" s="137"/>
      <c r="K280" s="137"/>
      <c r="L280" s="137"/>
      <c r="M280" s="138"/>
      <c r="N280" s="12"/>
      <c r="O280" s="12"/>
    </row>
    <row r="281">
      <c r="G281" s="137"/>
      <c r="K281" s="137"/>
      <c r="L281" s="137"/>
      <c r="M281" s="138"/>
      <c r="N281" s="12"/>
      <c r="O281" s="12"/>
    </row>
    <row r="282">
      <c r="G282" s="137"/>
      <c r="K282" s="137"/>
      <c r="L282" s="137"/>
      <c r="M282" s="138"/>
      <c r="N282" s="12"/>
      <c r="O282" s="12"/>
    </row>
    <row r="283">
      <c r="G283" s="137"/>
      <c r="K283" s="137"/>
      <c r="L283" s="137"/>
      <c r="M283" s="138"/>
      <c r="N283" s="12"/>
      <c r="O283" s="12"/>
    </row>
    <row r="284">
      <c r="G284" s="137"/>
      <c r="K284" s="137"/>
      <c r="L284" s="137"/>
      <c r="M284" s="138"/>
      <c r="N284" s="12"/>
      <c r="O284" s="12"/>
    </row>
    <row r="285">
      <c r="G285" s="137"/>
      <c r="K285" s="137"/>
      <c r="L285" s="137"/>
      <c r="M285" s="138"/>
      <c r="N285" s="12"/>
      <c r="O285" s="12"/>
    </row>
    <row r="286">
      <c r="G286" s="137"/>
      <c r="K286" s="137"/>
      <c r="L286" s="137"/>
      <c r="M286" s="138"/>
      <c r="N286" s="12"/>
      <c r="O286" s="12"/>
    </row>
    <row r="287">
      <c r="G287" s="137"/>
      <c r="K287" s="137"/>
      <c r="L287" s="137"/>
      <c r="M287" s="138"/>
      <c r="N287" s="12"/>
      <c r="O287" s="12"/>
    </row>
    <row r="288">
      <c r="G288" s="137"/>
      <c r="K288" s="137"/>
      <c r="L288" s="137"/>
      <c r="M288" s="138"/>
      <c r="N288" s="12"/>
      <c r="O288" s="12"/>
    </row>
    <row r="289">
      <c r="G289" s="137"/>
      <c r="K289" s="137"/>
      <c r="L289" s="137"/>
      <c r="M289" s="138"/>
      <c r="N289" s="12"/>
      <c r="O289" s="12"/>
    </row>
    <row r="290">
      <c r="G290" s="137"/>
      <c r="K290" s="137"/>
      <c r="L290" s="137"/>
      <c r="M290" s="138"/>
      <c r="N290" s="12"/>
      <c r="O290" s="12"/>
    </row>
    <row r="291">
      <c r="G291" s="137"/>
      <c r="K291" s="137"/>
      <c r="L291" s="137"/>
      <c r="M291" s="138"/>
      <c r="N291" s="12"/>
      <c r="O291" s="12"/>
    </row>
    <row r="292">
      <c r="G292" s="137"/>
      <c r="K292" s="137"/>
      <c r="L292" s="137"/>
      <c r="M292" s="138"/>
      <c r="N292" s="12"/>
      <c r="O292" s="12"/>
    </row>
    <row r="293">
      <c r="G293" s="137"/>
      <c r="K293" s="137"/>
      <c r="L293" s="137"/>
      <c r="M293" s="138"/>
      <c r="N293" s="12"/>
      <c r="O293" s="12"/>
    </row>
    <row r="294">
      <c r="G294" s="137"/>
      <c r="K294" s="137"/>
      <c r="L294" s="137"/>
      <c r="M294" s="138"/>
      <c r="N294" s="12"/>
      <c r="O294" s="12"/>
    </row>
    <row r="295">
      <c r="G295" s="137"/>
      <c r="K295" s="137"/>
      <c r="L295" s="137"/>
      <c r="M295" s="138"/>
      <c r="N295" s="12"/>
      <c r="O295" s="12"/>
    </row>
    <row r="296">
      <c r="G296" s="137"/>
      <c r="K296" s="137"/>
      <c r="L296" s="137"/>
      <c r="M296" s="138"/>
      <c r="N296" s="12"/>
      <c r="O296" s="12"/>
    </row>
    <row r="297">
      <c r="G297" s="137"/>
      <c r="K297" s="137"/>
      <c r="L297" s="137"/>
      <c r="M297" s="138"/>
      <c r="N297" s="12"/>
      <c r="O297" s="12"/>
    </row>
    <row r="298">
      <c r="G298" s="137"/>
      <c r="K298" s="137"/>
      <c r="L298" s="137"/>
      <c r="M298" s="138"/>
      <c r="N298" s="12"/>
      <c r="O298" s="12"/>
    </row>
    <row r="299">
      <c r="G299" s="137"/>
      <c r="K299" s="137"/>
      <c r="L299" s="137"/>
      <c r="M299" s="138"/>
      <c r="N299" s="12"/>
      <c r="O299" s="12"/>
    </row>
    <row r="300">
      <c r="G300" s="137"/>
      <c r="K300" s="137"/>
      <c r="L300" s="137"/>
      <c r="M300" s="138"/>
      <c r="N300" s="12"/>
      <c r="O300" s="12"/>
    </row>
    <row r="301">
      <c r="G301" s="137"/>
      <c r="K301" s="137"/>
      <c r="L301" s="137"/>
      <c r="M301" s="138"/>
      <c r="N301" s="12"/>
      <c r="O301" s="12"/>
    </row>
    <row r="302">
      <c r="G302" s="137"/>
      <c r="K302" s="137"/>
      <c r="L302" s="137"/>
      <c r="M302" s="138"/>
      <c r="N302" s="12"/>
      <c r="O302" s="12"/>
    </row>
    <row r="303">
      <c r="G303" s="137"/>
      <c r="K303" s="137"/>
      <c r="L303" s="137"/>
      <c r="M303" s="138"/>
      <c r="N303" s="12"/>
      <c r="O303" s="12"/>
    </row>
    <row r="304">
      <c r="G304" s="137"/>
      <c r="K304" s="137"/>
      <c r="L304" s="137"/>
      <c r="M304" s="138"/>
      <c r="N304" s="12"/>
      <c r="O304" s="12"/>
    </row>
    <row r="305">
      <c r="G305" s="137"/>
      <c r="K305" s="137"/>
      <c r="L305" s="137"/>
      <c r="M305" s="138"/>
      <c r="N305" s="12"/>
      <c r="O305" s="12"/>
    </row>
    <row r="306">
      <c r="G306" s="137"/>
      <c r="K306" s="137"/>
      <c r="L306" s="137"/>
      <c r="M306" s="138"/>
      <c r="N306" s="12"/>
      <c r="O306" s="12"/>
    </row>
    <row r="307">
      <c r="G307" s="137"/>
      <c r="K307" s="137"/>
      <c r="L307" s="137"/>
      <c r="M307" s="138"/>
      <c r="N307" s="12"/>
      <c r="O307" s="12"/>
    </row>
    <row r="308">
      <c r="G308" s="137"/>
      <c r="K308" s="137"/>
      <c r="L308" s="137"/>
      <c r="M308" s="138"/>
      <c r="N308" s="12"/>
      <c r="O308" s="12"/>
    </row>
    <row r="309">
      <c r="G309" s="137"/>
      <c r="K309" s="137"/>
      <c r="L309" s="137"/>
      <c r="M309" s="138"/>
      <c r="N309" s="12"/>
      <c r="O309" s="12"/>
    </row>
    <row r="310">
      <c r="G310" s="137"/>
      <c r="K310" s="137"/>
      <c r="L310" s="137"/>
      <c r="M310" s="138"/>
      <c r="N310" s="12"/>
      <c r="O310" s="12"/>
    </row>
    <row r="311">
      <c r="G311" s="137"/>
      <c r="K311" s="137"/>
      <c r="L311" s="137"/>
      <c r="M311" s="138"/>
      <c r="N311" s="12"/>
      <c r="O311" s="12"/>
    </row>
    <row r="312">
      <c r="G312" s="137"/>
      <c r="K312" s="137"/>
      <c r="L312" s="137"/>
      <c r="M312" s="138"/>
      <c r="N312" s="12"/>
      <c r="O312" s="12"/>
    </row>
    <row r="313">
      <c r="G313" s="137"/>
      <c r="K313" s="137"/>
      <c r="L313" s="137"/>
      <c r="M313" s="138"/>
      <c r="N313" s="12"/>
      <c r="O313" s="12"/>
    </row>
    <row r="314">
      <c r="G314" s="137"/>
      <c r="K314" s="137"/>
      <c r="L314" s="137"/>
      <c r="M314" s="138"/>
      <c r="N314" s="12"/>
      <c r="O314" s="12"/>
    </row>
    <row r="315">
      <c r="G315" s="137"/>
      <c r="K315" s="137"/>
      <c r="L315" s="137"/>
      <c r="M315" s="138"/>
      <c r="N315" s="12"/>
      <c r="O315" s="12"/>
    </row>
    <row r="316">
      <c r="G316" s="137"/>
      <c r="K316" s="137"/>
      <c r="L316" s="137"/>
      <c r="M316" s="138"/>
      <c r="N316" s="12"/>
      <c r="O316" s="12"/>
    </row>
    <row r="317">
      <c r="G317" s="137"/>
      <c r="K317" s="137"/>
      <c r="L317" s="137"/>
      <c r="M317" s="138"/>
      <c r="N317" s="12"/>
      <c r="O317" s="12"/>
    </row>
    <row r="318">
      <c r="G318" s="137"/>
      <c r="K318" s="137"/>
      <c r="L318" s="137"/>
      <c r="M318" s="138"/>
      <c r="N318" s="12"/>
      <c r="O318" s="12"/>
    </row>
    <row r="319">
      <c r="G319" s="137"/>
      <c r="K319" s="137"/>
      <c r="L319" s="137"/>
      <c r="M319" s="138"/>
      <c r="N319" s="12"/>
      <c r="O319" s="12"/>
    </row>
    <row r="320">
      <c r="G320" s="137"/>
      <c r="K320" s="137"/>
      <c r="L320" s="137"/>
      <c r="M320" s="138"/>
      <c r="N320" s="12"/>
      <c r="O320" s="12"/>
    </row>
    <row r="321">
      <c r="G321" s="137"/>
      <c r="K321" s="137"/>
      <c r="L321" s="137"/>
      <c r="M321" s="138"/>
      <c r="N321" s="12"/>
      <c r="O321" s="12"/>
    </row>
    <row r="322">
      <c r="G322" s="137"/>
      <c r="K322" s="137"/>
      <c r="L322" s="137"/>
      <c r="M322" s="138"/>
      <c r="N322" s="12"/>
      <c r="O322" s="12"/>
    </row>
    <row r="323">
      <c r="G323" s="137"/>
      <c r="K323" s="137"/>
      <c r="L323" s="137"/>
      <c r="M323" s="138"/>
      <c r="N323" s="12"/>
      <c r="O323" s="12"/>
    </row>
    <row r="324">
      <c r="G324" s="137"/>
      <c r="K324" s="137"/>
      <c r="L324" s="137"/>
      <c r="M324" s="138"/>
      <c r="N324" s="12"/>
      <c r="O324" s="12"/>
    </row>
    <row r="325">
      <c r="G325" s="137"/>
      <c r="K325" s="137"/>
      <c r="L325" s="137"/>
      <c r="M325" s="138"/>
      <c r="N325" s="12"/>
      <c r="O325" s="12"/>
    </row>
    <row r="326">
      <c r="G326" s="137"/>
      <c r="K326" s="137"/>
      <c r="L326" s="137"/>
      <c r="M326" s="138"/>
      <c r="N326" s="12"/>
      <c r="O326" s="12"/>
    </row>
    <row r="327">
      <c r="G327" s="137"/>
      <c r="K327" s="137"/>
      <c r="L327" s="137"/>
      <c r="M327" s="138"/>
      <c r="N327" s="12"/>
      <c r="O327" s="12"/>
    </row>
    <row r="328">
      <c r="G328" s="137"/>
      <c r="K328" s="137"/>
      <c r="L328" s="137"/>
      <c r="M328" s="138"/>
      <c r="N328" s="12"/>
      <c r="O328" s="12"/>
    </row>
    <row r="329">
      <c r="G329" s="137"/>
      <c r="K329" s="137"/>
      <c r="L329" s="137"/>
      <c r="M329" s="138"/>
      <c r="N329" s="12"/>
      <c r="O329" s="12"/>
    </row>
    <row r="330">
      <c r="G330" s="137"/>
      <c r="K330" s="137"/>
      <c r="L330" s="137"/>
      <c r="M330" s="138"/>
      <c r="N330" s="12"/>
      <c r="O330" s="12"/>
    </row>
    <row r="331">
      <c r="G331" s="137"/>
      <c r="K331" s="137"/>
      <c r="L331" s="137"/>
      <c r="M331" s="138"/>
      <c r="N331" s="12"/>
      <c r="O331" s="12"/>
    </row>
    <row r="332">
      <c r="G332" s="137"/>
      <c r="K332" s="137"/>
      <c r="L332" s="137"/>
      <c r="M332" s="138"/>
      <c r="N332" s="12"/>
      <c r="O332" s="12"/>
    </row>
    <row r="333">
      <c r="G333" s="137"/>
      <c r="K333" s="137"/>
      <c r="L333" s="137"/>
      <c r="M333" s="138"/>
      <c r="N333" s="12"/>
      <c r="O333" s="12"/>
    </row>
    <row r="334">
      <c r="G334" s="137"/>
      <c r="K334" s="137"/>
      <c r="L334" s="137"/>
      <c r="M334" s="138"/>
      <c r="N334" s="12"/>
      <c r="O334" s="12"/>
    </row>
    <row r="335">
      <c r="G335" s="137"/>
      <c r="K335" s="137"/>
      <c r="L335" s="137"/>
      <c r="M335" s="138"/>
      <c r="N335" s="12"/>
      <c r="O335" s="12"/>
    </row>
    <row r="336">
      <c r="G336" s="137"/>
      <c r="K336" s="137"/>
      <c r="L336" s="137"/>
      <c r="M336" s="138"/>
      <c r="N336" s="12"/>
      <c r="O336" s="12"/>
    </row>
    <row r="337">
      <c r="G337" s="137"/>
      <c r="K337" s="137"/>
      <c r="L337" s="137"/>
      <c r="M337" s="138"/>
      <c r="N337" s="12"/>
      <c r="O337" s="12"/>
    </row>
    <row r="338">
      <c r="G338" s="137"/>
      <c r="K338" s="137"/>
      <c r="L338" s="137"/>
      <c r="M338" s="138"/>
      <c r="N338" s="12"/>
      <c r="O338" s="12"/>
    </row>
    <row r="339">
      <c r="G339" s="137"/>
      <c r="K339" s="137"/>
      <c r="L339" s="137"/>
      <c r="M339" s="138"/>
      <c r="N339" s="12"/>
      <c r="O339" s="12"/>
    </row>
    <row r="340">
      <c r="G340" s="137"/>
      <c r="K340" s="137"/>
      <c r="L340" s="137"/>
      <c r="M340" s="138"/>
      <c r="N340" s="12"/>
      <c r="O340" s="12"/>
    </row>
    <row r="341">
      <c r="G341" s="137"/>
      <c r="K341" s="137"/>
      <c r="L341" s="137"/>
      <c r="M341" s="138"/>
      <c r="N341" s="12"/>
      <c r="O341" s="12"/>
    </row>
    <row r="342">
      <c r="G342" s="137"/>
      <c r="K342" s="137"/>
      <c r="L342" s="137"/>
      <c r="M342" s="138"/>
      <c r="N342" s="12"/>
      <c r="O342" s="12"/>
    </row>
    <row r="343">
      <c r="G343" s="137"/>
      <c r="K343" s="137"/>
      <c r="L343" s="137"/>
      <c r="M343" s="138"/>
      <c r="N343" s="12"/>
      <c r="O343" s="12"/>
    </row>
    <row r="344">
      <c r="G344" s="137"/>
      <c r="K344" s="137"/>
      <c r="L344" s="137"/>
      <c r="M344" s="138"/>
      <c r="N344" s="12"/>
      <c r="O344" s="12"/>
    </row>
    <row r="345">
      <c r="G345" s="137"/>
      <c r="K345" s="137"/>
      <c r="L345" s="137"/>
      <c r="M345" s="138"/>
      <c r="N345" s="12"/>
      <c r="O345" s="12"/>
    </row>
    <row r="346">
      <c r="G346" s="137"/>
      <c r="K346" s="137"/>
      <c r="L346" s="137"/>
      <c r="M346" s="138"/>
      <c r="N346" s="12"/>
      <c r="O346" s="12"/>
    </row>
    <row r="347">
      <c r="G347" s="137"/>
      <c r="K347" s="137"/>
      <c r="L347" s="137"/>
      <c r="M347" s="138"/>
      <c r="N347" s="12"/>
      <c r="O347" s="12"/>
    </row>
    <row r="348">
      <c r="G348" s="137"/>
      <c r="K348" s="137"/>
      <c r="L348" s="137"/>
      <c r="M348" s="138"/>
      <c r="N348" s="12"/>
      <c r="O348" s="12"/>
    </row>
    <row r="349">
      <c r="G349" s="137"/>
      <c r="K349" s="137"/>
      <c r="L349" s="137"/>
      <c r="M349" s="138"/>
      <c r="N349" s="12"/>
      <c r="O349" s="12"/>
    </row>
    <row r="350">
      <c r="G350" s="137"/>
      <c r="K350" s="137"/>
      <c r="L350" s="137"/>
      <c r="M350" s="138"/>
      <c r="N350" s="12"/>
      <c r="O350" s="12"/>
    </row>
    <row r="351">
      <c r="G351" s="137"/>
      <c r="K351" s="137"/>
      <c r="L351" s="137"/>
      <c r="M351" s="138"/>
      <c r="N351" s="12"/>
      <c r="O351" s="12"/>
    </row>
    <row r="352">
      <c r="G352" s="137"/>
      <c r="K352" s="137"/>
      <c r="L352" s="137"/>
      <c r="M352" s="138"/>
      <c r="N352" s="12"/>
      <c r="O352" s="12"/>
    </row>
    <row r="353">
      <c r="G353" s="137"/>
      <c r="K353" s="137"/>
      <c r="L353" s="137"/>
      <c r="M353" s="138"/>
      <c r="N353" s="12"/>
      <c r="O353" s="12"/>
    </row>
    <row r="354">
      <c r="G354" s="137"/>
      <c r="K354" s="137"/>
      <c r="L354" s="137"/>
      <c r="M354" s="138"/>
      <c r="N354" s="12"/>
      <c r="O354" s="12"/>
    </row>
    <row r="355">
      <c r="G355" s="137"/>
      <c r="K355" s="137"/>
      <c r="L355" s="137"/>
      <c r="M355" s="138"/>
      <c r="N355" s="12"/>
      <c r="O355" s="12"/>
    </row>
    <row r="356">
      <c r="G356" s="137"/>
      <c r="K356" s="137"/>
      <c r="L356" s="137"/>
      <c r="M356" s="138"/>
      <c r="N356" s="12"/>
      <c r="O356" s="12"/>
    </row>
    <row r="357">
      <c r="G357" s="137"/>
      <c r="K357" s="137"/>
      <c r="L357" s="137"/>
      <c r="M357" s="138"/>
      <c r="N357" s="12"/>
      <c r="O357" s="12"/>
    </row>
    <row r="358">
      <c r="G358" s="137"/>
      <c r="K358" s="137"/>
      <c r="L358" s="137"/>
      <c r="M358" s="138"/>
      <c r="N358" s="12"/>
      <c r="O358" s="12"/>
    </row>
    <row r="359">
      <c r="G359" s="137"/>
      <c r="K359" s="137"/>
      <c r="L359" s="137"/>
      <c r="M359" s="138"/>
      <c r="N359" s="12"/>
      <c r="O359" s="12"/>
    </row>
    <row r="360">
      <c r="G360" s="137"/>
      <c r="K360" s="137"/>
      <c r="L360" s="137"/>
      <c r="M360" s="138"/>
      <c r="N360" s="12"/>
      <c r="O360" s="12"/>
    </row>
    <row r="361">
      <c r="G361" s="137"/>
      <c r="K361" s="137"/>
      <c r="L361" s="137"/>
      <c r="M361" s="138"/>
      <c r="N361" s="12"/>
      <c r="O361" s="12"/>
    </row>
    <row r="362">
      <c r="G362" s="137"/>
      <c r="K362" s="137"/>
      <c r="L362" s="137"/>
      <c r="M362" s="138"/>
      <c r="N362" s="12"/>
      <c r="O362" s="12"/>
    </row>
    <row r="363">
      <c r="G363" s="137"/>
      <c r="K363" s="137"/>
      <c r="L363" s="137"/>
      <c r="M363" s="138"/>
      <c r="N363" s="12"/>
      <c r="O363" s="12"/>
    </row>
    <row r="364">
      <c r="G364" s="137"/>
      <c r="K364" s="137"/>
      <c r="L364" s="137"/>
      <c r="M364" s="138"/>
      <c r="N364" s="12"/>
      <c r="O364" s="12"/>
    </row>
    <row r="365">
      <c r="G365" s="137"/>
      <c r="K365" s="137"/>
      <c r="L365" s="137"/>
      <c r="M365" s="138"/>
      <c r="N365" s="12"/>
      <c r="O365" s="12"/>
    </row>
    <row r="366">
      <c r="G366" s="137"/>
      <c r="K366" s="137"/>
      <c r="L366" s="137"/>
      <c r="M366" s="138"/>
      <c r="N366" s="12"/>
      <c r="O366" s="12"/>
    </row>
    <row r="367">
      <c r="G367" s="137"/>
      <c r="K367" s="137"/>
      <c r="L367" s="137"/>
      <c r="M367" s="138"/>
      <c r="N367" s="12"/>
      <c r="O367" s="12"/>
    </row>
    <row r="368">
      <c r="G368" s="137"/>
      <c r="K368" s="137"/>
      <c r="L368" s="137"/>
      <c r="M368" s="138"/>
      <c r="N368" s="12"/>
      <c r="O368" s="12"/>
    </row>
    <row r="369">
      <c r="G369" s="137"/>
      <c r="K369" s="137"/>
      <c r="L369" s="137"/>
      <c r="M369" s="138"/>
      <c r="N369" s="12"/>
      <c r="O369" s="12"/>
    </row>
    <row r="370">
      <c r="G370" s="137"/>
      <c r="K370" s="137"/>
      <c r="L370" s="137"/>
      <c r="M370" s="138"/>
      <c r="N370" s="12"/>
      <c r="O370" s="12"/>
    </row>
    <row r="371">
      <c r="G371" s="137"/>
      <c r="K371" s="137"/>
      <c r="L371" s="137"/>
      <c r="M371" s="138"/>
      <c r="N371" s="12"/>
      <c r="O371" s="12"/>
    </row>
    <row r="372">
      <c r="G372" s="137"/>
      <c r="K372" s="137"/>
      <c r="L372" s="137"/>
      <c r="M372" s="138"/>
      <c r="N372" s="12"/>
      <c r="O372" s="12"/>
    </row>
    <row r="373">
      <c r="G373" s="137"/>
      <c r="K373" s="137"/>
      <c r="L373" s="137"/>
      <c r="M373" s="138"/>
      <c r="N373" s="12"/>
      <c r="O373" s="12"/>
    </row>
    <row r="374">
      <c r="G374" s="137"/>
      <c r="K374" s="137"/>
      <c r="L374" s="137"/>
      <c r="M374" s="138"/>
      <c r="N374" s="12"/>
      <c r="O374" s="12"/>
    </row>
    <row r="375">
      <c r="G375" s="137"/>
      <c r="K375" s="137"/>
      <c r="L375" s="137"/>
      <c r="M375" s="138"/>
      <c r="N375" s="12"/>
      <c r="O375" s="12"/>
    </row>
    <row r="376">
      <c r="G376" s="137"/>
      <c r="K376" s="137"/>
      <c r="L376" s="137"/>
      <c r="M376" s="138"/>
      <c r="N376" s="12"/>
      <c r="O376" s="12"/>
    </row>
    <row r="377">
      <c r="G377" s="137"/>
      <c r="K377" s="137"/>
      <c r="L377" s="137"/>
      <c r="M377" s="138"/>
      <c r="N377" s="12"/>
      <c r="O377" s="12"/>
    </row>
    <row r="378">
      <c r="G378" s="137"/>
      <c r="K378" s="137"/>
      <c r="L378" s="137"/>
      <c r="M378" s="138"/>
      <c r="N378" s="12"/>
      <c r="O378" s="12"/>
    </row>
    <row r="379">
      <c r="G379" s="137"/>
      <c r="K379" s="137"/>
      <c r="L379" s="137"/>
      <c r="M379" s="138"/>
      <c r="N379" s="12"/>
      <c r="O379" s="12"/>
    </row>
    <row r="380">
      <c r="G380" s="137"/>
      <c r="K380" s="137"/>
      <c r="L380" s="137"/>
      <c r="M380" s="138"/>
      <c r="N380" s="12"/>
      <c r="O380" s="12"/>
    </row>
    <row r="381">
      <c r="G381" s="137"/>
      <c r="K381" s="137"/>
      <c r="L381" s="137"/>
      <c r="M381" s="138"/>
      <c r="N381" s="12"/>
      <c r="O381" s="12"/>
    </row>
    <row r="382">
      <c r="G382" s="137"/>
      <c r="K382" s="137"/>
      <c r="L382" s="137"/>
      <c r="M382" s="138"/>
      <c r="N382" s="12"/>
      <c r="O382" s="12"/>
    </row>
    <row r="383">
      <c r="G383" s="137"/>
      <c r="K383" s="137"/>
      <c r="L383" s="137"/>
      <c r="M383" s="138"/>
      <c r="N383" s="12"/>
      <c r="O383" s="12"/>
    </row>
    <row r="384">
      <c r="G384" s="137"/>
      <c r="K384" s="137"/>
      <c r="L384" s="137"/>
      <c r="M384" s="138"/>
      <c r="N384" s="12"/>
      <c r="O384" s="12"/>
    </row>
    <row r="385">
      <c r="G385" s="137"/>
      <c r="K385" s="137"/>
      <c r="L385" s="137"/>
      <c r="M385" s="138"/>
      <c r="N385" s="12"/>
      <c r="O385" s="12"/>
    </row>
    <row r="386">
      <c r="G386" s="137"/>
      <c r="K386" s="137"/>
      <c r="L386" s="137"/>
      <c r="M386" s="138"/>
      <c r="N386" s="12"/>
      <c r="O386" s="12"/>
    </row>
    <row r="387">
      <c r="G387" s="137"/>
      <c r="K387" s="137"/>
      <c r="L387" s="137"/>
      <c r="M387" s="138"/>
      <c r="N387" s="12"/>
      <c r="O387" s="12"/>
    </row>
    <row r="388">
      <c r="G388" s="137"/>
      <c r="K388" s="137"/>
      <c r="L388" s="137"/>
      <c r="M388" s="138"/>
      <c r="N388" s="12"/>
      <c r="O388" s="12"/>
    </row>
    <row r="389">
      <c r="G389" s="137"/>
      <c r="K389" s="137"/>
      <c r="L389" s="137"/>
      <c r="M389" s="138"/>
      <c r="N389" s="12"/>
      <c r="O389" s="12"/>
    </row>
    <row r="390">
      <c r="G390" s="137"/>
      <c r="K390" s="137"/>
      <c r="L390" s="137"/>
      <c r="M390" s="138"/>
      <c r="N390" s="12"/>
      <c r="O390" s="12"/>
    </row>
    <row r="391">
      <c r="G391" s="137"/>
      <c r="K391" s="137"/>
      <c r="L391" s="137"/>
      <c r="M391" s="138"/>
      <c r="N391" s="12"/>
      <c r="O391" s="12"/>
    </row>
    <row r="392">
      <c r="G392" s="137"/>
      <c r="K392" s="137"/>
      <c r="L392" s="137"/>
      <c r="M392" s="138"/>
      <c r="N392" s="12"/>
      <c r="O392" s="12"/>
    </row>
    <row r="393">
      <c r="G393" s="137"/>
      <c r="K393" s="137"/>
      <c r="L393" s="137"/>
      <c r="M393" s="138"/>
      <c r="N393" s="12"/>
      <c r="O393" s="12"/>
    </row>
    <row r="394">
      <c r="G394" s="137"/>
      <c r="K394" s="137"/>
      <c r="L394" s="137"/>
      <c r="M394" s="138"/>
      <c r="N394" s="12"/>
      <c r="O394" s="12"/>
    </row>
    <row r="395">
      <c r="G395" s="137"/>
      <c r="K395" s="137"/>
      <c r="L395" s="137"/>
      <c r="M395" s="138"/>
      <c r="N395" s="12"/>
      <c r="O395" s="12"/>
    </row>
    <row r="396">
      <c r="G396" s="137"/>
      <c r="K396" s="137"/>
      <c r="L396" s="137"/>
      <c r="M396" s="138"/>
      <c r="N396" s="12"/>
      <c r="O396" s="12"/>
    </row>
    <row r="397">
      <c r="G397" s="137"/>
      <c r="K397" s="137"/>
      <c r="L397" s="137"/>
      <c r="M397" s="138"/>
      <c r="N397" s="12"/>
      <c r="O397" s="12"/>
    </row>
    <row r="398">
      <c r="G398" s="137"/>
      <c r="K398" s="137"/>
      <c r="L398" s="137"/>
      <c r="M398" s="138"/>
      <c r="N398" s="12"/>
      <c r="O398" s="12"/>
    </row>
    <row r="399">
      <c r="G399" s="137"/>
      <c r="K399" s="137"/>
      <c r="L399" s="137"/>
      <c r="M399" s="138"/>
      <c r="N399" s="12"/>
      <c r="O399" s="12"/>
    </row>
    <row r="400">
      <c r="G400" s="137"/>
      <c r="K400" s="137"/>
      <c r="L400" s="137"/>
      <c r="M400" s="138"/>
      <c r="N400" s="12"/>
      <c r="O400" s="12"/>
    </row>
    <row r="401">
      <c r="G401" s="137"/>
      <c r="K401" s="137"/>
      <c r="L401" s="137"/>
      <c r="M401" s="138"/>
      <c r="N401" s="12"/>
      <c r="O401" s="12"/>
    </row>
    <row r="402">
      <c r="G402" s="137"/>
      <c r="K402" s="137"/>
      <c r="L402" s="137"/>
      <c r="M402" s="138"/>
      <c r="N402" s="12"/>
      <c r="O402" s="12"/>
    </row>
    <row r="403">
      <c r="G403" s="137"/>
      <c r="K403" s="137"/>
      <c r="L403" s="137"/>
      <c r="M403" s="138"/>
      <c r="N403" s="12"/>
      <c r="O403" s="12"/>
    </row>
    <row r="404">
      <c r="G404" s="137"/>
      <c r="K404" s="137"/>
      <c r="L404" s="137"/>
      <c r="M404" s="138"/>
      <c r="N404" s="12"/>
      <c r="O404" s="12"/>
    </row>
    <row r="405">
      <c r="G405" s="137"/>
      <c r="K405" s="137"/>
      <c r="L405" s="137"/>
      <c r="M405" s="138"/>
      <c r="N405" s="12"/>
      <c r="O405" s="12"/>
    </row>
    <row r="406">
      <c r="G406" s="137"/>
      <c r="K406" s="137"/>
      <c r="L406" s="137"/>
      <c r="M406" s="138"/>
      <c r="N406" s="12"/>
      <c r="O406" s="12"/>
    </row>
    <row r="407">
      <c r="G407" s="137"/>
      <c r="K407" s="137"/>
      <c r="L407" s="137"/>
      <c r="M407" s="138"/>
      <c r="N407" s="12"/>
      <c r="O407" s="12"/>
    </row>
    <row r="408">
      <c r="G408" s="137"/>
      <c r="K408" s="137"/>
      <c r="L408" s="137"/>
      <c r="M408" s="138"/>
      <c r="N408" s="12"/>
      <c r="O408" s="12"/>
    </row>
    <row r="409">
      <c r="G409" s="137"/>
      <c r="K409" s="137"/>
      <c r="L409" s="137"/>
      <c r="M409" s="138"/>
      <c r="N409" s="12"/>
      <c r="O409" s="12"/>
    </row>
    <row r="410">
      <c r="G410" s="137"/>
      <c r="K410" s="137"/>
      <c r="L410" s="137"/>
      <c r="M410" s="138"/>
      <c r="N410" s="12"/>
      <c r="O410" s="12"/>
    </row>
    <row r="411">
      <c r="G411" s="137"/>
      <c r="K411" s="137"/>
      <c r="L411" s="137"/>
      <c r="M411" s="138"/>
      <c r="N411" s="12"/>
      <c r="O411" s="12"/>
    </row>
    <row r="412">
      <c r="G412" s="137"/>
      <c r="K412" s="137"/>
      <c r="L412" s="137"/>
      <c r="M412" s="138"/>
      <c r="N412" s="12"/>
      <c r="O412" s="12"/>
    </row>
    <row r="413">
      <c r="G413" s="137"/>
      <c r="K413" s="137"/>
      <c r="L413" s="137"/>
      <c r="M413" s="138"/>
      <c r="N413" s="12"/>
      <c r="O413" s="12"/>
    </row>
    <row r="414">
      <c r="G414" s="137"/>
      <c r="K414" s="137"/>
      <c r="L414" s="137"/>
      <c r="M414" s="138"/>
      <c r="N414" s="12"/>
      <c r="O414" s="12"/>
    </row>
    <row r="415">
      <c r="G415" s="137"/>
      <c r="K415" s="137"/>
      <c r="L415" s="137"/>
      <c r="M415" s="138"/>
      <c r="N415" s="12"/>
      <c r="O415" s="12"/>
    </row>
    <row r="416">
      <c r="G416" s="137"/>
      <c r="K416" s="137"/>
      <c r="L416" s="137"/>
      <c r="M416" s="138"/>
      <c r="N416" s="12"/>
      <c r="O416" s="12"/>
    </row>
    <row r="417">
      <c r="G417" s="137"/>
      <c r="K417" s="137"/>
      <c r="L417" s="137"/>
      <c r="M417" s="138"/>
      <c r="N417" s="12"/>
      <c r="O417" s="12"/>
    </row>
    <row r="418">
      <c r="G418" s="137"/>
      <c r="K418" s="137"/>
      <c r="L418" s="137"/>
      <c r="M418" s="138"/>
      <c r="N418" s="12"/>
      <c r="O418" s="12"/>
    </row>
    <row r="419">
      <c r="G419" s="137"/>
      <c r="K419" s="137"/>
      <c r="L419" s="137"/>
      <c r="M419" s="138"/>
      <c r="N419" s="12"/>
      <c r="O419" s="12"/>
    </row>
    <row r="420">
      <c r="G420" s="137"/>
      <c r="K420" s="137"/>
      <c r="L420" s="137"/>
      <c r="M420" s="138"/>
      <c r="N420" s="12"/>
      <c r="O420" s="12"/>
    </row>
    <row r="421">
      <c r="G421" s="137"/>
      <c r="K421" s="137"/>
      <c r="L421" s="137"/>
      <c r="M421" s="138"/>
      <c r="N421" s="12"/>
      <c r="O421" s="12"/>
    </row>
    <row r="422">
      <c r="G422" s="137"/>
      <c r="K422" s="137"/>
      <c r="L422" s="137"/>
      <c r="M422" s="138"/>
      <c r="N422" s="12"/>
      <c r="O422" s="12"/>
    </row>
    <row r="423">
      <c r="G423" s="137"/>
      <c r="K423" s="137"/>
      <c r="L423" s="137"/>
      <c r="M423" s="138"/>
      <c r="N423" s="12"/>
      <c r="O423" s="12"/>
    </row>
    <row r="424">
      <c r="G424" s="137"/>
      <c r="K424" s="137"/>
      <c r="L424" s="137"/>
      <c r="M424" s="138"/>
      <c r="N424" s="12"/>
      <c r="O424" s="12"/>
    </row>
    <row r="425">
      <c r="G425" s="137"/>
      <c r="K425" s="137"/>
      <c r="L425" s="137"/>
      <c r="M425" s="138"/>
      <c r="N425" s="12"/>
      <c r="O425" s="12"/>
    </row>
    <row r="426">
      <c r="G426" s="137"/>
      <c r="K426" s="137"/>
      <c r="L426" s="137"/>
      <c r="M426" s="138"/>
      <c r="N426" s="12"/>
      <c r="O426" s="12"/>
    </row>
    <row r="427">
      <c r="G427" s="137"/>
      <c r="K427" s="137"/>
      <c r="L427" s="137"/>
      <c r="M427" s="138"/>
      <c r="N427" s="12"/>
      <c r="O427" s="12"/>
    </row>
    <row r="428">
      <c r="G428" s="137"/>
      <c r="K428" s="137"/>
      <c r="L428" s="137"/>
      <c r="M428" s="138"/>
      <c r="N428" s="12"/>
      <c r="O428" s="12"/>
    </row>
    <row r="429">
      <c r="G429" s="137"/>
      <c r="K429" s="137"/>
      <c r="L429" s="137"/>
      <c r="M429" s="138"/>
      <c r="N429" s="12"/>
      <c r="O429" s="12"/>
    </row>
    <row r="430">
      <c r="G430" s="137"/>
      <c r="K430" s="137"/>
      <c r="L430" s="137"/>
      <c r="M430" s="138"/>
      <c r="N430" s="12"/>
      <c r="O430" s="12"/>
    </row>
    <row r="431">
      <c r="G431" s="137"/>
      <c r="K431" s="137"/>
      <c r="L431" s="137"/>
      <c r="M431" s="138"/>
      <c r="N431" s="12"/>
      <c r="O431" s="12"/>
    </row>
    <row r="432">
      <c r="G432" s="137"/>
      <c r="K432" s="137"/>
      <c r="L432" s="137"/>
      <c r="M432" s="138"/>
      <c r="N432" s="12"/>
      <c r="O432" s="12"/>
    </row>
    <row r="433">
      <c r="G433" s="137"/>
      <c r="K433" s="137"/>
      <c r="L433" s="137"/>
      <c r="M433" s="138"/>
      <c r="N433" s="12"/>
      <c r="O433" s="12"/>
    </row>
    <row r="434">
      <c r="G434" s="137"/>
      <c r="K434" s="137"/>
      <c r="L434" s="137"/>
      <c r="M434" s="138"/>
      <c r="N434" s="12"/>
      <c r="O434" s="12"/>
    </row>
    <row r="435">
      <c r="G435" s="137"/>
      <c r="K435" s="137"/>
      <c r="L435" s="137"/>
      <c r="M435" s="138"/>
      <c r="N435" s="12"/>
      <c r="O435" s="12"/>
    </row>
    <row r="436">
      <c r="G436" s="137"/>
      <c r="K436" s="137"/>
      <c r="L436" s="137"/>
      <c r="M436" s="138"/>
      <c r="N436" s="12"/>
      <c r="O436" s="12"/>
    </row>
    <row r="437">
      <c r="G437" s="137"/>
      <c r="K437" s="137"/>
      <c r="L437" s="137"/>
      <c r="M437" s="138"/>
      <c r="N437" s="12"/>
      <c r="O437" s="12"/>
    </row>
    <row r="438">
      <c r="G438" s="137"/>
      <c r="K438" s="137"/>
      <c r="L438" s="137"/>
      <c r="M438" s="138"/>
      <c r="N438" s="12"/>
      <c r="O438" s="12"/>
    </row>
    <row r="439">
      <c r="G439" s="137"/>
      <c r="K439" s="137"/>
      <c r="L439" s="137"/>
      <c r="M439" s="138"/>
      <c r="N439" s="12"/>
      <c r="O439" s="12"/>
    </row>
    <row r="440">
      <c r="G440" s="137"/>
      <c r="K440" s="137"/>
      <c r="L440" s="137"/>
      <c r="M440" s="138"/>
      <c r="N440" s="12"/>
      <c r="O440" s="12"/>
    </row>
    <row r="441">
      <c r="G441" s="137"/>
      <c r="K441" s="137"/>
      <c r="L441" s="137"/>
      <c r="M441" s="138"/>
      <c r="N441" s="12"/>
      <c r="O441" s="12"/>
    </row>
    <row r="442">
      <c r="G442" s="137"/>
      <c r="K442" s="137"/>
      <c r="L442" s="137"/>
      <c r="M442" s="138"/>
      <c r="N442" s="12"/>
      <c r="O442" s="12"/>
    </row>
    <row r="443">
      <c r="G443" s="137"/>
      <c r="K443" s="137"/>
      <c r="L443" s="137"/>
      <c r="M443" s="138"/>
      <c r="N443" s="12"/>
      <c r="O443" s="12"/>
    </row>
    <row r="444">
      <c r="G444" s="137"/>
      <c r="K444" s="137"/>
      <c r="L444" s="137"/>
      <c r="M444" s="138"/>
      <c r="N444" s="12"/>
      <c r="O444" s="12"/>
    </row>
    <row r="445">
      <c r="G445" s="137"/>
      <c r="K445" s="137"/>
      <c r="L445" s="137"/>
      <c r="M445" s="138"/>
      <c r="N445" s="12"/>
      <c r="O445" s="12"/>
    </row>
    <row r="446">
      <c r="G446" s="137"/>
      <c r="K446" s="137"/>
      <c r="L446" s="137"/>
      <c r="M446" s="138"/>
      <c r="N446" s="12"/>
      <c r="O446" s="12"/>
    </row>
    <row r="447">
      <c r="G447" s="137"/>
      <c r="K447" s="137"/>
      <c r="L447" s="137"/>
      <c r="M447" s="138"/>
      <c r="N447" s="12"/>
      <c r="O447" s="12"/>
    </row>
    <row r="448">
      <c r="G448" s="137"/>
      <c r="K448" s="137"/>
      <c r="L448" s="137"/>
      <c r="M448" s="138"/>
      <c r="N448" s="12"/>
      <c r="O448" s="12"/>
    </row>
    <row r="449">
      <c r="G449" s="137"/>
      <c r="K449" s="137"/>
      <c r="L449" s="137"/>
      <c r="M449" s="138"/>
      <c r="N449" s="12"/>
      <c r="O449" s="12"/>
    </row>
    <row r="450">
      <c r="G450" s="137"/>
      <c r="K450" s="137"/>
      <c r="L450" s="137"/>
      <c r="M450" s="138"/>
      <c r="N450" s="12"/>
      <c r="O450" s="12"/>
    </row>
    <row r="451">
      <c r="G451" s="137"/>
      <c r="K451" s="137"/>
      <c r="L451" s="137"/>
      <c r="M451" s="138"/>
      <c r="N451" s="12"/>
      <c r="O451" s="12"/>
    </row>
    <row r="452">
      <c r="G452" s="137"/>
      <c r="K452" s="137"/>
      <c r="L452" s="137"/>
      <c r="M452" s="138"/>
      <c r="N452" s="12"/>
      <c r="O452" s="12"/>
    </row>
    <row r="453">
      <c r="G453" s="137"/>
      <c r="K453" s="137"/>
      <c r="L453" s="137"/>
      <c r="M453" s="138"/>
      <c r="N453" s="12"/>
      <c r="O453" s="12"/>
    </row>
    <row r="454">
      <c r="G454" s="137"/>
      <c r="K454" s="137"/>
      <c r="L454" s="137"/>
      <c r="M454" s="138"/>
      <c r="N454" s="12"/>
      <c r="O454" s="12"/>
    </row>
    <row r="455">
      <c r="G455" s="137"/>
      <c r="K455" s="137"/>
      <c r="L455" s="137"/>
      <c r="M455" s="138"/>
      <c r="N455" s="12"/>
      <c r="O455" s="12"/>
    </row>
    <row r="456">
      <c r="G456" s="137"/>
      <c r="K456" s="137"/>
      <c r="L456" s="137"/>
      <c r="M456" s="138"/>
      <c r="N456" s="12"/>
      <c r="O456" s="12"/>
    </row>
    <row r="457">
      <c r="G457" s="137"/>
      <c r="K457" s="137"/>
      <c r="L457" s="137"/>
      <c r="M457" s="138"/>
      <c r="N457" s="12"/>
      <c r="O457" s="12"/>
    </row>
    <row r="458">
      <c r="G458" s="137"/>
      <c r="K458" s="137"/>
      <c r="L458" s="137"/>
      <c r="M458" s="138"/>
      <c r="N458" s="12"/>
      <c r="O458" s="12"/>
    </row>
    <row r="459">
      <c r="G459" s="137"/>
      <c r="K459" s="137"/>
      <c r="L459" s="137"/>
      <c r="M459" s="138"/>
      <c r="N459" s="12"/>
      <c r="O459" s="12"/>
    </row>
    <row r="460">
      <c r="G460" s="137"/>
      <c r="K460" s="137"/>
      <c r="L460" s="137"/>
      <c r="M460" s="138"/>
      <c r="N460" s="12"/>
      <c r="O460" s="12"/>
    </row>
    <row r="461">
      <c r="G461" s="137"/>
      <c r="K461" s="137"/>
      <c r="L461" s="137"/>
      <c r="M461" s="138"/>
      <c r="N461" s="12"/>
      <c r="O461" s="12"/>
    </row>
    <row r="462">
      <c r="G462" s="137"/>
      <c r="K462" s="137"/>
      <c r="L462" s="137"/>
      <c r="M462" s="138"/>
      <c r="N462" s="12"/>
      <c r="O462" s="12"/>
    </row>
    <row r="463">
      <c r="G463" s="137"/>
      <c r="K463" s="137"/>
      <c r="L463" s="137"/>
      <c r="M463" s="138"/>
      <c r="N463" s="12"/>
      <c r="O463" s="12"/>
    </row>
    <row r="464">
      <c r="G464" s="137"/>
      <c r="K464" s="137"/>
      <c r="L464" s="137"/>
      <c r="M464" s="138"/>
      <c r="N464" s="12"/>
      <c r="O464" s="12"/>
    </row>
    <row r="465">
      <c r="G465" s="137"/>
      <c r="K465" s="137"/>
      <c r="L465" s="137"/>
      <c r="M465" s="138"/>
      <c r="N465" s="12"/>
      <c r="O465" s="12"/>
    </row>
    <row r="466">
      <c r="G466" s="137"/>
      <c r="K466" s="137"/>
      <c r="L466" s="137"/>
      <c r="M466" s="138"/>
      <c r="N466" s="12"/>
      <c r="O466" s="12"/>
    </row>
    <row r="467">
      <c r="G467" s="137"/>
      <c r="K467" s="137"/>
      <c r="L467" s="137"/>
      <c r="M467" s="138"/>
      <c r="N467" s="12"/>
      <c r="O467" s="12"/>
    </row>
    <row r="468">
      <c r="G468" s="137"/>
      <c r="K468" s="137"/>
      <c r="L468" s="137"/>
      <c r="M468" s="138"/>
      <c r="N468" s="12"/>
      <c r="O468" s="12"/>
    </row>
    <row r="469">
      <c r="G469" s="137"/>
      <c r="K469" s="137"/>
      <c r="L469" s="137"/>
      <c r="M469" s="138"/>
      <c r="N469" s="12"/>
      <c r="O469" s="12"/>
    </row>
    <row r="470">
      <c r="G470" s="137"/>
      <c r="K470" s="137"/>
      <c r="L470" s="137"/>
      <c r="M470" s="138"/>
      <c r="N470" s="12"/>
      <c r="O470" s="12"/>
    </row>
    <row r="471">
      <c r="G471" s="137"/>
      <c r="K471" s="137"/>
      <c r="L471" s="137"/>
      <c r="M471" s="138"/>
      <c r="N471" s="12"/>
      <c r="O471" s="12"/>
    </row>
    <row r="472">
      <c r="G472" s="137"/>
      <c r="K472" s="137"/>
      <c r="L472" s="137"/>
      <c r="M472" s="138"/>
      <c r="N472" s="12"/>
      <c r="O472" s="12"/>
    </row>
    <row r="473">
      <c r="G473" s="137"/>
      <c r="K473" s="137"/>
      <c r="L473" s="137"/>
      <c r="M473" s="138"/>
      <c r="N473" s="12"/>
      <c r="O473" s="12"/>
    </row>
    <row r="474">
      <c r="G474" s="137"/>
      <c r="K474" s="137"/>
      <c r="L474" s="137"/>
      <c r="M474" s="138"/>
      <c r="N474" s="12"/>
      <c r="O474" s="12"/>
    </row>
    <row r="475">
      <c r="G475" s="137"/>
      <c r="K475" s="137"/>
      <c r="L475" s="137"/>
      <c r="M475" s="138"/>
      <c r="N475" s="12"/>
      <c r="O475" s="12"/>
    </row>
    <row r="476">
      <c r="G476" s="137"/>
      <c r="K476" s="137"/>
      <c r="L476" s="137"/>
      <c r="M476" s="138"/>
      <c r="N476" s="12"/>
      <c r="O476" s="12"/>
    </row>
    <row r="477">
      <c r="G477" s="137"/>
      <c r="K477" s="137"/>
      <c r="L477" s="137"/>
      <c r="M477" s="138"/>
      <c r="N477" s="12"/>
      <c r="O477" s="12"/>
    </row>
    <row r="478">
      <c r="G478" s="137"/>
      <c r="K478" s="137"/>
      <c r="L478" s="137"/>
      <c r="M478" s="138"/>
      <c r="N478" s="12"/>
      <c r="O478" s="12"/>
    </row>
    <row r="479">
      <c r="G479" s="137"/>
      <c r="K479" s="137"/>
      <c r="L479" s="137"/>
      <c r="M479" s="138"/>
      <c r="N479" s="12"/>
      <c r="O479" s="12"/>
    </row>
    <row r="480">
      <c r="G480" s="137"/>
      <c r="K480" s="137"/>
      <c r="L480" s="137"/>
      <c r="M480" s="138"/>
      <c r="N480" s="12"/>
      <c r="O480" s="12"/>
    </row>
    <row r="481">
      <c r="G481" s="137"/>
      <c r="K481" s="137"/>
      <c r="L481" s="137"/>
      <c r="M481" s="138"/>
      <c r="N481" s="12"/>
      <c r="O481" s="12"/>
    </row>
    <row r="482">
      <c r="G482" s="137"/>
      <c r="K482" s="137"/>
      <c r="L482" s="137"/>
      <c r="M482" s="138"/>
      <c r="N482" s="12"/>
      <c r="O482" s="12"/>
    </row>
    <row r="483">
      <c r="G483" s="137"/>
      <c r="K483" s="137"/>
      <c r="L483" s="137"/>
      <c r="M483" s="138"/>
      <c r="N483" s="12"/>
      <c r="O483" s="12"/>
    </row>
    <row r="484">
      <c r="G484" s="137"/>
      <c r="K484" s="137"/>
      <c r="L484" s="137"/>
      <c r="M484" s="138"/>
      <c r="N484" s="12"/>
      <c r="O484" s="12"/>
    </row>
    <row r="485">
      <c r="G485" s="137"/>
      <c r="K485" s="137"/>
      <c r="L485" s="137"/>
      <c r="M485" s="138"/>
      <c r="N485" s="12"/>
      <c r="O485" s="12"/>
    </row>
    <row r="486">
      <c r="G486" s="137"/>
      <c r="K486" s="137"/>
      <c r="L486" s="137"/>
      <c r="M486" s="138"/>
      <c r="N486" s="12"/>
      <c r="O486" s="12"/>
    </row>
    <row r="487">
      <c r="G487" s="137"/>
      <c r="K487" s="137"/>
      <c r="L487" s="137"/>
      <c r="M487" s="138"/>
      <c r="N487" s="12"/>
      <c r="O487" s="12"/>
    </row>
    <row r="488">
      <c r="G488" s="137"/>
      <c r="K488" s="137"/>
      <c r="L488" s="137"/>
      <c r="M488" s="138"/>
      <c r="N488" s="12"/>
      <c r="O488" s="12"/>
    </row>
    <row r="489">
      <c r="G489" s="137"/>
      <c r="K489" s="137"/>
      <c r="L489" s="137"/>
      <c r="M489" s="138"/>
      <c r="N489" s="12"/>
      <c r="O489" s="12"/>
    </row>
    <row r="490">
      <c r="G490" s="137"/>
      <c r="K490" s="137"/>
      <c r="L490" s="137"/>
      <c r="M490" s="138"/>
      <c r="N490" s="12"/>
      <c r="O490" s="12"/>
    </row>
    <row r="491">
      <c r="G491" s="137"/>
      <c r="K491" s="137"/>
      <c r="L491" s="137"/>
      <c r="M491" s="138"/>
      <c r="N491" s="12"/>
      <c r="O491" s="12"/>
    </row>
    <row r="492">
      <c r="G492" s="137"/>
      <c r="K492" s="137"/>
      <c r="L492" s="137"/>
      <c r="M492" s="138"/>
      <c r="N492" s="12"/>
      <c r="O492" s="12"/>
    </row>
    <row r="493">
      <c r="G493" s="137"/>
      <c r="K493" s="137"/>
      <c r="L493" s="137"/>
      <c r="M493" s="138"/>
      <c r="N493" s="12"/>
      <c r="O493" s="12"/>
    </row>
    <row r="494">
      <c r="G494" s="137"/>
      <c r="K494" s="137"/>
      <c r="L494" s="137"/>
      <c r="M494" s="138"/>
      <c r="N494" s="12"/>
      <c r="O494" s="12"/>
    </row>
    <row r="495">
      <c r="G495" s="137"/>
      <c r="K495" s="137"/>
      <c r="L495" s="137"/>
      <c r="M495" s="138"/>
      <c r="N495" s="12"/>
      <c r="O495" s="12"/>
    </row>
    <row r="496">
      <c r="G496" s="137"/>
      <c r="K496" s="137"/>
      <c r="L496" s="137"/>
      <c r="M496" s="138"/>
      <c r="N496" s="12"/>
      <c r="O496" s="12"/>
    </row>
    <row r="497">
      <c r="G497" s="137"/>
      <c r="K497" s="137"/>
      <c r="L497" s="137"/>
      <c r="M497" s="138"/>
      <c r="N497" s="12"/>
      <c r="O497" s="12"/>
    </row>
    <row r="498">
      <c r="G498" s="137"/>
      <c r="K498" s="137"/>
      <c r="L498" s="137"/>
      <c r="M498" s="138"/>
      <c r="N498" s="12"/>
      <c r="O498" s="12"/>
    </row>
    <row r="499">
      <c r="G499" s="137"/>
      <c r="K499" s="137"/>
      <c r="L499" s="137"/>
      <c r="M499" s="138"/>
      <c r="N499" s="12"/>
      <c r="O499" s="12"/>
    </row>
    <row r="500">
      <c r="G500" s="137"/>
      <c r="K500" s="137"/>
      <c r="L500" s="137"/>
      <c r="M500" s="138"/>
      <c r="N500" s="12"/>
      <c r="O500" s="12"/>
    </row>
    <row r="501">
      <c r="G501" s="137"/>
      <c r="K501" s="137"/>
      <c r="L501" s="137"/>
      <c r="M501" s="138"/>
      <c r="N501" s="12"/>
      <c r="O501" s="12"/>
    </row>
    <row r="502">
      <c r="G502" s="137"/>
      <c r="K502" s="137"/>
      <c r="L502" s="137"/>
      <c r="M502" s="138"/>
      <c r="N502" s="12"/>
      <c r="O502" s="12"/>
    </row>
    <row r="503">
      <c r="G503" s="137"/>
      <c r="K503" s="137"/>
      <c r="L503" s="137"/>
      <c r="M503" s="138"/>
      <c r="N503" s="12"/>
      <c r="O503" s="12"/>
    </row>
    <row r="504">
      <c r="G504" s="137"/>
      <c r="K504" s="137"/>
      <c r="L504" s="137"/>
      <c r="M504" s="138"/>
      <c r="N504" s="12"/>
      <c r="O504" s="12"/>
    </row>
    <row r="505">
      <c r="G505" s="137"/>
      <c r="K505" s="137"/>
      <c r="L505" s="137"/>
      <c r="M505" s="138"/>
      <c r="N505" s="12"/>
      <c r="O505" s="12"/>
    </row>
    <row r="506">
      <c r="G506" s="137"/>
      <c r="K506" s="137"/>
      <c r="L506" s="137"/>
      <c r="M506" s="138"/>
      <c r="N506" s="12"/>
      <c r="O506" s="12"/>
    </row>
    <row r="507">
      <c r="G507" s="137"/>
      <c r="K507" s="137"/>
      <c r="L507" s="137"/>
      <c r="M507" s="138"/>
      <c r="N507" s="12"/>
      <c r="O507" s="12"/>
    </row>
    <row r="508">
      <c r="G508" s="137"/>
      <c r="K508" s="137"/>
      <c r="L508" s="137"/>
      <c r="M508" s="138"/>
      <c r="N508" s="12"/>
      <c r="O508" s="12"/>
    </row>
    <row r="509">
      <c r="G509" s="137"/>
      <c r="K509" s="137"/>
      <c r="L509" s="137"/>
      <c r="M509" s="138"/>
      <c r="N509" s="12"/>
      <c r="O509" s="12"/>
    </row>
    <row r="510">
      <c r="G510" s="137"/>
      <c r="K510" s="137"/>
      <c r="L510" s="137"/>
      <c r="M510" s="138"/>
      <c r="N510" s="12"/>
      <c r="O510" s="12"/>
    </row>
    <row r="511">
      <c r="G511" s="137"/>
      <c r="K511" s="137"/>
      <c r="L511" s="137"/>
      <c r="M511" s="138"/>
      <c r="N511" s="12"/>
      <c r="O511" s="12"/>
    </row>
    <row r="512">
      <c r="G512" s="137"/>
      <c r="K512" s="137"/>
      <c r="L512" s="137"/>
      <c r="M512" s="138"/>
      <c r="N512" s="12"/>
      <c r="O512" s="12"/>
    </row>
    <row r="513">
      <c r="G513" s="137"/>
      <c r="K513" s="137"/>
      <c r="L513" s="137"/>
      <c r="M513" s="138"/>
      <c r="N513" s="12"/>
      <c r="O513" s="12"/>
    </row>
    <row r="514">
      <c r="G514" s="137"/>
      <c r="K514" s="137"/>
      <c r="L514" s="137"/>
      <c r="M514" s="138"/>
      <c r="N514" s="12"/>
      <c r="O514" s="12"/>
    </row>
    <row r="515">
      <c r="G515" s="137"/>
      <c r="K515" s="137"/>
      <c r="L515" s="137"/>
      <c r="M515" s="138"/>
      <c r="N515" s="12"/>
      <c r="O515" s="12"/>
    </row>
    <row r="516">
      <c r="G516" s="137"/>
      <c r="K516" s="137"/>
      <c r="L516" s="137"/>
      <c r="M516" s="138"/>
      <c r="N516" s="12"/>
      <c r="O516" s="12"/>
    </row>
    <row r="517">
      <c r="G517" s="137"/>
      <c r="K517" s="137"/>
      <c r="L517" s="137"/>
      <c r="M517" s="138"/>
      <c r="N517" s="12"/>
      <c r="O517" s="12"/>
    </row>
    <row r="518">
      <c r="G518" s="137"/>
      <c r="K518" s="137"/>
      <c r="L518" s="137"/>
      <c r="M518" s="138"/>
      <c r="N518" s="12"/>
      <c r="O518" s="12"/>
    </row>
    <row r="519">
      <c r="G519" s="137"/>
      <c r="K519" s="137"/>
      <c r="L519" s="137"/>
      <c r="M519" s="138"/>
      <c r="N519" s="12"/>
      <c r="O519" s="12"/>
    </row>
    <row r="520">
      <c r="G520" s="137"/>
      <c r="K520" s="137"/>
      <c r="L520" s="137"/>
      <c r="M520" s="138"/>
      <c r="N520" s="12"/>
      <c r="O520" s="12"/>
    </row>
    <row r="521">
      <c r="G521" s="137"/>
      <c r="K521" s="137"/>
      <c r="L521" s="137"/>
      <c r="M521" s="138"/>
      <c r="N521" s="12"/>
      <c r="O521" s="12"/>
    </row>
    <row r="522">
      <c r="G522" s="137"/>
      <c r="K522" s="137"/>
      <c r="L522" s="137"/>
      <c r="M522" s="138"/>
      <c r="N522" s="12"/>
      <c r="O522" s="12"/>
    </row>
    <row r="523">
      <c r="G523" s="137"/>
      <c r="K523" s="137"/>
      <c r="L523" s="137"/>
      <c r="M523" s="138"/>
      <c r="N523" s="12"/>
      <c r="O523" s="12"/>
    </row>
    <row r="524">
      <c r="G524" s="137"/>
      <c r="K524" s="137"/>
      <c r="L524" s="137"/>
      <c r="M524" s="138"/>
      <c r="N524" s="12"/>
      <c r="O524" s="12"/>
    </row>
    <row r="525">
      <c r="G525" s="137"/>
      <c r="K525" s="137"/>
      <c r="L525" s="137"/>
      <c r="M525" s="138"/>
      <c r="N525" s="12"/>
      <c r="O525" s="12"/>
    </row>
    <row r="526">
      <c r="G526" s="137"/>
      <c r="K526" s="137"/>
      <c r="L526" s="137"/>
      <c r="M526" s="138"/>
      <c r="N526" s="12"/>
      <c r="O526" s="12"/>
    </row>
    <row r="527">
      <c r="G527" s="137"/>
      <c r="K527" s="137"/>
      <c r="L527" s="137"/>
      <c r="M527" s="138"/>
      <c r="N527" s="12"/>
      <c r="O527" s="12"/>
    </row>
    <row r="528">
      <c r="G528" s="137"/>
      <c r="K528" s="137"/>
      <c r="L528" s="137"/>
      <c r="M528" s="138"/>
      <c r="N528" s="12"/>
      <c r="O528" s="12"/>
    </row>
    <row r="529">
      <c r="G529" s="137"/>
      <c r="K529" s="137"/>
      <c r="L529" s="137"/>
      <c r="M529" s="138"/>
      <c r="N529" s="12"/>
      <c r="O529" s="12"/>
    </row>
    <row r="530">
      <c r="G530" s="137"/>
      <c r="K530" s="137"/>
      <c r="L530" s="137"/>
      <c r="M530" s="138"/>
      <c r="N530" s="12"/>
      <c r="O530" s="12"/>
    </row>
    <row r="531">
      <c r="G531" s="137"/>
      <c r="K531" s="137"/>
      <c r="L531" s="137"/>
      <c r="M531" s="138"/>
      <c r="N531" s="12"/>
      <c r="O531" s="12"/>
    </row>
    <row r="532">
      <c r="G532" s="137"/>
      <c r="K532" s="137"/>
      <c r="L532" s="137"/>
      <c r="M532" s="138"/>
      <c r="N532" s="12"/>
      <c r="O532" s="12"/>
    </row>
    <row r="533">
      <c r="G533" s="137"/>
      <c r="K533" s="137"/>
      <c r="L533" s="137"/>
      <c r="M533" s="138"/>
      <c r="N533" s="12"/>
      <c r="O533" s="12"/>
    </row>
    <row r="534">
      <c r="G534" s="137"/>
      <c r="K534" s="137"/>
      <c r="L534" s="137"/>
      <c r="M534" s="138"/>
      <c r="N534" s="12"/>
      <c r="O534" s="12"/>
    </row>
    <row r="535">
      <c r="G535" s="137"/>
      <c r="K535" s="137"/>
      <c r="L535" s="137"/>
      <c r="M535" s="138"/>
      <c r="N535" s="12"/>
      <c r="O535" s="12"/>
    </row>
    <row r="536">
      <c r="G536" s="137"/>
      <c r="K536" s="137"/>
      <c r="L536" s="137"/>
      <c r="M536" s="138"/>
      <c r="N536" s="12"/>
      <c r="O536" s="12"/>
    </row>
    <row r="537">
      <c r="G537" s="137"/>
      <c r="K537" s="137"/>
      <c r="L537" s="137"/>
      <c r="M537" s="138"/>
      <c r="N537" s="12"/>
      <c r="O537" s="12"/>
    </row>
    <row r="538">
      <c r="G538" s="137"/>
      <c r="K538" s="137"/>
      <c r="L538" s="137"/>
      <c r="M538" s="138"/>
      <c r="N538" s="12"/>
      <c r="O538" s="12"/>
    </row>
    <row r="539">
      <c r="G539" s="137"/>
      <c r="K539" s="137"/>
      <c r="L539" s="137"/>
      <c r="M539" s="138"/>
      <c r="N539" s="12"/>
      <c r="O539" s="12"/>
    </row>
    <row r="540">
      <c r="G540" s="137"/>
      <c r="K540" s="137"/>
      <c r="L540" s="137"/>
      <c r="M540" s="138"/>
      <c r="N540" s="12"/>
      <c r="O540" s="12"/>
    </row>
    <row r="541">
      <c r="G541" s="137"/>
      <c r="K541" s="137"/>
      <c r="L541" s="137"/>
      <c r="M541" s="138"/>
      <c r="N541" s="12"/>
      <c r="O541" s="12"/>
    </row>
    <row r="542">
      <c r="G542" s="137"/>
      <c r="K542" s="137"/>
      <c r="L542" s="137"/>
      <c r="M542" s="138"/>
      <c r="N542" s="12"/>
      <c r="O542" s="12"/>
    </row>
    <row r="543">
      <c r="G543" s="137"/>
      <c r="K543" s="137"/>
      <c r="L543" s="137"/>
      <c r="M543" s="138"/>
      <c r="N543" s="12"/>
      <c r="O543" s="12"/>
    </row>
    <row r="544">
      <c r="G544" s="137"/>
      <c r="K544" s="137"/>
      <c r="L544" s="137"/>
      <c r="M544" s="138"/>
      <c r="N544" s="12"/>
      <c r="O544" s="12"/>
    </row>
    <row r="545">
      <c r="G545" s="137"/>
      <c r="K545" s="137"/>
      <c r="L545" s="137"/>
      <c r="M545" s="138"/>
      <c r="N545" s="12"/>
      <c r="O545" s="12"/>
    </row>
    <row r="546">
      <c r="G546" s="137"/>
      <c r="K546" s="137"/>
      <c r="L546" s="137"/>
      <c r="M546" s="138"/>
      <c r="N546" s="12"/>
      <c r="O546" s="12"/>
    </row>
    <row r="547">
      <c r="G547" s="137"/>
      <c r="K547" s="137"/>
      <c r="L547" s="137"/>
      <c r="M547" s="138"/>
      <c r="N547" s="12"/>
      <c r="O547" s="12"/>
    </row>
    <row r="548">
      <c r="G548" s="137"/>
      <c r="K548" s="137"/>
      <c r="L548" s="137"/>
      <c r="M548" s="138"/>
      <c r="N548" s="12"/>
      <c r="O548" s="12"/>
    </row>
    <row r="549">
      <c r="G549" s="137"/>
      <c r="K549" s="137"/>
      <c r="L549" s="137"/>
      <c r="M549" s="138"/>
      <c r="N549" s="12"/>
      <c r="O549" s="12"/>
    </row>
    <row r="550">
      <c r="G550" s="137"/>
      <c r="K550" s="137"/>
      <c r="L550" s="137"/>
      <c r="M550" s="138"/>
      <c r="N550" s="12"/>
      <c r="O550" s="12"/>
    </row>
    <row r="551">
      <c r="G551" s="137"/>
      <c r="K551" s="137"/>
      <c r="L551" s="137"/>
      <c r="M551" s="138"/>
      <c r="N551" s="12"/>
      <c r="O551" s="12"/>
    </row>
    <row r="552">
      <c r="G552" s="137"/>
      <c r="K552" s="137"/>
      <c r="L552" s="137"/>
      <c r="M552" s="138"/>
      <c r="N552" s="12"/>
      <c r="O552" s="12"/>
    </row>
    <row r="553">
      <c r="G553" s="137"/>
      <c r="K553" s="137"/>
      <c r="L553" s="137"/>
      <c r="M553" s="138"/>
      <c r="N553" s="12"/>
      <c r="O553" s="12"/>
    </row>
    <row r="554">
      <c r="G554" s="137"/>
      <c r="K554" s="137"/>
      <c r="L554" s="137"/>
      <c r="M554" s="138"/>
      <c r="N554" s="12"/>
      <c r="O554" s="12"/>
    </row>
    <row r="555">
      <c r="G555" s="137"/>
      <c r="K555" s="137"/>
      <c r="L555" s="137"/>
      <c r="M555" s="138"/>
      <c r="N555" s="12"/>
      <c r="O555" s="12"/>
    </row>
    <row r="556">
      <c r="G556" s="137"/>
      <c r="K556" s="137"/>
      <c r="L556" s="137"/>
      <c r="M556" s="138"/>
      <c r="N556" s="12"/>
      <c r="O556" s="12"/>
    </row>
    <row r="557">
      <c r="G557" s="137"/>
      <c r="K557" s="137"/>
      <c r="L557" s="137"/>
      <c r="M557" s="138"/>
      <c r="N557" s="12"/>
      <c r="O557" s="12"/>
    </row>
    <row r="558">
      <c r="G558" s="137"/>
      <c r="K558" s="137"/>
      <c r="L558" s="137"/>
      <c r="M558" s="138"/>
      <c r="N558" s="12"/>
      <c r="O558" s="12"/>
    </row>
    <row r="559">
      <c r="G559" s="137"/>
      <c r="K559" s="137"/>
      <c r="L559" s="137"/>
      <c r="M559" s="138"/>
      <c r="N559" s="12"/>
      <c r="O559" s="12"/>
    </row>
    <row r="560">
      <c r="G560" s="137"/>
      <c r="K560" s="137"/>
      <c r="L560" s="137"/>
      <c r="M560" s="138"/>
      <c r="N560" s="12"/>
      <c r="O560" s="12"/>
    </row>
    <row r="561">
      <c r="G561" s="137"/>
      <c r="K561" s="137"/>
      <c r="L561" s="137"/>
      <c r="M561" s="138"/>
      <c r="N561" s="12"/>
      <c r="O561" s="12"/>
    </row>
    <row r="562">
      <c r="G562" s="137"/>
      <c r="K562" s="137"/>
      <c r="L562" s="137"/>
      <c r="M562" s="138"/>
      <c r="N562" s="12"/>
      <c r="O562" s="12"/>
    </row>
    <row r="563">
      <c r="G563" s="137"/>
      <c r="K563" s="137"/>
      <c r="L563" s="137"/>
      <c r="M563" s="138"/>
      <c r="N563" s="12"/>
      <c r="O563" s="12"/>
    </row>
    <row r="564">
      <c r="G564" s="137"/>
      <c r="K564" s="137"/>
      <c r="L564" s="137"/>
      <c r="M564" s="138"/>
      <c r="N564" s="12"/>
      <c r="O564" s="12"/>
    </row>
    <row r="565">
      <c r="G565" s="137"/>
      <c r="K565" s="137"/>
      <c r="L565" s="137"/>
      <c r="M565" s="138"/>
      <c r="N565" s="12"/>
      <c r="O565" s="12"/>
    </row>
    <row r="566">
      <c r="G566" s="137"/>
      <c r="K566" s="137"/>
      <c r="L566" s="137"/>
      <c r="M566" s="138"/>
      <c r="N566" s="12"/>
      <c r="O566" s="12"/>
    </row>
    <row r="567">
      <c r="G567" s="137"/>
      <c r="K567" s="137"/>
      <c r="L567" s="137"/>
      <c r="M567" s="138"/>
      <c r="N567" s="12"/>
      <c r="O567" s="12"/>
    </row>
    <row r="568">
      <c r="G568" s="137"/>
      <c r="K568" s="137"/>
      <c r="L568" s="137"/>
      <c r="M568" s="138"/>
      <c r="N568" s="12"/>
      <c r="O568" s="12"/>
    </row>
    <row r="569">
      <c r="G569" s="137"/>
      <c r="K569" s="137"/>
      <c r="L569" s="137"/>
      <c r="M569" s="138"/>
      <c r="N569" s="12"/>
      <c r="O569" s="12"/>
    </row>
    <row r="570">
      <c r="G570" s="137"/>
      <c r="K570" s="137"/>
      <c r="L570" s="137"/>
      <c r="M570" s="138"/>
      <c r="N570" s="12"/>
      <c r="O570" s="12"/>
    </row>
    <row r="571">
      <c r="G571" s="137"/>
      <c r="K571" s="137"/>
      <c r="L571" s="137"/>
      <c r="M571" s="138"/>
      <c r="N571" s="12"/>
      <c r="O571" s="12"/>
    </row>
    <row r="572">
      <c r="G572" s="137"/>
      <c r="K572" s="137"/>
      <c r="L572" s="137"/>
      <c r="M572" s="138"/>
      <c r="N572" s="12"/>
      <c r="O572" s="12"/>
    </row>
    <row r="573">
      <c r="G573" s="137"/>
      <c r="K573" s="137"/>
      <c r="L573" s="137"/>
      <c r="M573" s="138"/>
      <c r="N573" s="12"/>
      <c r="O573" s="12"/>
    </row>
    <row r="574">
      <c r="G574" s="137"/>
      <c r="K574" s="137"/>
      <c r="L574" s="137"/>
      <c r="M574" s="138"/>
      <c r="N574" s="12"/>
      <c r="O574" s="12"/>
    </row>
    <row r="575">
      <c r="G575" s="137"/>
      <c r="K575" s="137"/>
      <c r="L575" s="137"/>
      <c r="M575" s="138"/>
      <c r="N575" s="12"/>
      <c r="O575" s="12"/>
    </row>
    <row r="576">
      <c r="G576" s="137"/>
      <c r="K576" s="137"/>
      <c r="L576" s="137"/>
      <c r="M576" s="138"/>
      <c r="N576" s="12"/>
      <c r="O576" s="12"/>
    </row>
    <row r="577">
      <c r="G577" s="137"/>
      <c r="K577" s="137"/>
      <c r="L577" s="137"/>
      <c r="M577" s="138"/>
      <c r="N577" s="12"/>
      <c r="O577" s="12"/>
    </row>
    <row r="578">
      <c r="G578" s="137"/>
      <c r="K578" s="137"/>
      <c r="L578" s="137"/>
      <c r="M578" s="138"/>
      <c r="N578" s="12"/>
      <c r="O578" s="12"/>
    </row>
    <row r="579">
      <c r="G579" s="137"/>
      <c r="K579" s="137"/>
      <c r="L579" s="137"/>
      <c r="M579" s="138"/>
      <c r="N579" s="12"/>
      <c r="O579" s="12"/>
    </row>
    <row r="580">
      <c r="G580" s="137"/>
      <c r="K580" s="137"/>
      <c r="L580" s="137"/>
      <c r="M580" s="138"/>
      <c r="N580" s="12"/>
      <c r="O580" s="12"/>
    </row>
    <row r="581">
      <c r="G581" s="137"/>
      <c r="K581" s="137"/>
      <c r="L581" s="137"/>
      <c r="M581" s="138"/>
      <c r="N581" s="12"/>
      <c r="O581" s="12"/>
    </row>
    <row r="582">
      <c r="G582" s="137"/>
      <c r="K582" s="137"/>
      <c r="L582" s="137"/>
      <c r="M582" s="138"/>
      <c r="N582" s="12"/>
      <c r="O582" s="12"/>
    </row>
    <row r="583">
      <c r="G583" s="137"/>
      <c r="K583" s="137"/>
      <c r="L583" s="137"/>
      <c r="M583" s="138"/>
      <c r="N583" s="12"/>
      <c r="O583" s="12"/>
    </row>
    <row r="584">
      <c r="G584" s="137"/>
      <c r="K584" s="137"/>
      <c r="L584" s="137"/>
      <c r="M584" s="138"/>
      <c r="N584" s="12"/>
      <c r="O584" s="12"/>
    </row>
    <row r="585">
      <c r="G585" s="137"/>
      <c r="K585" s="137"/>
      <c r="L585" s="137"/>
      <c r="M585" s="138"/>
      <c r="N585" s="12"/>
      <c r="O585" s="12"/>
    </row>
    <row r="586">
      <c r="G586" s="137"/>
      <c r="K586" s="137"/>
      <c r="L586" s="137"/>
      <c r="M586" s="138"/>
      <c r="N586" s="12"/>
      <c r="O586" s="12"/>
    </row>
    <row r="587">
      <c r="G587" s="137"/>
      <c r="K587" s="137"/>
      <c r="L587" s="137"/>
      <c r="M587" s="138"/>
      <c r="N587" s="12"/>
      <c r="O587" s="12"/>
    </row>
    <row r="588">
      <c r="G588" s="137"/>
      <c r="K588" s="137"/>
      <c r="L588" s="137"/>
      <c r="M588" s="138"/>
      <c r="N588" s="12"/>
      <c r="O588" s="12"/>
    </row>
    <row r="589">
      <c r="G589" s="137"/>
      <c r="K589" s="137"/>
      <c r="L589" s="137"/>
      <c r="M589" s="138"/>
      <c r="N589" s="12"/>
      <c r="O589" s="12"/>
    </row>
    <row r="590">
      <c r="G590" s="137"/>
      <c r="K590" s="137"/>
      <c r="L590" s="137"/>
      <c r="M590" s="138"/>
      <c r="N590" s="12"/>
      <c r="O590" s="12"/>
    </row>
    <row r="591">
      <c r="G591" s="137"/>
      <c r="K591" s="137"/>
      <c r="L591" s="137"/>
      <c r="M591" s="138"/>
      <c r="N591" s="12"/>
      <c r="O591" s="12"/>
    </row>
    <row r="592">
      <c r="G592" s="137"/>
      <c r="K592" s="137"/>
      <c r="L592" s="137"/>
      <c r="M592" s="138"/>
      <c r="N592" s="12"/>
      <c r="O592" s="12"/>
    </row>
    <row r="593">
      <c r="G593" s="137"/>
      <c r="K593" s="137"/>
      <c r="L593" s="137"/>
      <c r="M593" s="138"/>
      <c r="N593" s="12"/>
      <c r="O593" s="12"/>
    </row>
    <row r="594">
      <c r="G594" s="137"/>
      <c r="K594" s="137"/>
      <c r="L594" s="137"/>
      <c r="M594" s="138"/>
      <c r="N594" s="12"/>
      <c r="O594" s="12"/>
    </row>
    <row r="595">
      <c r="G595" s="137"/>
      <c r="K595" s="137"/>
      <c r="L595" s="137"/>
      <c r="M595" s="138"/>
      <c r="N595" s="12"/>
      <c r="O595" s="12"/>
    </row>
    <row r="596">
      <c r="G596" s="137"/>
      <c r="K596" s="137"/>
      <c r="L596" s="137"/>
      <c r="M596" s="138"/>
      <c r="N596" s="12"/>
      <c r="O596" s="12"/>
    </row>
    <row r="597">
      <c r="G597" s="137"/>
      <c r="K597" s="137"/>
      <c r="L597" s="137"/>
      <c r="M597" s="138"/>
      <c r="N597" s="12"/>
      <c r="O597" s="12"/>
    </row>
    <row r="598">
      <c r="G598" s="137"/>
      <c r="K598" s="137"/>
      <c r="L598" s="137"/>
      <c r="M598" s="138"/>
      <c r="N598" s="12"/>
      <c r="O598" s="12"/>
    </row>
    <row r="599">
      <c r="G599" s="137"/>
      <c r="K599" s="137"/>
      <c r="L599" s="137"/>
      <c r="M599" s="138"/>
      <c r="N599" s="12"/>
      <c r="O599" s="12"/>
    </row>
    <row r="600">
      <c r="G600" s="137"/>
      <c r="K600" s="137"/>
      <c r="L600" s="137"/>
      <c r="M600" s="138"/>
      <c r="N600" s="12"/>
      <c r="O600" s="12"/>
    </row>
    <row r="601">
      <c r="G601" s="137"/>
      <c r="K601" s="137"/>
      <c r="L601" s="137"/>
      <c r="M601" s="138"/>
      <c r="N601" s="12"/>
      <c r="O601" s="12"/>
    </row>
    <row r="602">
      <c r="G602" s="137"/>
      <c r="K602" s="137"/>
      <c r="L602" s="137"/>
      <c r="M602" s="138"/>
      <c r="N602" s="12"/>
      <c r="O602" s="12"/>
    </row>
    <row r="603">
      <c r="G603" s="137"/>
      <c r="K603" s="137"/>
      <c r="L603" s="137"/>
      <c r="M603" s="138"/>
      <c r="N603" s="12"/>
      <c r="O603" s="12"/>
    </row>
    <row r="604">
      <c r="G604" s="137"/>
      <c r="K604" s="137"/>
      <c r="L604" s="137"/>
      <c r="M604" s="138"/>
      <c r="N604" s="12"/>
      <c r="O604" s="12"/>
    </row>
    <row r="605">
      <c r="G605" s="137"/>
      <c r="K605" s="137"/>
      <c r="L605" s="137"/>
      <c r="M605" s="138"/>
      <c r="N605" s="12"/>
      <c r="O605" s="12"/>
    </row>
    <row r="606">
      <c r="G606" s="137"/>
      <c r="K606" s="137"/>
      <c r="L606" s="137"/>
      <c r="M606" s="138"/>
      <c r="N606" s="12"/>
      <c r="O606" s="12"/>
    </row>
    <row r="607">
      <c r="G607" s="137"/>
      <c r="K607" s="137"/>
      <c r="L607" s="137"/>
      <c r="M607" s="138"/>
      <c r="N607" s="12"/>
      <c r="O607" s="12"/>
    </row>
    <row r="608">
      <c r="G608" s="137"/>
      <c r="K608" s="137"/>
      <c r="L608" s="137"/>
      <c r="M608" s="138"/>
      <c r="N608" s="12"/>
      <c r="O608" s="12"/>
    </row>
    <row r="609">
      <c r="G609" s="137"/>
      <c r="K609" s="137"/>
      <c r="L609" s="137"/>
      <c r="M609" s="138"/>
      <c r="N609" s="12"/>
      <c r="O609" s="12"/>
    </row>
    <row r="610">
      <c r="G610" s="137"/>
      <c r="K610" s="137"/>
      <c r="L610" s="137"/>
      <c r="M610" s="138"/>
      <c r="N610" s="12"/>
      <c r="O610" s="12"/>
    </row>
    <row r="611">
      <c r="G611" s="137"/>
      <c r="K611" s="137"/>
      <c r="L611" s="137"/>
      <c r="M611" s="138"/>
      <c r="N611" s="12"/>
      <c r="O611" s="12"/>
    </row>
    <row r="612">
      <c r="G612" s="137"/>
      <c r="K612" s="137"/>
      <c r="L612" s="137"/>
      <c r="M612" s="138"/>
      <c r="N612" s="12"/>
      <c r="O612" s="12"/>
    </row>
    <row r="613">
      <c r="G613" s="137"/>
      <c r="K613" s="137"/>
      <c r="L613" s="137"/>
      <c r="M613" s="138"/>
      <c r="N613" s="12"/>
      <c r="O613" s="12"/>
    </row>
    <row r="614">
      <c r="G614" s="137"/>
      <c r="K614" s="137"/>
      <c r="L614" s="137"/>
      <c r="M614" s="138"/>
      <c r="N614" s="12"/>
      <c r="O614" s="12"/>
    </row>
    <row r="615">
      <c r="G615" s="137"/>
      <c r="K615" s="137"/>
      <c r="L615" s="137"/>
      <c r="M615" s="138"/>
      <c r="N615" s="12"/>
      <c r="O615" s="12"/>
    </row>
    <row r="616">
      <c r="G616" s="137"/>
      <c r="K616" s="137"/>
      <c r="L616" s="137"/>
      <c r="M616" s="138"/>
      <c r="N616" s="12"/>
      <c r="O616" s="12"/>
    </row>
    <row r="617">
      <c r="G617" s="137"/>
      <c r="K617" s="137"/>
      <c r="L617" s="137"/>
      <c r="M617" s="138"/>
      <c r="N617" s="12"/>
      <c r="O617" s="12"/>
    </row>
    <row r="618">
      <c r="G618" s="137"/>
      <c r="K618" s="137"/>
      <c r="L618" s="137"/>
      <c r="M618" s="138"/>
      <c r="N618" s="12"/>
      <c r="O618" s="12"/>
    </row>
    <row r="619">
      <c r="G619" s="137"/>
      <c r="K619" s="137"/>
      <c r="L619" s="137"/>
      <c r="M619" s="138"/>
      <c r="N619" s="12"/>
      <c r="O619" s="12"/>
    </row>
    <row r="620">
      <c r="G620" s="137"/>
      <c r="K620" s="137"/>
      <c r="L620" s="137"/>
      <c r="M620" s="138"/>
      <c r="N620" s="12"/>
      <c r="O620" s="12"/>
    </row>
    <row r="621">
      <c r="G621" s="137"/>
      <c r="K621" s="137"/>
      <c r="L621" s="137"/>
      <c r="M621" s="138"/>
      <c r="N621" s="12"/>
      <c r="O621" s="12"/>
    </row>
    <row r="622">
      <c r="G622" s="137"/>
      <c r="K622" s="137"/>
      <c r="L622" s="137"/>
      <c r="M622" s="138"/>
      <c r="N622" s="12"/>
      <c r="O622" s="12"/>
    </row>
    <row r="623">
      <c r="G623" s="137"/>
      <c r="K623" s="137"/>
      <c r="L623" s="137"/>
      <c r="M623" s="138"/>
      <c r="N623" s="12"/>
      <c r="O623" s="12"/>
    </row>
    <row r="624">
      <c r="G624" s="137"/>
      <c r="K624" s="137"/>
      <c r="L624" s="137"/>
      <c r="M624" s="138"/>
      <c r="N624" s="12"/>
      <c r="O624" s="12"/>
    </row>
    <row r="625">
      <c r="G625" s="137"/>
      <c r="K625" s="137"/>
      <c r="L625" s="137"/>
      <c r="M625" s="138"/>
      <c r="N625" s="12"/>
      <c r="O625" s="12"/>
    </row>
    <row r="626">
      <c r="G626" s="137"/>
      <c r="K626" s="137"/>
      <c r="L626" s="137"/>
      <c r="M626" s="138"/>
      <c r="N626" s="12"/>
      <c r="O626" s="12"/>
    </row>
    <row r="627">
      <c r="G627" s="137"/>
      <c r="K627" s="137"/>
      <c r="L627" s="137"/>
      <c r="M627" s="138"/>
      <c r="N627" s="12"/>
      <c r="O627" s="12"/>
    </row>
    <row r="628">
      <c r="G628" s="137"/>
      <c r="K628" s="137"/>
      <c r="L628" s="137"/>
      <c r="M628" s="138"/>
      <c r="N628" s="12"/>
      <c r="O628" s="12"/>
    </row>
    <row r="629">
      <c r="G629" s="137"/>
      <c r="K629" s="137"/>
      <c r="L629" s="137"/>
      <c r="M629" s="138"/>
      <c r="N629" s="12"/>
      <c r="O629" s="12"/>
    </row>
    <row r="630">
      <c r="G630" s="137"/>
      <c r="K630" s="137"/>
      <c r="L630" s="137"/>
      <c r="M630" s="138"/>
      <c r="N630" s="12"/>
      <c r="O630" s="12"/>
    </row>
    <row r="631">
      <c r="G631" s="137"/>
      <c r="K631" s="137"/>
      <c r="L631" s="137"/>
      <c r="M631" s="138"/>
      <c r="N631" s="12"/>
      <c r="O631" s="12"/>
    </row>
    <row r="632">
      <c r="G632" s="137"/>
      <c r="K632" s="137"/>
      <c r="L632" s="137"/>
      <c r="M632" s="138"/>
      <c r="N632" s="12"/>
      <c r="O632" s="12"/>
    </row>
    <row r="633">
      <c r="G633" s="137"/>
      <c r="K633" s="137"/>
      <c r="L633" s="137"/>
      <c r="M633" s="138"/>
      <c r="N633" s="12"/>
      <c r="O633" s="12"/>
    </row>
    <row r="634">
      <c r="G634" s="137"/>
      <c r="K634" s="137"/>
      <c r="L634" s="137"/>
      <c r="M634" s="138"/>
      <c r="N634" s="12"/>
      <c r="O634" s="12"/>
    </row>
    <row r="635">
      <c r="G635" s="137"/>
      <c r="K635" s="137"/>
      <c r="L635" s="137"/>
      <c r="M635" s="138"/>
      <c r="N635" s="12"/>
      <c r="O635" s="12"/>
    </row>
    <row r="636">
      <c r="G636" s="137"/>
      <c r="K636" s="137"/>
      <c r="L636" s="137"/>
      <c r="M636" s="138"/>
      <c r="N636" s="12"/>
      <c r="O636" s="12"/>
    </row>
    <row r="637">
      <c r="G637" s="137"/>
      <c r="K637" s="137"/>
      <c r="L637" s="137"/>
      <c r="M637" s="138"/>
      <c r="N637" s="12"/>
      <c r="O637" s="12"/>
    </row>
    <row r="638">
      <c r="G638" s="137"/>
      <c r="K638" s="137"/>
      <c r="L638" s="137"/>
      <c r="M638" s="138"/>
      <c r="N638" s="12"/>
      <c r="O638" s="12"/>
    </row>
    <row r="639">
      <c r="G639" s="137"/>
      <c r="K639" s="137"/>
      <c r="L639" s="137"/>
      <c r="M639" s="138"/>
      <c r="N639" s="12"/>
      <c r="O639" s="12"/>
    </row>
    <row r="640">
      <c r="G640" s="137"/>
      <c r="K640" s="137"/>
      <c r="L640" s="137"/>
      <c r="M640" s="138"/>
      <c r="N640" s="12"/>
      <c r="O640" s="12"/>
    </row>
    <row r="641">
      <c r="G641" s="137"/>
      <c r="K641" s="137"/>
      <c r="L641" s="137"/>
      <c r="M641" s="138"/>
      <c r="N641" s="12"/>
      <c r="O641" s="12"/>
    </row>
    <row r="642">
      <c r="G642" s="137"/>
      <c r="K642" s="137"/>
      <c r="L642" s="137"/>
      <c r="M642" s="138"/>
      <c r="N642" s="12"/>
      <c r="O642" s="12"/>
    </row>
    <row r="643">
      <c r="G643" s="137"/>
      <c r="K643" s="137"/>
      <c r="L643" s="137"/>
      <c r="M643" s="138"/>
      <c r="N643" s="12"/>
      <c r="O643" s="12"/>
    </row>
    <row r="644">
      <c r="G644" s="137"/>
      <c r="K644" s="137"/>
      <c r="L644" s="137"/>
      <c r="M644" s="138"/>
      <c r="N644" s="12"/>
      <c r="O644" s="12"/>
    </row>
    <row r="645">
      <c r="G645" s="137"/>
      <c r="K645" s="137"/>
      <c r="L645" s="137"/>
      <c r="M645" s="138"/>
      <c r="N645" s="12"/>
      <c r="O645" s="12"/>
    </row>
    <row r="646">
      <c r="G646" s="137"/>
      <c r="K646" s="137"/>
      <c r="L646" s="137"/>
      <c r="M646" s="138"/>
      <c r="N646" s="12"/>
      <c r="O646" s="12"/>
    </row>
    <row r="647">
      <c r="G647" s="137"/>
      <c r="K647" s="137"/>
      <c r="L647" s="137"/>
      <c r="M647" s="138"/>
      <c r="N647" s="12"/>
      <c r="O647" s="12"/>
    </row>
    <row r="648">
      <c r="G648" s="137"/>
      <c r="K648" s="137"/>
      <c r="L648" s="137"/>
      <c r="M648" s="138"/>
      <c r="N648" s="12"/>
      <c r="O648" s="12"/>
    </row>
    <row r="649">
      <c r="G649" s="137"/>
      <c r="K649" s="137"/>
      <c r="L649" s="137"/>
      <c r="M649" s="138"/>
      <c r="N649" s="12"/>
      <c r="O649" s="12"/>
    </row>
    <row r="650">
      <c r="G650" s="137"/>
      <c r="K650" s="137"/>
      <c r="L650" s="137"/>
      <c r="M650" s="138"/>
      <c r="N650" s="12"/>
      <c r="O650" s="12"/>
    </row>
    <row r="651">
      <c r="G651" s="137"/>
      <c r="K651" s="137"/>
      <c r="L651" s="137"/>
      <c r="M651" s="138"/>
      <c r="N651" s="12"/>
      <c r="O651" s="12"/>
    </row>
    <row r="652">
      <c r="G652" s="137"/>
      <c r="K652" s="137"/>
      <c r="L652" s="137"/>
      <c r="M652" s="138"/>
      <c r="N652" s="12"/>
      <c r="O652" s="12"/>
    </row>
    <row r="653">
      <c r="G653" s="137"/>
      <c r="K653" s="137"/>
      <c r="L653" s="137"/>
      <c r="M653" s="138"/>
      <c r="N653" s="12"/>
      <c r="O653" s="12"/>
    </row>
    <row r="654">
      <c r="G654" s="137"/>
      <c r="K654" s="137"/>
      <c r="L654" s="137"/>
      <c r="M654" s="138"/>
      <c r="N654" s="12"/>
      <c r="O654" s="12"/>
    </row>
    <row r="655">
      <c r="G655" s="137"/>
      <c r="K655" s="137"/>
      <c r="L655" s="137"/>
      <c r="M655" s="138"/>
      <c r="N655" s="12"/>
      <c r="O655" s="12"/>
    </row>
    <row r="656">
      <c r="G656" s="137"/>
      <c r="K656" s="137"/>
      <c r="L656" s="137"/>
      <c r="M656" s="138"/>
      <c r="N656" s="12"/>
      <c r="O656" s="12"/>
    </row>
    <row r="657">
      <c r="G657" s="137"/>
      <c r="K657" s="137"/>
      <c r="L657" s="137"/>
      <c r="M657" s="138"/>
      <c r="N657" s="12"/>
      <c r="O657" s="12"/>
    </row>
    <row r="658">
      <c r="G658" s="137"/>
      <c r="K658" s="137"/>
      <c r="L658" s="137"/>
      <c r="M658" s="138"/>
      <c r="N658" s="12"/>
      <c r="O658" s="12"/>
    </row>
    <row r="659">
      <c r="G659" s="137"/>
      <c r="K659" s="137"/>
      <c r="L659" s="137"/>
      <c r="M659" s="138"/>
      <c r="N659" s="12"/>
      <c r="O659" s="12"/>
    </row>
    <row r="660">
      <c r="G660" s="137"/>
      <c r="K660" s="137"/>
      <c r="L660" s="137"/>
      <c r="M660" s="138"/>
      <c r="N660" s="12"/>
      <c r="O660" s="12"/>
    </row>
    <row r="661">
      <c r="G661" s="137"/>
      <c r="K661" s="137"/>
      <c r="L661" s="137"/>
      <c r="M661" s="138"/>
      <c r="N661" s="12"/>
      <c r="O661" s="12"/>
    </row>
    <row r="662">
      <c r="G662" s="137"/>
      <c r="K662" s="137"/>
      <c r="L662" s="137"/>
      <c r="M662" s="138"/>
      <c r="N662" s="12"/>
      <c r="O662" s="12"/>
    </row>
    <row r="663">
      <c r="G663" s="137"/>
      <c r="K663" s="137"/>
      <c r="L663" s="137"/>
      <c r="M663" s="138"/>
      <c r="N663" s="12"/>
      <c r="O663" s="12"/>
    </row>
    <row r="664">
      <c r="G664" s="137"/>
      <c r="K664" s="137"/>
      <c r="L664" s="137"/>
      <c r="M664" s="138"/>
      <c r="N664" s="12"/>
      <c r="O664" s="12"/>
    </row>
    <row r="665">
      <c r="G665" s="137"/>
      <c r="K665" s="137"/>
      <c r="L665" s="137"/>
      <c r="M665" s="138"/>
      <c r="N665" s="12"/>
      <c r="O665" s="12"/>
    </row>
    <row r="666">
      <c r="G666" s="137"/>
      <c r="K666" s="137"/>
      <c r="L666" s="137"/>
      <c r="M666" s="138"/>
      <c r="N666" s="12"/>
      <c r="O666" s="12"/>
    </row>
    <row r="667">
      <c r="G667" s="137"/>
      <c r="K667" s="137"/>
      <c r="L667" s="137"/>
      <c r="M667" s="138"/>
      <c r="N667" s="12"/>
      <c r="O667" s="12"/>
    </row>
    <row r="668">
      <c r="G668" s="137"/>
      <c r="K668" s="137"/>
      <c r="L668" s="137"/>
      <c r="M668" s="138"/>
      <c r="N668" s="12"/>
      <c r="O668" s="12"/>
    </row>
    <row r="669">
      <c r="G669" s="137"/>
      <c r="K669" s="137"/>
      <c r="L669" s="137"/>
      <c r="M669" s="138"/>
      <c r="N669" s="12"/>
      <c r="O669" s="12"/>
    </row>
    <row r="670">
      <c r="G670" s="137"/>
      <c r="K670" s="137"/>
      <c r="L670" s="137"/>
      <c r="M670" s="138"/>
      <c r="N670" s="12"/>
      <c r="O670" s="12"/>
    </row>
    <row r="671">
      <c r="G671" s="137"/>
      <c r="K671" s="137"/>
      <c r="L671" s="137"/>
      <c r="M671" s="138"/>
      <c r="N671" s="12"/>
      <c r="O671" s="12"/>
    </row>
    <row r="672">
      <c r="G672" s="137"/>
      <c r="K672" s="137"/>
      <c r="L672" s="137"/>
      <c r="M672" s="138"/>
      <c r="N672" s="12"/>
      <c r="O672" s="12"/>
    </row>
    <row r="673">
      <c r="G673" s="137"/>
      <c r="K673" s="137"/>
      <c r="L673" s="137"/>
      <c r="M673" s="138"/>
      <c r="N673" s="12"/>
      <c r="O673" s="12"/>
    </row>
    <row r="674">
      <c r="G674" s="137"/>
      <c r="K674" s="137"/>
      <c r="L674" s="137"/>
      <c r="M674" s="138"/>
      <c r="N674" s="12"/>
      <c r="O674" s="12"/>
    </row>
    <row r="675">
      <c r="G675" s="137"/>
      <c r="K675" s="137"/>
      <c r="L675" s="137"/>
      <c r="M675" s="138"/>
      <c r="N675" s="12"/>
      <c r="O675" s="12"/>
    </row>
    <row r="676">
      <c r="G676" s="137"/>
      <c r="K676" s="137"/>
      <c r="L676" s="137"/>
      <c r="M676" s="138"/>
      <c r="N676" s="12"/>
      <c r="O676" s="12"/>
    </row>
    <row r="677">
      <c r="G677" s="137"/>
      <c r="K677" s="137"/>
      <c r="L677" s="137"/>
      <c r="M677" s="138"/>
      <c r="N677" s="12"/>
      <c r="O677" s="12"/>
    </row>
    <row r="678">
      <c r="G678" s="137"/>
      <c r="K678" s="137"/>
      <c r="L678" s="137"/>
      <c r="M678" s="138"/>
      <c r="N678" s="12"/>
      <c r="O678" s="12"/>
    </row>
    <row r="679">
      <c r="G679" s="137"/>
      <c r="K679" s="137"/>
      <c r="L679" s="137"/>
      <c r="M679" s="138"/>
      <c r="N679" s="12"/>
      <c r="O679" s="12"/>
    </row>
    <row r="680">
      <c r="G680" s="137"/>
      <c r="K680" s="137"/>
      <c r="L680" s="137"/>
      <c r="M680" s="138"/>
      <c r="N680" s="12"/>
      <c r="O680" s="12"/>
    </row>
    <row r="681">
      <c r="G681" s="137"/>
      <c r="K681" s="137"/>
      <c r="L681" s="137"/>
      <c r="M681" s="138"/>
      <c r="N681" s="12"/>
      <c r="O681" s="12"/>
    </row>
    <row r="682">
      <c r="G682" s="137"/>
      <c r="K682" s="137"/>
      <c r="L682" s="137"/>
      <c r="M682" s="138"/>
      <c r="N682" s="12"/>
      <c r="O682" s="12"/>
    </row>
    <row r="683">
      <c r="G683" s="137"/>
      <c r="K683" s="137"/>
      <c r="L683" s="137"/>
      <c r="M683" s="138"/>
      <c r="N683" s="12"/>
      <c r="O683" s="12"/>
    </row>
    <row r="684">
      <c r="G684" s="137"/>
      <c r="K684" s="137"/>
      <c r="L684" s="137"/>
      <c r="M684" s="138"/>
      <c r="N684" s="12"/>
      <c r="O684" s="12"/>
    </row>
    <row r="685">
      <c r="G685" s="137"/>
      <c r="K685" s="137"/>
      <c r="L685" s="137"/>
      <c r="M685" s="138"/>
      <c r="N685" s="12"/>
      <c r="O685" s="12"/>
    </row>
    <row r="686">
      <c r="G686" s="137"/>
      <c r="K686" s="137"/>
      <c r="L686" s="137"/>
      <c r="M686" s="138"/>
      <c r="N686" s="12"/>
      <c r="O686" s="12"/>
    </row>
    <row r="687">
      <c r="G687" s="137"/>
      <c r="K687" s="137"/>
      <c r="L687" s="137"/>
      <c r="M687" s="138"/>
      <c r="N687" s="12"/>
      <c r="O687" s="12"/>
    </row>
    <row r="688">
      <c r="G688" s="137"/>
      <c r="K688" s="137"/>
      <c r="L688" s="137"/>
      <c r="M688" s="138"/>
      <c r="N688" s="12"/>
      <c r="O688" s="12"/>
    </row>
    <row r="689">
      <c r="G689" s="137"/>
      <c r="K689" s="137"/>
      <c r="L689" s="137"/>
      <c r="M689" s="138"/>
      <c r="N689" s="12"/>
      <c r="O689" s="12"/>
    </row>
    <row r="690">
      <c r="G690" s="137"/>
      <c r="K690" s="137"/>
      <c r="L690" s="137"/>
      <c r="M690" s="138"/>
      <c r="N690" s="12"/>
      <c r="O690" s="12"/>
    </row>
    <row r="691">
      <c r="G691" s="137"/>
      <c r="K691" s="137"/>
      <c r="L691" s="137"/>
      <c r="M691" s="138"/>
      <c r="N691" s="12"/>
      <c r="O691" s="12"/>
    </row>
    <row r="692">
      <c r="G692" s="137"/>
      <c r="K692" s="137"/>
      <c r="L692" s="137"/>
      <c r="M692" s="138"/>
      <c r="N692" s="12"/>
      <c r="O692" s="12"/>
    </row>
    <row r="693">
      <c r="G693" s="137"/>
      <c r="K693" s="137"/>
      <c r="L693" s="137"/>
      <c r="M693" s="138"/>
      <c r="N693" s="12"/>
      <c r="O693" s="12"/>
    </row>
    <row r="694">
      <c r="G694" s="137"/>
      <c r="K694" s="137"/>
      <c r="L694" s="137"/>
      <c r="M694" s="138"/>
      <c r="N694" s="12"/>
      <c r="O694" s="12"/>
    </row>
    <row r="695">
      <c r="G695" s="137"/>
      <c r="K695" s="137"/>
      <c r="L695" s="137"/>
      <c r="M695" s="138"/>
      <c r="N695" s="12"/>
      <c r="O695" s="12"/>
    </row>
    <row r="696">
      <c r="G696" s="137"/>
      <c r="K696" s="137"/>
      <c r="L696" s="137"/>
      <c r="M696" s="138"/>
      <c r="N696" s="12"/>
      <c r="O696" s="12"/>
    </row>
    <row r="697">
      <c r="G697" s="137"/>
      <c r="K697" s="137"/>
      <c r="L697" s="137"/>
      <c r="M697" s="138"/>
      <c r="N697" s="12"/>
      <c r="O697" s="12"/>
    </row>
    <row r="698">
      <c r="G698" s="137"/>
      <c r="K698" s="137"/>
      <c r="L698" s="137"/>
      <c r="M698" s="138"/>
      <c r="N698" s="12"/>
      <c r="O698" s="12"/>
    </row>
    <row r="699">
      <c r="G699" s="137"/>
      <c r="K699" s="137"/>
      <c r="L699" s="137"/>
      <c r="M699" s="138"/>
      <c r="N699" s="12"/>
      <c r="O699" s="12"/>
    </row>
    <row r="700">
      <c r="G700" s="137"/>
      <c r="K700" s="137"/>
      <c r="L700" s="137"/>
      <c r="M700" s="138"/>
      <c r="N700" s="12"/>
      <c r="O700" s="12"/>
    </row>
    <row r="701">
      <c r="G701" s="137"/>
      <c r="K701" s="137"/>
      <c r="L701" s="137"/>
      <c r="M701" s="138"/>
      <c r="N701" s="12"/>
      <c r="O701" s="12"/>
    </row>
    <row r="702">
      <c r="G702" s="137"/>
      <c r="K702" s="137"/>
      <c r="L702" s="137"/>
      <c r="M702" s="138"/>
      <c r="N702" s="12"/>
      <c r="O702" s="12"/>
    </row>
    <row r="703">
      <c r="G703" s="137"/>
      <c r="K703" s="137"/>
      <c r="L703" s="137"/>
      <c r="M703" s="138"/>
      <c r="N703" s="12"/>
      <c r="O703" s="12"/>
    </row>
    <row r="704">
      <c r="G704" s="137"/>
      <c r="K704" s="137"/>
      <c r="L704" s="137"/>
      <c r="M704" s="138"/>
      <c r="N704" s="12"/>
      <c r="O704" s="12"/>
    </row>
    <row r="705">
      <c r="G705" s="137"/>
      <c r="K705" s="137"/>
      <c r="L705" s="137"/>
      <c r="M705" s="138"/>
      <c r="N705" s="12"/>
      <c r="O705" s="12"/>
    </row>
    <row r="706">
      <c r="G706" s="137"/>
      <c r="K706" s="137"/>
      <c r="L706" s="137"/>
      <c r="M706" s="138"/>
      <c r="N706" s="12"/>
      <c r="O706" s="12"/>
    </row>
    <row r="707">
      <c r="G707" s="137"/>
      <c r="K707" s="137"/>
      <c r="L707" s="137"/>
      <c r="M707" s="138"/>
      <c r="N707" s="12"/>
      <c r="O707" s="12"/>
    </row>
    <row r="708">
      <c r="G708" s="137"/>
      <c r="K708" s="137"/>
      <c r="L708" s="137"/>
      <c r="M708" s="138"/>
      <c r="N708" s="12"/>
      <c r="O708" s="12"/>
    </row>
    <row r="709">
      <c r="G709" s="137"/>
      <c r="K709" s="137"/>
      <c r="L709" s="137"/>
      <c r="M709" s="138"/>
      <c r="N709" s="12"/>
      <c r="O709" s="12"/>
    </row>
    <row r="710">
      <c r="G710" s="137"/>
      <c r="K710" s="137"/>
      <c r="L710" s="137"/>
      <c r="M710" s="138"/>
      <c r="N710" s="12"/>
      <c r="O710" s="12"/>
    </row>
    <row r="711">
      <c r="G711" s="137"/>
      <c r="K711" s="137"/>
      <c r="L711" s="137"/>
      <c r="M711" s="138"/>
      <c r="N711" s="12"/>
      <c r="O711" s="12"/>
    </row>
    <row r="712">
      <c r="G712" s="137"/>
      <c r="K712" s="137"/>
      <c r="L712" s="137"/>
      <c r="M712" s="138"/>
      <c r="N712" s="12"/>
      <c r="O712" s="12"/>
    </row>
    <row r="713">
      <c r="G713" s="137"/>
      <c r="K713" s="137"/>
      <c r="L713" s="137"/>
      <c r="M713" s="138"/>
      <c r="N713" s="12"/>
      <c r="O713" s="12"/>
    </row>
    <row r="714">
      <c r="G714" s="137"/>
      <c r="K714" s="137"/>
      <c r="L714" s="137"/>
      <c r="M714" s="138"/>
      <c r="N714" s="12"/>
      <c r="O714" s="12"/>
    </row>
    <row r="715">
      <c r="G715" s="137"/>
      <c r="K715" s="137"/>
      <c r="L715" s="137"/>
      <c r="M715" s="138"/>
      <c r="N715" s="12"/>
      <c r="O715" s="12"/>
    </row>
    <row r="716">
      <c r="G716" s="137"/>
      <c r="K716" s="137"/>
      <c r="L716" s="137"/>
      <c r="M716" s="138"/>
      <c r="N716" s="12"/>
      <c r="O716" s="12"/>
    </row>
    <row r="717">
      <c r="G717" s="137"/>
      <c r="K717" s="137"/>
      <c r="L717" s="137"/>
      <c r="M717" s="138"/>
      <c r="N717" s="12"/>
      <c r="O717" s="12"/>
    </row>
    <row r="718">
      <c r="G718" s="137"/>
      <c r="K718" s="137"/>
      <c r="L718" s="137"/>
      <c r="M718" s="138"/>
      <c r="N718" s="12"/>
      <c r="O718" s="12"/>
    </row>
    <row r="719">
      <c r="G719" s="137"/>
      <c r="K719" s="137"/>
      <c r="L719" s="137"/>
      <c r="M719" s="138"/>
      <c r="N719" s="12"/>
      <c r="O719" s="12"/>
    </row>
    <row r="720">
      <c r="G720" s="137"/>
      <c r="K720" s="137"/>
      <c r="L720" s="137"/>
      <c r="M720" s="138"/>
      <c r="N720" s="12"/>
      <c r="O720" s="12"/>
    </row>
    <row r="721">
      <c r="G721" s="137"/>
      <c r="K721" s="137"/>
      <c r="L721" s="137"/>
      <c r="M721" s="138"/>
      <c r="N721" s="12"/>
      <c r="O721" s="12"/>
    </row>
    <row r="722">
      <c r="G722" s="137"/>
      <c r="K722" s="137"/>
      <c r="L722" s="137"/>
      <c r="M722" s="138"/>
      <c r="N722" s="12"/>
      <c r="O722" s="12"/>
    </row>
    <row r="723">
      <c r="G723" s="137"/>
      <c r="K723" s="137"/>
      <c r="L723" s="137"/>
      <c r="M723" s="138"/>
      <c r="N723" s="12"/>
      <c r="O723" s="12"/>
    </row>
    <row r="724">
      <c r="G724" s="137"/>
      <c r="K724" s="137"/>
      <c r="L724" s="137"/>
      <c r="M724" s="138"/>
      <c r="N724" s="12"/>
      <c r="O724" s="12"/>
    </row>
    <row r="725">
      <c r="G725" s="137"/>
      <c r="K725" s="137"/>
      <c r="L725" s="137"/>
      <c r="M725" s="138"/>
      <c r="N725" s="12"/>
      <c r="O725" s="12"/>
    </row>
    <row r="726">
      <c r="G726" s="137"/>
      <c r="K726" s="137"/>
      <c r="L726" s="137"/>
      <c r="M726" s="138"/>
      <c r="N726" s="12"/>
      <c r="O726" s="12"/>
    </row>
    <row r="727">
      <c r="G727" s="137"/>
      <c r="K727" s="137"/>
      <c r="L727" s="137"/>
      <c r="M727" s="138"/>
      <c r="N727" s="12"/>
      <c r="O727" s="12"/>
    </row>
    <row r="728">
      <c r="G728" s="137"/>
      <c r="K728" s="137"/>
      <c r="L728" s="137"/>
      <c r="M728" s="138"/>
      <c r="N728" s="12"/>
      <c r="O728" s="12"/>
    </row>
    <row r="729">
      <c r="G729" s="137"/>
      <c r="K729" s="137"/>
      <c r="L729" s="137"/>
      <c r="M729" s="138"/>
      <c r="N729" s="12"/>
      <c r="O729" s="12"/>
    </row>
    <row r="730">
      <c r="G730" s="137"/>
      <c r="K730" s="137"/>
      <c r="L730" s="137"/>
      <c r="M730" s="138"/>
      <c r="N730" s="12"/>
      <c r="O730" s="12"/>
    </row>
    <row r="731">
      <c r="G731" s="137"/>
      <c r="K731" s="137"/>
      <c r="L731" s="137"/>
      <c r="M731" s="138"/>
      <c r="N731" s="12"/>
      <c r="O731" s="12"/>
    </row>
    <row r="732">
      <c r="G732" s="137"/>
      <c r="K732" s="137"/>
      <c r="L732" s="137"/>
      <c r="M732" s="138"/>
      <c r="N732" s="12"/>
      <c r="O732" s="12"/>
    </row>
    <row r="733">
      <c r="G733" s="137"/>
      <c r="K733" s="137"/>
      <c r="L733" s="137"/>
      <c r="M733" s="138"/>
      <c r="N733" s="12"/>
      <c r="O733" s="12"/>
    </row>
    <row r="734">
      <c r="G734" s="137"/>
      <c r="K734" s="137"/>
      <c r="L734" s="137"/>
      <c r="M734" s="138"/>
      <c r="N734" s="12"/>
      <c r="O734" s="12"/>
    </row>
    <row r="735">
      <c r="G735" s="137"/>
      <c r="K735" s="137"/>
      <c r="L735" s="137"/>
      <c r="M735" s="138"/>
      <c r="N735" s="12"/>
      <c r="O735" s="12"/>
    </row>
    <row r="736">
      <c r="G736" s="137"/>
      <c r="K736" s="137"/>
      <c r="L736" s="137"/>
      <c r="M736" s="138"/>
      <c r="N736" s="12"/>
      <c r="O736" s="12"/>
    </row>
    <row r="737">
      <c r="G737" s="137"/>
      <c r="K737" s="137"/>
      <c r="L737" s="137"/>
      <c r="M737" s="138"/>
      <c r="N737" s="12"/>
      <c r="O737" s="12"/>
    </row>
    <row r="738">
      <c r="G738" s="137"/>
      <c r="K738" s="137"/>
      <c r="L738" s="137"/>
      <c r="M738" s="138"/>
      <c r="N738" s="12"/>
      <c r="O738" s="12"/>
    </row>
    <row r="739">
      <c r="G739" s="137"/>
      <c r="K739" s="137"/>
      <c r="L739" s="137"/>
      <c r="M739" s="138"/>
      <c r="N739" s="12"/>
      <c r="O739" s="12"/>
    </row>
    <row r="740">
      <c r="G740" s="137"/>
      <c r="K740" s="137"/>
      <c r="L740" s="137"/>
      <c r="M740" s="138"/>
      <c r="N740" s="12"/>
      <c r="O740" s="12"/>
    </row>
    <row r="741">
      <c r="G741" s="137"/>
      <c r="K741" s="137"/>
      <c r="L741" s="137"/>
      <c r="M741" s="138"/>
      <c r="N741" s="12"/>
      <c r="O741" s="12"/>
    </row>
    <row r="742">
      <c r="G742" s="137"/>
      <c r="K742" s="137"/>
      <c r="L742" s="137"/>
      <c r="M742" s="138"/>
      <c r="N742" s="12"/>
      <c r="O742" s="12"/>
    </row>
    <row r="743">
      <c r="G743" s="137"/>
      <c r="K743" s="137"/>
      <c r="L743" s="137"/>
      <c r="M743" s="138"/>
      <c r="N743" s="12"/>
      <c r="O743" s="12"/>
    </row>
    <row r="744">
      <c r="G744" s="137"/>
      <c r="K744" s="137"/>
      <c r="L744" s="137"/>
      <c r="M744" s="138"/>
      <c r="N744" s="12"/>
      <c r="O744" s="12"/>
    </row>
    <row r="745">
      <c r="G745" s="137"/>
      <c r="K745" s="137"/>
      <c r="L745" s="137"/>
      <c r="M745" s="138"/>
      <c r="N745" s="12"/>
      <c r="O745" s="12"/>
    </row>
    <row r="746">
      <c r="G746" s="137"/>
      <c r="K746" s="137"/>
      <c r="L746" s="137"/>
      <c r="M746" s="138"/>
      <c r="N746" s="12"/>
      <c r="O746" s="12"/>
    </row>
    <row r="747">
      <c r="G747" s="137"/>
      <c r="K747" s="137"/>
      <c r="L747" s="137"/>
      <c r="M747" s="138"/>
      <c r="N747" s="12"/>
      <c r="O747" s="12"/>
    </row>
    <row r="748">
      <c r="G748" s="137"/>
      <c r="K748" s="137"/>
      <c r="L748" s="137"/>
      <c r="M748" s="138"/>
      <c r="N748" s="12"/>
      <c r="O748" s="12"/>
    </row>
    <row r="749">
      <c r="G749" s="137"/>
      <c r="K749" s="137"/>
      <c r="L749" s="137"/>
      <c r="M749" s="138"/>
      <c r="N749" s="12"/>
      <c r="O749" s="12"/>
    </row>
    <row r="750">
      <c r="G750" s="137"/>
      <c r="K750" s="137"/>
      <c r="L750" s="137"/>
      <c r="M750" s="138"/>
      <c r="N750" s="12"/>
      <c r="O750" s="12"/>
    </row>
    <row r="751">
      <c r="G751" s="137"/>
      <c r="K751" s="137"/>
      <c r="L751" s="137"/>
      <c r="M751" s="138"/>
      <c r="N751" s="12"/>
      <c r="O751" s="12"/>
    </row>
    <row r="752">
      <c r="G752" s="137"/>
      <c r="K752" s="137"/>
      <c r="L752" s="137"/>
      <c r="M752" s="138"/>
      <c r="N752" s="12"/>
      <c r="O752" s="12"/>
    </row>
    <row r="753">
      <c r="G753" s="137"/>
      <c r="K753" s="137"/>
      <c r="L753" s="137"/>
      <c r="M753" s="138"/>
      <c r="N753" s="12"/>
      <c r="O753" s="12"/>
    </row>
    <row r="754">
      <c r="G754" s="137"/>
      <c r="K754" s="137"/>
      <c r="L754" s="137"/>
      <c r="M754" s="138"/>
      <c r="N754" s="12"/>
      <c r="O754" s="12"/>
    </row>
    <row r="755">
      <c r="G755" s="137"/>
      <c r="K755" s="137"/>
      <c r="L755" s="137"/>
      <c r="M755" s="138"/>
      <c r="N755" s="12"/>
      <c r="O755" s="12"/>
    </row>
    <row r="756">
      <c r="G756" s="137"/>
      <c r="K756" s="137"/>
      <c r="L756" s="137"/>
      <c r="M756" s="138"/>
      <c r="N756" s="12"/>
      <c r="O756" s="12"/>
    </row>
    <row r="757">
      <c r="G757" s="137"/>
      <c r="K757" s="137"/>
      <c r="L757" s="137"/>
      <c r="M757" s="138"/>
      <c r="N757" s="12"/>
      <c r="O757" s="12"/>
    </row>
    <row r="758">
      <c r="G758" s="137"/>
      <c r="K758" s="137"/>
      <c r="L758" s="137"/>
      <c r="M758" s="138"/>
      <c r="N758" s="12"/>
      <c r="O758" s="12"/>
    </row>
    <row r="759">
      <c r="G759" s="137"/>
      <c r="K759" s="137"/>
      <c r="L759" s="137"/>
      <c r="M759" s="138"/>
      <c r="N759" s="12"/>
      <c r="O759" s="12"/>
    </row>
    <row r="760">
      <c r="G760" s="137"/>
      <c r="K760" s="137"/>
      <c r="L760" s="137"/>
      <c r="M760" s="138"/>
      <c r="N760" s="12"/>
      <c r="O760" s="12"/>
    </row>
    <row r="761">
      <c r="G761" s="137"/>
      <c r="K761" s="137"/>
      <c r="L761" s="137"/>
      <c r="M761" s="138"/>
      <c r="N761" s="12"/>
      <c r="O761" s="12"/>
    </row>
    <row r="762">
      <c r="G762" s="137"/>
      <c r="K762" s="137"/>
      <c r="L762" s="137"/>
      <c r="M762" s="138"/>
      <c r="N762" s="12"/>
      <c r="O762" s="12"/>
    </row>
    <row r="763">
      <c r="G763" s="137"/>
      <c r="K763" s="137"/>
      <c r="L763" s="137"/>
      <c r="M763" s="138"/>
      <c r="N763" s="12"/>
      <c r="O763" s="12"/>
    </row>
    <row r="764">
      <c r="G764" s="137"/>
      <c r="K764" s="137"/>
      <c r="L764" s="137"/>
      <c r="M764" s="138"/>
      <c r="N764" s="12"/>
      <c r="O764" s="12"/>
    </row>
    <row r="765">
      <c r="G765" s="137"/>
      <c r="K765" s="137"/>
      <c r="L765" s="137"/>
      <c r="M765" s="138"/>
      <c r="N765" s="12"/>
      <c r="O765" s="12"/>
    </row>
    <row r="766">
      <c r="G766" s="137"/>
      <c r="K766" s="137"/>
      <c r="L766" s="137"/>
      <c r="M766" s="138"/>
      <c r="N766" s="12"/>
      <c r="O766" s="12"/>
    </row>
    <row r="767">
      <c r="G767" s="137"/>
      <c r="K767" s="137"/>
      <c r="L767" s="137"/>
      <c r="M767" s="138"/>
      <c r="N767" s="12"/>
      <c r="O767" s="12"/>
    </row>
    <row r="768">
      <c r="G768" s="137"/>
      <c r="K768" s="137"/>
      <c r="L768" s="137"/>
      <c r="M768" s="138"/>
      <c r="N768" s="12"/>
      <c r="O768" s="12"/>
    </row>
    <row r="769">
      <c r="G769" s="137"/>
      <c r="K769" s="137"/>
      <c r="L769" s="137"/>
      <c r="M769" s="138"/>
      <c r="N769" s="12"/>
      <c r="O769" s="12"/>
    </row>
    <row r="770">
      <c r="G770" s="137"/>
      <c r="K770" s="137"/>
      <c r="L770" s="137"/>
      <c r="M770" s="138"/>
      <c r="N770" s="12"/>
      <c r="O770" s="12"/>
    </row>
    <row r="771">
      <c r="G771" s="137"/>
      <c r="K771" s="137"/>
      <c r="L771" s="137"/>
      <c r="M771" s="138"/>
      <c r="N771" s="12"/>
      <c r="O771" s="12"/>
    </row>
    <row r="772">
      <c r="G772" s="137"/>
      <c r="K772" s="137"/>
      <c r="L772" s="137"/>
      <c r="M772" s="138"/>
      <c r="N772" s="12"/>
      <c r="O772" s="12"/>
    </row>
    <row r="773">
      <c r="G773" s="137"/>
      <c r="K773" s="137"/>
      <c r="L773" s="137"/>
      <c r="M773" s="138"/>
      <c r="N773" s="12"/>
      <c r="O773" s="12"/>
    </row>
    <row r="774">
      <c r="G774" s="137"/>
      <c r="K774" s="137"/>
      <c r="L774" s="137"/>
      <c r="M774" s="138"/>
      <c r="N774" s="12"/>
      <c r="O774" s="12"/>
    </row>
    <row r="775">
      <c r="G775" s="137"/>
      <c r="K775" s="137"/>
      <c r="L775" s="137"/>
      <c r="M775" s="138"/>
      <c r="N775" s="12"/>
      <c r="O775" s="12"/>
    </row>
    <row r="776">
      <c r="G776" s="137"/>
      <c r="K776" s="137"/>
      <c r="L776" s="137"/>
      <c r="M776" s="138"/>
      <c r="N776" s="12"/>
      <c r="O776" s="12"/>
    </row>
    <row r="777">
      <c r="G777" s="137"/>
      <c r="K777" s="137"/>
      <c r="L777" s="137"/>
      <c r="M777" s="138"/>
      <c r="N777" s="12"/>
      <c r="O777" s="12"/>
    </row>
    <row r="778">
      <c r="G778" s="137"/>
      <c r="K778" s="137"/>
      <c r="L778" s="137"/>
      <c r="M778" s="138"/>
      <c r="N778" s="12"/>
      <c r="O778" s="12"/>
    </row>
    <row r="779">
      <c r="G779" s="137"/>
      <c r="K779" s="137"/>
      <c r="L779" s="137"/>
      <c r="M779" s="138"/>
      <c r="N779" s="12"/>
      <c r="O779" s="12"/>
    </row>
    <row r="780">
      <c r="G780" s="137"/>
      <c r="K780" s="137"/>
      <c r="L780" s="137"/>
      <c r="M780" s="138"/>
      <c r="N780" s="12"/>
      <c r="O780" s="12"/>
    </row>
    <row r="781">
      <c r="G781" s="137"/>
      <c r="K781" s="137"/>
      <c r="L781" s="137"/>
      <c r="M781" s="138"/>
      <c r="N781" s="12"/>
      <c r="O781" s="12"/>
    </row>
    <row r="782">
      <c r="G782" s="137"/>
      <c r="K782" s="137"/>
      <c r="L782" s="137"/>
      <c r="M782" s="138"/>
      <c r="N782" s="12"/>
      <c r="O782" s="12"/>
    </row>
    <row r="783">
      <c r="G783" s="137"/>
      <c r="K783" s="137"/>
      <c r="L783" s="137"/>
      <c r="M783" s="138"/>
      <c r="N783" s="12"/>
      <c r="O783" s="12"/>
    </row>
    <row r="784">
      <c r="G784" s="137"/>
      <c r="K784" s="137"/>
      <c r="L784" s="137"/>
      <c r="M784" s="138"/>
      <c r="N784" s="12"/>
      <c r="O784" s="12"/>
    </row>
    <row r="785">
      <c r="G785" s="137"/>
      <c r="K785" s="137"/>
      <c r="L785" s="137"/>
      <c r="M785" s="138"/>
      <c r="N785" s="12"/>
      <c r="O785" s="12"/>
    </row>
    <row r="786">
      <c r="G786" s="137"/>
      <c r="K786" s="137"/>
      <c r="L786" s="137"/>
      <c r="M786" s="138"/>
      <c r="N786" s="12"/>
      <c r="O786" s="12"/>
    </row>
    <row r="787">
      <c r="G787" s="137"/>
      <c r="K787" s="137"/>
      <c r="L787" s="137"/>
      <c r="M787" s="138"/>
      <c r="N787" s="12"/>
      <c r="O787" s="12"/>
    </row>
    <row r="788">
      <c r="G788" s="137"/>
      <c r="K788" s="137"/>
      <c r="L788" s="137"/>
      <c r="M788" s="138"/>
      <c r="N788" s="12"/>
      <c r="O788" s="12"/>
    </row>
    <row r="789">
      <c r="G789" s="137"/>
      <c r="K789" s="137"/>
      <c r="L789" s="137"/>
      <c r="M789" s="138"/>
      <c r="N789" s="12"/>
      <c r="O789" s="12"/>
    </row>
    <row r="790">
      <c r="G790" s="137"/>
      <c r="K790" s="137"/>
      <c r="L790" s="137"/>
      <c r="M790" s="138"/>
      <c r="N790" s="12"/>
      <c r="O790" s="12"/>
    </row>
    <row r="791">
      <c r="G791" s="137"/>
      <c r="K791" s="137"/>
      <c r="L791" s="137"/>
      <c r="M791" s="138"/>
      <c r="N791" s="12"/>
      <c r="O791" s="12"/>
    </row>
    <row r="792">
      <c r="G792" s="137"/>
      <c r="K792" s="137"/>
      <c r="L792" s="137"/>
      <c r="M792" s="138"/>
      <c r="N792" s="12"/>
      <c r="O792" s="12"/>
    </row>
    <row r="793">
      <c r="G793" s="137"/>
      <c r="K793" s="137"/>
      <c r="L793" s="137"/>
      <c r="M793" s="138"/>
      <c r="N793" s="12"/>
      <c r="O793" s="12"/>
    </row>
    <row r="794">
      <c r="G794" s="137"/>
      <c r="K794" s="137"/>
      <c r="L794" s="137"/>
      <c r="M794" s="138"/>
      <c r="N794" s="12"/>
      <c r="O794" s="12"/>
    </row>
    <row r="795">
      <c r="G795" s="137"/>
      <c r="K795" s="137"/>
      <c r="L795" s="137"/>
      <c r="M795" s="138"/>
      <c r="N795" s="12"/>
      <c r="O795" s="12"/>
    </row>
    <row r="796">
      <c r="G796" s="137"/>
      <c r="K796" s="137"/>
      <c r="L796" s="137"/>
      <c r="M796" s="138"/>
      <c r="N796" s="12"/>
      <c r="O796" s="12"/>
    </row>
    <row r="797">
      <c r="G797" s="137"/>
      <c r="K797" s="137"/>
      <c r="L797" s="137"/>
      <c r="M797" s="138"/>
      <c r="N797" s="12"/>
      <c r="O797" s="12"/>
    </row>
    <row r="798">
      <c r="G798" s="137"/>
      <c r="K798" s="137"/>
      <c r="L798" s="137"/>
      <c r="M798" s="138"/>
      <c r="N798" s="12"/>
      <c r="O798" s="12"/>
    </row>
    <row r="799">
      <c r="G799" s="137"/>
      <c r="K799" s="137"/>
      <c r="L799" s="137"/>
      <c r="M799" s="138"/>
      <c r="N799" s="12"/>
      <c r="O799" s="12"/>
    </row>
    <row r="800">
      <c r="G800" s="137"/>
      <c r="K800" s="137"/>
      <c r="L800" s="137"/>
      <c r="M800" s="138"/>
      <c r="N800" s="12"/>
      <c r="O800" s="12"/>
    </row>
    <row r="801">
      <c r="G801" s="137"/>
      <c r="K801" s="137"/>
      <c r="L801" s="137"/>
      <c r="M801" s="138"/>
      <c r="N801" s="12"/>
      <c r="O801" s="12"/>
    </row>
    <row r="802">
      <c r="G802" s="137"/>
      <c r="K802" s="137"/>
      <c r="L802" s="137"/>
      <c r="M802" s="138"/>
      <c r="N802" s="12"/>
      <c r="O802" s="12"/>
    </row>
    <row r="803">
      <c r="G803" s="137"/>
      <c r="K803" s="137"/>
      <c r="L803" s="137"/>
      <c r="M803" s="138"/>
      <c r="N803" s="12"/>
      <c r="O803" s="12"/>
    </row>
    <row r="804">
      <c r="G804" s="137"/>
      <c r="K804" s="137"/>
      <c r="L804" s="137"/>
      <c r="M804" s="138"/>
      <c r="N804" s="12"/>
      <c r="O804" s="12"/>
    </row>
    <row r="805">
      <c r="G805" s="137"/>
      <c r="K805" s="137"/>
      <c r="L805" s="137"/>
      <c r="M805" s="138"/>
      <c r="N805" s="12"/>
      <c r="O805" s="12"/>
    </row>
    <row r="806">
      <c r="G806" s="137"/>
      <c r="K806" s="137"/>
      <c r="L806" s="137"/>
      <c r="M806" s="138"/>
      <c r="N806" s="12"/>
      <c r="O806" s="12"/>
    </row>
    <row r="807">
      <c r="G807" s="137"/>
      <c r="K807" s="137"/>
      <c r="L807" s="137"/>
      <c r="M807" s="138"/>
      <c r="N807" s="12"/>
      <c r="O807" s="12"/>
    </row>
    <row r="808">
      <c r="G808" s="137"/>
      <c r="K808" s="137"/>
      <c r="L808" s="137"/>
      <c r="M808" s="138"/>
      <c r="N808" s="12"/>
      <c r="O808" s="12"/>
    </row>
    <row r="809">
      <c r="G809" s="137"/>
      <c r="K809" s="137"/>
      <c r="L809" s="137"/>
      <c r="M809" s="138"/>
      <c r="N809" s="12"/>
      <c r="O809" s="12"/>
    </row>
    <row r="810">
      <c r="G810" s="137"/>
      <c r="K810" s="137"/>
      <c r="L810" s="137"/>
      <c r="M810" s="138"/>
      <c r="N810" s="12"/>
      <c r="O810" s="12"/>
    </row>
    <row r="811">
      <c r="G811" s="137"/>
      <c r="K811" s="137"/>
      <c r="L811" s="137"/>
      <c r="M811" s="138"/>
      <c r="N811" s="12"/>
      <c r="O811" s="12"/>
    </row>
    <row r="812">
      <c r="G812" s="137"/>
      <c r="K812" s="137"/>
      <c r="L812" s="137"/>
      <c r="M812" s="138"/>
      <c r="N812" s="12"/>
      <c r="O812" s="12"/>
    </row>
    <row r="813">
      <c r="G813" s="137"/>
      <c r="K813" s="137"/>
      <c r="L813" s="137"/>
      <c r="M813" s="138"/>
      <c r="N813" s="12"/>
      <c r="O813" s="12"/>
    </row>
    <row r="814">
      <c r="G814" s="137"/>
      <c r="K814" s="137"/>
      <c r="L814" s="137"/>
      <c r="M814" s="138"/>
      <c r="N814" s="12"/>
      <c r="O814" s="12"/>
    </row>
    <row r="815">
      <c r="G815" s="137"/>
      <c r="K815" s="137"/>
      <c r="L815" s="137"/>
      <c r="M815" s="138"/>
      <c r="N815" s="12"/>
      <c r="O815" s="12"/>
    </row>
    <row r="816">
      <c r="G816" s="137"/>
      <c r="K816" s="137"/>
      <c r="L816" s="137"/>
      <c r="M816" s="138"/>
      <c r="N816" s="12"/>
      <c r="O816" s="12"/>
    </row>
    <row r="817">
      <c r="G817" s="137"/>
      <c r="K817" s="137"/>
      <c r="L817" s="137"/>
      <c r="M817" s="138"/>
      <c r="N817" s="12"/>
      <c r="O817" s="12"/>
    </row>
    <row r="818">
      <c r="G818" s="137"/>
      <c r="K818" s="137"/>
      <c r="L818" s="137"/>
      <c r="M818" s="138"/>
      <c r="N818" s="12"/>
      <c r="O818" s="12"/>
    </row>
    <row r="819">
      <c r="G819" s="137"/>
      <c r="K819" s="137"/>
      <c r="L819" s="137"/>
      <c r="M819" s="138"/>
      <c r="N819" s="12"/>
      <c r="O819" s="12"/>
    </row>
    <row r="820">
      <c r="G820" s="137"/>
      <c r="K820" s="137"/>
      <c r="L820" s="137"/>
      <c r="M820" s="138"/>
      <c r="N820" s="12"/>
      <c r="O820" s="12"/>
    </row>
    <row r="821">
      <c r="G821" s="137"/>
      <c r="K821" s="137"/>
      <c r="L821" s="137"/>
      <c r="M821" s="138"/>
      <c r="N821" s="12"/>
      <c r="O821" s="12"/>
    </row>
    <row r="822">
      <c r="G822" s="137"/>
      <c r="K822" s="137"/>
      <c r="L822" s="137"/>
      <c r="M822" s="138"/>
      <c r="N822" s="12"/>
      <c r="O822" s="12"/>
    </row>
    <row r="823">
      <c r="G823" s="137"/>
      <c r="K823" s="137"/>
      <c r="L823" s="137"/>
      <c r="M823" s="138"/>
      <c r="N823" s="12"/>
      <c r="O823" s="12"/>
    </row>
    <row r="824">
      <c r="G824" s="137"/>
      <c r="K824" s="137"/>
      <c r="L824" s="137"/>
      <c r="M824" s="138"/>
      <c r="N824" s="12"/>
      <c r="O824" s="12"/>
    </row>
    <row r="825">
      <c r="G825" s="137"/>
      <c r="K825" s="137"/>
      <c r="L825" s="137"/>
      <c r="M825" s="138"/>
      <c r="N825" s="12"/>
      <c r="O825" s="12"/>
    </row>
    <row r="826">
      <c r="G826" s="137"/>
      <c r="K826" s="137"/>
      <c r="L826" s="137"/>
      <c r="M826" s="138"/>
      <c r="N826" s="12"/>
      <c r="O826" s="12"/>
    </row>
    <row r="827">
      <c r="G827" s="137"/>
      <c r="K827" s="137"/>
      <c r="L827" s="137"/>
      <c r="M827" s="138"/>
      <c r="N827" s="12"/>
      <c r="O827" s="12"/>
    </row>
    <row r="828">
      <c r="G828" s="137"/>
      <c r="K828" s="137"/>
      <c r="L828" s="137"/>
      <c r="M828" s="138"/>
      <c r="N828" s="12"/>
      <c r="O828" s="12"/>
    </row>
    <row r="829">
      <c r="G829" s="137"/>
      <c r="K829" s="137"/>
      <c r="L829" s="137"/>
      <c r="M829" s="138"/>
      <c r="N829" s="12"/>
      <c r="O829" s="12"/>
    </row>
    <row r="830">
      <c r="G830" s="137"/>
      <c r="K830" s="137"/>
      <c r="L830" s="137"/>
      <c r="M830" s="138"/>
      <c r="N830" s="12"/>
      <c r="O830" s="12"/>
    </row>
    <row r="831">
      <c r="G831" s="137"/>
      <c r="K831" s="137"/>
      <c r="L831" s="137"/>
      <c r="M831" s="138"/>
      <c r="N831" s="12"/>
      <c r="O831" s="12"/>
    </row>
    <row r="832">
      <c r="G832" s="137"/>
      <c r="K832" s="137"/>
      <c r="L832" s="137"/>
      <c r="M832" s="138"/>
      <c r="N832" s="12"/>
      <c r="O832" s="12"/>
    </row>
    <row r="833">
      <c r="G833" s="137"/>
      <c r="K833" s="137"/>
      <c r="L833" s="137"/>
      <c r="M833" s="138"/>
      <c r="N833" s="12"/>
      <c r="O833" s="12"/>
    </row>
    <row r="834">
      <c r="G834" s="137"/>
      <c r="K834" s="137"/>
      <c r="L834" s="137"/>
      <c r="M834" s="138"/>
      <c r="N834" s="12"/>
      <c r="O834" s="12"/>
    </row>
    <row r="835">
      <c r="G835" s="137"/>
      <c r="K835" s="137"/>
      <c r="L835" s="137"/>
      <c r="M835" s="138"/>
      <c r="N835" s="12"/>
      <c r="O835" s="12"/>
    </row>
    <row r="836">
      <c r="G836" s="137"/>
      <c r="K836" s="137"/>
      <c r="L836" s="137"/>
      <c r="M836" s="138"/>
      <c r="N836" s="12"/>
      <c r="O836" s="12"/>
    </row>
    <row r="837">
      <c r="G837" s="137"/>
      <c r="K837" s="137"/>
      <c r="L837" s="137"/>
      <c r="M837" s="138"/>
      <c r="N837" s="12"/>
      <c r="O837" s="12"/>
    </row>
    <row r="838">
      <c r="G838" s="137"/>
      <c r="K838" s="137"/>
      <c r="L838" s="137"/>
      <c r="M838" s="138"/>
      <c r="N838" s="12"/>
      <c r="O838" s="12"/>
    </row>
    <row r="839">
      <c r="G839" s="137"/>
      <c r="K839" s="137"/>
      <c r="L839" s="137"/>
      <c r="M839" s="138"/>
      <c r="N839" s="12"/>
      <c r="O839" s="12"/>
    </row>
    <row r="840">
      <c r="G840" s="137"/>
      <c r="K840" s="137"/>
      <c r="L840" s="137"/>
      <c r="M840" s="138"/>
      <c r="N840" s="12"/>
      <c r="O840" s="12"/>
    </row>
    <row r="841">
      <c r="G841" s="137"/>
      <c r="K841" s="137"/>
      <c r="L841" s="137"/>
      <c r="M841" s="138"/>
      <c r="N841" s="12"/>
      <c r="O841" s="12"/>
    </row>
    <row r="842">
      <c r="G842" s="137"/>
      <c r="K842" s="137"/>
      <c r="L842" s="137"/>
      <c r="M842" s="138"/>
      <c r="N842" s="12"/>
      <c r="O842" s="12"/>
    </row>
    <row r="843">
      <c r="G843" s="137"/>
      <c r="K843" s="137"/>
      <c r="L843" s="137"/>
      <c r="M843" s="138"/>
      <c r="N843" s="12"/>
      <c r="O843" s="12"/>
    </row>
    <row r="844">
      <c r="G844" s="137"/>
      <c r="K844" s="137"/>
      <c r="L844" s="137"/>
      <c r="M844" s="138"/>
      <c r="N844" s="12"/>
      <c r="O844" s="12"/>
    </row>
    <row r="845">
      <c r="G845" s="137"/>
      <c r="K845" s="137"/>
      <c r="L845" s="137"/>
      <c r="M845" s="138"/>
      <c r="N845" s="12"/>
      <c r="O845" s="12"/>
    </row>
    <row r="846">
      <c r="G846" s="137"/>
      <c r="K846" s="137"/>
      <c r="L846" s="137"/>
      <c r="M846" s="138"/>
      <c r="N846" s="12"/>
      <c r="O846" s="12"/>
    </row>
    <row r="847">
      <c r="G847" s="137"/>
      <c r="K847" s="137"/>
      <c r="L847" s="137"/>
      <c r="M847" s="138"/>
      <c r="N847" s="12"/>
      <c r="O847" s="12"/>
    </row>
    <row r="848">
      <c r="G848" s="137"/>
      <c r="K848" s="137"/>
      <c r="L848" s="137"/>
      <c r="M848" s="138"/>
      <c r="N848" s="12"/>
      <c r="O848" s="12"/>
    </row>
    <row r="849">
      <c r="G849" s="137"/>
      <c r="K849" s="137"/>
      <c r="L849" s="137"/>
      <c r="M849" s="138"/>
      <c r="N849" s="12"/>
      <c r="O849" s="12"/>
    </row>
    <row r="850">
      <c r="G850" s="137"/>
      <c r="K850" s="137"/>
      <c r="L850" s="137"/>
      <c r="M850" s="138"/>
      <c r="N850" s="12"/>
      <c r="O850" s="12"/>
    </row>
    <row r="851">
      <c r="G851" s="137"/>
      <c r="K851" s="137"/>
      <c r="L851" s="137"/>
      <c r="M851" s="138"/>
      <c r="N851" s="12"/>
      <c r="O851" s="12"/>
    </row>
    <row r="852">
      <c r="G852" s="137"/>
      <c r="K852" s="137"/>
      <c r="L852" s="137"/>
      <c r="M852" s="138"/>
      <c r="N852" s="12"/>
      <c r="O852" s="12"/>
    </row>
    <row r="853">
      <c r="G853" s="137"/>
      <c r="K853" s="137"/>
      <c r="L853" s="137"/>
      <c r="M853" s="138"/>
      <c r="N853" s="12"/>
      <c r="O853" s="12"/>
    </row>
    <row r="854">
      <c r="G854" s="137"/>
      <c r="K854" s="137"/>
      <c r="L854" s="137"/>
      <c r="M854" s="138"/>
      <c r="N854" s="12"/>
      <c r="O854" s="12"/>
    </row>
    <row r="855">
      <c r="G855" s="137"/>
      <c r="K855" s="137"/>
      <c r="L855" s="137"/>
      <c r="M855" s="138"/>
      <c r="N855" s="12"/>
      <c r="O855" s="12"/>
    </row>
    <row r="856">
      <c r="G856" s="137"/>
      <c r="K856" s="137"/>
      <c r="L856" s="137"/>
      <c r="M856" s="138"/>
      <c r="N856" s="12"/>
      <c r="O856" s="12"/>
    </row>
    <row r="857">
      <c r="G857" s="137"/>
      <c r="K857" s="137"/>
      <c r="L857" s="137"/>
      <c r="M857" s="138"/>
      <c r="N857" s="12"/>
      <c r="O857" s="12"/>
    </row>
    <row r="858">
      <c r="G858" s="137"/>
      <c r="K858" s="137"/>
      <c r="L858" s="137"/>
      <c r="M858" s="138"/>
      <c r="N858" s="12"/>
      <c r="O858" s="12"/>
    </row>
    <row r="859">
      <c r="G859" s="137"/>
      <c r="K859" s="137"/>
      <c r="L859" s="137"/>
      <c r="M859" s="138"/>
      <c r="N859" s="12"/>
      <c r="O859" s="12"/>
    </row>
    <row r="860">
      <c r="G860" s="137"/>
      <c r="K860" s="137"/>
      <c r="L860" s="137"/>
      <c r="M860" s="138"/>
      <c r="N860" s="12"/>
      <c r="O860" s="12"/>
    </row>
    <row r="861">
      <c r="G861" s="137"/>
      <c r="K861" s="137"/>
      <c r="L861" s="137"/>
      <c r="M861" s="138"/>
      <c r="N861" s="12"/>
      <c r="O861" s="12"/>
    </row>
    <row r="862">
      <c r="G862" s="137"/>
      <c r="K862" s="137"/>
      <c r="L862" s="137"/>
      <c r="M862" s="138"/>
      <c r="N862" s="12"/>
      <c r="O862" s="12"/>
    </row>
    <row r="863">
      <c r="G863" s="137"/>
      <c r="K863" s="137"/>
      <c r="L863" s="137"/>
      <c r="M863" s="138"/>
      <c r="N863" s="12"/>
      <c r="O863" s="12"/>
    </row>
    <row r="864">
      <c r="G864" s="137"/>
      <c r="K864" s="137"/>
      <c r="L864" s="137"/>
      <c r="M864" s="138"/>
      <c r="N864" s="12"/>
      <c r="O864" s="12"/>
    </row>
    <row r="865">
      <c r="G865" s="137"/>
      <c r="K865" s="137"/>
      <c r="L865" s="137"/>
      <c r="M865" s="138"/>
      <c r="N865" s="12"/>
      <c r="O865" s="12"/>
    </row>
    <row r="866">
      <c r="G866" s="137"/>
      <c r="K866" s="137"/>
      <c r="L866" s="137"/>
      <c r="M866" s="138"/>
      <c r="N866" s="12"/>
      <c r="O866" s="12"/>
    </row>
    <row r="867">
      <c r="G867" s="137"/>
      <c r="K867" s="137"/>
      <c r="L867" s="137"/>
      <c r="M867" s="138"/>
      <c r="N867" s="12"/>
      <c r="O867" s="12"/>
    </row>
    <row r="868">
      <c r="G868" s="137"/>
      <c r="K868" s="137"/>
      <c r="L868" s="137"/>
      <c r="M868" s="138"/>
      <c r="N868" s="12"/>
      <c r="O868" s="12"/>
    </row>
    <row r="869">
      <c r="G869" s="137"/>
      <c r="K869" s="137"/>
      <c r="L869" s="137"/>
      <c r="M869" s="138"/>
      <c r="N869" s="12"/>
      <c r="O869" s="12"/>
    </row>
    <row r="870">
      <c r="G870" s="137"/>
      <c r="K870" s="137"/>
      <c r="L870" s="137"/>
      <c r="M870" s="138"/>
      <c r="N870" s="12"/>
      <c r="O870" s="12"/>
    </row>
    <row r="871">
      <c r="G871" s="137"/>
      <c r="K871" s="137"/>
      <c r="L871" s="137"/>
      <c r="M871" s="138"/>
      <c r="N871" s="12"/>
      <c r="O871" s="12"/>
    </row>
    <row r="872">
      <c r="G872" s="137"/>
      <c r="K872" s="137"/>
      <c r="L872" s="137"/>
      <c r="M872" s="138"/>
      <c r="N872" s="12"/>
      <c r="O872" s="12"/>
    </row>
    <row r="873">
      <c r="G873" s="137"/>
      <c r="K873" s="137"/>
      <c r="L873" s="137"/>
      <c r="M873" s="138"/>
      <c r="N873" s="12"/>
      <c r="O873" s="12"/>
    </row>
    <row r="874">
      <c r="G874" s="137"/>
      <c r="K874" s="137"/>
      <c r="L874" s="137"/>
      <c r="M874" s="138"/>
      <c r="N874" s="12"/>
      <c r="O874" s="12"/>
    </row>
    <row r="875">
      <c r="G875" s="137"/>
      <c r="K875" s="137"/>
      <c r="L875" s="137"/>
      <c r="M875" s="138"/>
      <c r="N875" s="12"/>
      <c r="O875" s="12"/>
    </row>
    <row r="876">
      <c r="G876" s="137"/>
      <c r="K876" s="137"/>
      <c r="L876" s="137"/>
      <c r="M876" s="138"/>
      <c r="N876" s="12"/>
      <c r="O876" s="12"/>
    </row>
    <row r="877">
      <c r="G877" s="137"/>
      <c r="K877" s="137"/>
      <c r="L877" s="137"/>
      <c r="M877" s="138"/>
      <c r="N877" s="12"/>
      <c r="O877" s="12"/>
    </row>
    <row r="878">
      <c r="G878" s="137"/>
      <c r="K878" s="137"/>
      <c r="L878" s="137"/>
      <c r="M878" s="138"/>
      <c r="N878" s="12"/>
      <c r="O878" s="12"/>
    </row>
    <row r="879">
      <c r="G879" s="137"/>
      <c r="K879" s="137"/>
      <c r="L879" s="137"/>
      <c r="M879" s="138"/>
      <c r="N879" s="12"/>
      <c r="O879" s="12"/>
    </row>
    <row r="880">
      <c r="G880" s="137"/>
      <c r="K880" s="137"/>
      <c r="L880" s="137"/>
      <c r="M880" s="138"/>
      <c r="N880" s="12"/>
      <c r="O880" s="12"/>
    </row>
    <row r="881">
      <c r="G881" s="137"/>
      <c r="K881" s="137"/>
      <c r="L881" s="137"/>
      <c r="M881" s="138"/>
      <c r="N881" s="12"/>
      <c r="O881" s="12"/>
    </row>
    <row r="882">
      <c r="G882" s="137"/>
      <c r="K882" s="137"/>
      <c r="L882" s="137"/>
      <c r="M882" s="138"/>
      <c r="N882" s="12"/>
      <c r="O882" s="12"/>
    </row>
    <row r="883">
      <c r="G883" s="137"/>
      <c r="K883" s="137"/>
      <c r="L883" s="137"/>
      <c r="M883" s="138"/>
      <c r="N883" s="12"/>
      <c r="O883" s="12"/>
    </row>
    <row r="884">
      <c r="G884" s="137"/>
      <c r="K884" s="137"/>
      <c r="L884" s="137"/>
      <c r="M884" s="138"/>
      <c r="N884" s="12"/>
      <c r="O884" s="12"/>
    </row>
    <row r="885">
      <c r="G885" s="137"/>
      <c r="K885" s="137"/>
      <c r="L885" s="137"/>
      <c r="M885" s="138"/>
      <c r="N885" s="12"/>
      <c r="O885" s="12"/>
    </row>
    <row r="886">
      <c r="G886" s="137"/>
      <c r="K886" s="137"/>
      <c r="L886" s="137"/>
      <c r="M886" s="138"/>
      <c r="N886" s="12"/>
      <c r="O886" s="12"/>
    </row>
    <row r="887">
      <c r="G887" s="137"/>
      <c r="K887" s="137"/>
      <c r="L887" s="137"/>
      <c r="M887" s="138"/>
      <c r="N887" s="12"/>
      <c r="O887" s="12"/>
    </row>
    <row r="888">
      <c r="G888" s="137"/>
      <c r="K888" s="137"/>
      <c r="L888" s="137"/>
      <c r="M888" s="138"/>
      <c r="N888" s="12"/>
      <c r="O888" s="12"/>
    </row>
    <row r="889">
      <c r="G889" s="137"/>
      <c r="K889" s="137"/>
      <c r="L889" s="137"/>
      <c r="M889" s="138"/>
      <c r="N889" s="12"/>
      <c r="O889" s="12"/>
    </row>
    <row r="890">
      <c r="G890" s="137"/>
      <c r="K890" s="137"/>
      <c r="L890" s="137"/>
      <c r="M890" s="138"/>
      <c r="N890" s="12"/>
      <c r="O890" s="12"/>
    </row>
    <row r="891">
      <c r="G891" s="137"/>
      <c r="K891" s="137"/>
      <c r="L891" s="137"/>
      <c r="M891" s="138"/>
      <c r="N891" s="12"/>
      <c r="O891" s="12"/>
    </row>
    <row r="892">
      <c r="G892" s="137"/>
      <c r="K892" s="137"/>
      <c r="L892" s="137"/>
      <c r="M892" s="138"/>
      <c r="N892" s="12"/>
      <c r="O892" s="12"/>
    </row>
    <row r="893">
      <c r="G893" s="137"/>
      <c r="K893" s="137"/>
      <c r="L893" s="137"/>
      <c r="M893" s="138"/>
      <c r="N893" s="12"/>
      <c r="O893" s="12"/>
    </row>
    <row r="894">
      <c r="G894" s="137"/>
      <c r="K894" s="137"/>
      <c r="L894" s="137"/>
      <c r="M894" s="138"/>
      <c r="N894" s="12"/>
      <c r="O894" s="12"/>
    </row>
    <row r="895">
      <c r="G895" s="137"/>
      <c r="K895" s="137"/>
      <c r="L895" s="137"/>
      <c r="M895" s="138"/>
      <c r="N895" s="12"/>
      <c r="O895" s="12"/>
    </row>
    <row r="896">
      <c r="G896" s="137"/>
      <c r="K896" s="137"/>
      <c r="L896" s="137"/>
      <c r="M896" s="138"/>
      <c r="N896" s="12"/>
      <c r="O896" s="12"/>
    </row>
    <row r="897">
      <c r="G897" s="137"/>
      <c r="K897" s="137"/>
      <c r="L897" s="137"/>
      <c r="M897" s="138"/>
      <c r="N897" s="12"/>
      <c r="O897" s="12"/>
    </row>
    <row r="898">
      <c r="G898" s="137"/>
      <c r="K898" s="137"/>
      <c r="L898" s="137"/>
      <c r="M898" s="138"/>
      <c r="N898" s="12"/>
      <c r="O898" s="12"/>
    </row>
    <row r="899">
      <c r="G899" s="137"/>
      <c r="K899" s="137"/>
      <c r="L899" s="137"/>
      <c r="M899" s="138"/>
      <c r="N899" s="12"/>
      <c r="O899" s="12"/>
    </row>
    <row r="900">
      <c r="G900" s="137"/>
      <c r="K900" s="137"/>
      <c r="L900" s="137"/>
      <c r="M900" s="138"/>
      <c r="N900" s="12"/>
      <c r="O900" s="12"/>
    </row>
    <row r="901">
      <c r="G901" s="137"/>
      <c r="K901" s="137"/>
      <c r="L901" s="137"/>
      <c r="M901" s="138"/>
      <c r="N901" s="12"/>
      <c r="O901" s="12"/>
    </row>
    <row r="902">
      <c r="G902" s="137"/>
      <c r="K902" s="137"/>
      <c r="L902" s="137"/>
      <c r="M902" s="138"/>
      <c r="N902" s="12"/>
      <c r="O902" s="12"/>
    </row>
    <row r="903">
      <c r="G903" s="137"/>
      <c r="K903" s="137"/>
      <c r="L903" s="137"/>
      <c r="M903" s="138"/>
      <c r="N903" s="12"/>
      <c r="O903" s="12"/>
    </row>
    <row r="904">
      <c r="G904" s="137"/>
      <c r="K904" s="137"/>
      <c r="L904" s="137"/>
      <c r="M904" s="138"/>
      <c r="N904" s="12"/>
      <c r="O904" s="12"/>
    </row>
    <row r="905">
      <c r="G905" s="137"/>
      <c r="K905" s="137"/>
      <c r="L905" s="137"/>
      <c r="M905" s="138"/>
      <c r="N905" s="12"/>
      <c r="O905" s="12"/>
    </row>
    <row r="906">
      <c r="G906" s="137"/>
      <c r="K906" s="137"/>
      <c r="L906" s="137"/>
      <c r="M906" s="138"/>
      <c r="N906" s="12"/>
      <c r="O906" s="12"/>
    </row>
    <row r="907">
      <c r="G907" s="137"/>
      <c r="K907" s="137"/>
      <c r="L907" s="137"/>
      <c r="M907" s="138"/>
      <c r="N907" s="12"/>
      <c r="O907" s="12"/>
    </row>
    <row r="908">
      <c r="G908" s="137"/>
      <c r="K908" s="137"/>
      <c r="L908" s="137"/>
      <c r="M908" s="138"/>
      <c r="N908" s="12"/>
      <c r="O908" s="12"/>
    </row>
    <row r="909">
      <c r="G909" s="137"/>
      <c r="K909" s="137"/>
      <c r="L909" s="137"/>
      <c r="M909" s="138"/>
      <c r="N909" s="12"/>
      <c r="O909" s="12"/>
    </row>
    <row r="910">
      <c r="G910" s="137"/>
      <c r="K910" s="137"/>
      <c r="L910" s="137"/>
      <c r="M910" s="138"/>
      <c r="N910" s="12"/>
      <c r="O910" s="12"/>
    </row>
    <row r="911">
      <c r="G911" s="137"/>
      <c r="K911" s="137"/>
      <c r="L911" s="137"/>
      <c r="M911" s="138"/>
      <c r="N911" s="12"/>
      <c r="O911" s="12"/>
    </row>
    <row r="912">
      <c r="G912" s="137"/>
      <c r="K912" s="137"/>
      <c r="L912" s="137"/>
      <c r="M912" s="138"/>
      <c r="N912" s="12"/>
      <c r="O912" s="12"/>
    </row>
    <row r="913">
      <c r="G913" s="137"/>
      <c r="K913" s="137"/>
      <c r="L913" s="137"/>
      <c r="M913" s="138"/>
      <c r="N913" s="12"/>
      <c r="O913" s="12"/>
    </row>
    <row r="914">
      <c r="G914" s="137"/>
      <c r="K914" s="137"/>
      <c r="L914" s="137"/>
      <c r="M914" s="138"/>
      <c r="N914" s="12"/>
      <c r="O914" s="12"/>
    </row>
    <row r="915">
      <c r="G915" s="137"/>
      <c r="K915" s="137"/>
      <c r="L915" s="137"/>
      <c r="M915" s="138"/>
      <c r="N915" s="12"/>
      <c r="O915" s="12"/>
    </row>
    <row r="916">
      <c r="G916" s="137"/>
      <c r="K916" s="137"/>
      <c r="L916" s="137"/>
      <c r="M916" s="138"/>
      <c r="N916" s="12"/>
      <c r="O916" s="12"/>
    </row>
    <row r="917">
      <c r="G917" s="137"/>
      <c r="K917" s="137"/>
      <c r="L917" s="137"/>
      <c r="M917" s="138"/>
      <c r="N917" s="12"/>
      <c r="O917" s="12"/>
    </row>
    <row r="918">
      <c r="G918" s="137"/>
      <c r="K918" s="137"/>
      <c r="L918" s="137"/>
      <c r="M918" s="138"/>
      <c r="N918" s="12"/>
      <c r="O918" s="12"/>
    </row>
    <row r="919">
      <c r="G919" s="137"/>
      <c r="K919" s="137"/>
      <c r="L919" s="137"/>
      <c r="M919" s="138"/>
      <c r="N919" s="12"/>
      <c r="O919" s="12"/>
    </row>
    <row r="920">
      <c r="G920" s="137"/>
      <c r="K920" s="137"/>
      <c r="L920" s="137"/>
      <c r="M920" s="138"/>
      <c r="N920" s="12"/>
      <c r="O920" s="12"/>
    </row>
    <row r="921">
      <c r="G921" s="137"/>
      <c r="K921" s="137"/>
      <c r="L921" s="137"/>
      <c r="M921" s="138"/>
      <c r="N921" s="12"/>
      <c r="O921" s="12"/>
    </row>
    <row r="922">
      <c r="G922" s="137"/>
      <c r="K922" s="137"/>
      <c r="L922" s="137"/>
      <c r="M922" s="138"/>
      <c r="N922" s="12"/>
      <c r="O922" s="12"/>
    </row>
    <row r="923">
      <c r="G923" s="137"/>
      <c r="K923" s="137"/>
      <c r="L923" s="137"/>
      <c r="M923" s="138"/>
      <c r="N923" s="12"/>
      <c r="O923" s="12"/>
    </row>
    <row r="924">
      <c r="G924" s="137"/>
      <c r="K924" s="137"/>
      <c r="L924" s="137"/>
      <c r="M924" s="138"/>
      <c r="N924" s="12"/>
      <c r="O924" s="12"/>
    </row>
    <row r="925">
      <c r="G925" s="137"/>
      <c r="K925" s="137"/>
      <c r="L925" s="137"/>
      <c r="M925" s="138"/>
      <c r="N925" s="12"/>
      <c r="O925" s="12"/>
    </row>
    <row r="926">
      <c r="G926" s="137"/>
      <c r="K926" s="137"/>
      <c r="L926" s="137"/>
      <c r="M926" s="138"/>
      <c r="N926" s="12"/>
      <c r="O926" s="12"/>
    </row>
    <row r="927">
      <c r="G927" s="137"/>
      <c r="K927" s="137"/>
      <c r="L927" s="137"/>
      <c r="M927" s="138"/>
      <c r="N927" s="12"/>
      <c r="O927" s="12"/>
    </row>
    <row r="928">
      <c r="G928" s="137"/>
      <c r="K928" s="137"/>
      <c r="L928" s="137"/>
      <c r="M928" s="138"/>
      <c r="N928" s="12"/>
      <c r="O928" s="12"/>
    </row>
    <row r="929">
      <c r="G929" s="137"/>
      <c r="K929" s="137"/>
      <c r="L929" s="137"/>
      <c r="M929" s="138"/>
      <c r="N929" s="12"/>
      <c r="O929" s="12"/>
    </row>
    <row r="930">
      <c r="G930" s="137"/>
      <c r="K930" s="137"/>
      <c r="L930" s="137"/>
      <c r="M930" s="138"/>
      <c r="N930" s="12"/>
      <c r="O930" s="12"/>
    </row>
    <row r="931">
      <c r="G931" s="137"/>
      <c r="K931" s="137"/>
      <c r="L931" s="137"/>
      <c r="M931" s="138"/>
      <c r="N931" s="12"/>
      <c r="O931" s="12"/>
    </row>
    <row r="932">
      <c r="G932" s="137"/>
      <c r="K932" s="137"/>
      <c r="L932" s="137"/>
      <c r="M932" s="138"/>
      <c r="N932" s="12"/>
      <c r="O932" s="12"/>
    </row>
    <row r="933">
      <c r="G933" s="137"/>
      <c r="K933" s="137"/>
      <c r="L933" s="137"/>
      <c r="M933" s="138"/>
      <c r="N933" s="12"/>
      <c r="O933" s="12"/>
    </row>
    <row r="934">
      <c r="G934" s="137"/>
      <c r="K934" s="137"/>
      <c r="L934" s="137"/>
      <c r="M934" s="138"/>
      <c r="N934" s="12"/>
      <c r="O934" s="12"/>
    </row>
    <row r="935">
      <c r="G935" s="137"/>
      <c r="K935" s="137"/>
      <c r="L935" s="137"/>
      <c r="M935" s="138"/>
      <c r="N935" s="12"/>
      <c r="O935" s="12"/>
    </row>
    <row r="936">
      <c r="G936" s="137"/>
      <c r="K936" s="137"/>
      <c r="L936" s="137"/>
      <c r="M936" s="138"/>
      <c r="N936" s="12"/>
      <c r="O936" s="12"/>
    </row>
    <row r="937">
      <c r="G937" s="137"/>
      <c r="K937" s="137"/>
      <c r="L937" s="137"/>
      <c r="M937" s="138"/>
      <c r="N937" s="12"/>
      <c r="O937" s="12"/>
    </row>
    <row r="938">
      <c r="G938" s="137"/>
      <c r="K938" s="137"/>
      <c r="L938" s="137"/>
      <c r="M938" s="138"/>
      <c r="N938" s="12"/>
      <c r="O938" s="12"/>
    </row>
    <row r="939">
      <c r="G939" s="137"/>
      <c r="K939" s="137"/>
      <c r="L939" s="137"/>
      <c r="M939" s="138"/>
      <c r="N939" s="12"/>
      <c r="O939" s="12"/>
    </row>
    <row r="940">
      <c r="G940" s="137"/>
      <c r="K940" s="137"/>
      <c r="L940" s="137"/>
      <c r="M940" s="138"/>
      <c r="N940" s="12"/>
      <c r="O940" s="12"/>
    </row>
    <row r="941">
      <c r="G941" s="137"/>
      <c r="K941" s="137"/>
      <c r="L941" s="137"/>
      <c r="M941" s="138"/>
      <c r="N941" s="12"/>
      <c r="O941" s="12"/>
    </row>
    <row r="942">
      <c r="G942" s="137"/>
      <c r="K942" s="137"/>
      <c r="L942" s="137"/>
      <c r="M942" s="138"/>
      <c r="N942" s="12"/>
      <c r="O942" s="12"/>
    </row>
    <row r="943">
      <c r="G943" s="137"/>
      <c r="K943" s="137"/>
      <c r="L943" s="137"/>
      <c r="M943" s="138"/>
      <c r="N943" s="12"/>
      <c r="O943" s="12"/>
    </row>
    <row r="944">
      <c r="G944" s="137"/>
      <c r="K944" s="137"/>
      <c r="L944" s="137"/>
      <c r="M944" s="138"/>
      <c r="N944" s="12"/>
      <c r="O944" s="12"/>
    </row>
    <row r="945">
      <c r="G945" s="137"/>
      <c r="K945" s="137"/>
      <c r="L945" s="137"/>
      <c r="M945" s="138"/>
      <c r="N945" s="12"/>
      <c r="O945" s="12"/>
    </row>
    <row r="946">
      <c r="G946" s="137"/>
      <c r="K946" s="137"/>
      <c r="L946" s="137"/>
      <c r="M946" s="138"/>
      <c r="N946" s="12"/>
      <c r="O946" s="12"/>
    </row>
    <row r="947">
      <c r="G947" s="137"/>
      <c r="K947" s="137"/>
      <c r="L947" s="137"/>
      <c r="M947" s="138"/>
      <c r="N947" s="12"/>
      <c r="O947" s="12"/>
    </row>
    <row r="948">
      <c r="G948" s="137"/>
      <c r="K948" s="137"/>
      <c r="L948" s="137"/>
      <c r="M948" s="138"/>
      <c r="N948" s="12"/>
      <c r="O948" s="12"/>
    </row>
    <row r="949">
      <c r="G949" s="137"/>
      <c r="K949" s="137"/>
      <c r="L949" s="137"/>
      <c r="M949" s="138"/>
      <c r="N949" s="12"/>
      <c r="O949" s="12"/>
    </row>
    <row r="950">
      <c r="G950" s="137"/>
      <c r="K950" s="137"/>
      <c r="L950" s="137"/>
      <c r="M950" s="138"/>
      <c r="N950" s="12"/>
      <c r="O950" s="12"/>
    </row>
    <row r="951">
      <c r="G951" s="137"/>
      <c r="K951" s="137"/>
      <c r="L951" s="137"/>
      <c r="M951" s="138"/>
      <c r="N951" s="12"/>
      <c r="O951" s="12"/>
    </row>
    <row r="952">
      <c r="G952" s="137"/>
      <c r="K952" s="137"/>
      <c r="L952" s="137"/>
      <c r="M952" s="138"/>
      <c r="N952" s="12"/>
      <c r="O952" s="12"/>
    </row>
    <row r="953">
      <c r="G953" s="137"/>
      <c r="K953" s="137"/>
      <c r="L953" s="137"/>
      <c r="M953" s="138"/>
      <c r="N953" s="12"/>
      <c r="O953" s="12"/>
    </row>
    <row r="954">
      <c r="G954" s="137"/>
      <c r="K954" s="137"/>
      <c r="L954" s="137"/>
      <c r="M954" s="138"/>
      <c r="N954" s="12"/>
      <c r="O954" s="12"/>
    </row>
    <row r="955">
      <c r="G955" s="137"/>
      <c r="K955" s="137"/>
      <c r="L955" s="137"/>
      <c r="M955" s="138"/>
      <c r="N955" s="12"/>
      <c r="O955" s="12"/>
    </row>
    <row r="956">
      <c r="G956" s="137"/>
      <c r="K956" s="137"/>
      <c r="L956" s="137"/>
      <c r="M956" s="138"/>
      <c r="N956" s="12"/>
      <c r="O956" s="12"/>
    </row>
    <row r="957">
      <c r="G957" s="137"/>
      <c r="K957" s="137"/>
      <c r="L957" s="137"/>
      <c r="M957" s="138"/>
      <c r="N957" s="12"/>
      <c r="O957" s="12"/>
    </row>
    <row r="958">
      <c r="G958" s="137"/>
      <c r="K958" s="137"/>
      <c r="L958" s="137"/>
      <c r="M958" s="138"/>
      <c r="N958" s="12"/>
      <c r="O958" s="12"/>
    </row>
    <row r="959">
      <c r="G959" s="137"/>
      <c r="K959" s="137"/>
      <c r="L959" s="137"/>
      <c r="M959" s="138"/>
      <c r="N959" s="12"/>
      <c r="O959" s="12"/>
    </row>
    <row r="960">
      <c r="G960" s="137"/>
      <c r="K960" s="137"/>
      <c r="L960" s="137"/>
      <c r="M960" s="138"/>
      <c r="N960" s="12"/>
      <c r="O960" s="12"/>
    </row>
    <row r="961">
      <c r="G961" s="137"/>
      <c r="K961" s="137"/>
      <c r="L961" s="137"/>
      <c r="M961" s="138"/>
      <c r="N961" s="12"/>
      <c r="O961" s="12"/>
    </row>
    <row r="962">
      <c r="G962" s="137"/>
      <c r="K962" s="137"/>
      <c r="L962" s="137"/>
      <c r="M962" s="138"/>
      <c r="N962" s="12"/>
      <c r="O962" s="12"/>
    </row>
    <row r="963">
      <c r="G963" s="137"/>
      <c r="K963" s="137"/>
      <c r="L963" s="137"/>
      <c r="M963" s="138"/>
      <c r="N963" s="12"/>
      <c r="O963" s="12"/>
    </row>
    <row r="964">
      <c r="G964" s="137"/>
      <c r="K964" s="137"/>
      <c r="L964" s="137"/>
      <c r="M964" s="138"/>
      <c r="N964" s="12"/>
      <c r="O964" s="12"/>
    </row>
    <row r="965">
      <c r="G965" s="137"/>
      <c r="K965" s="137"/>
      <c r="L965" s="137"/>
      <c r="M965" s="138"/>
      <c r="N965" s="12"/>
      <c r="O965" s="12"/>
    </row>
    <row r="966">
      <c r="G966" s="137"/>
      <c r="K966" s="137"/>
      <c r="L966" s="137"/>
      <c r="M966" s="138"/>
      <c r="N966" s="12"/>
      <c r="O966" s="12"/>
    </row>
    <row r="967">
      <c r="G967" s="137"/>
      <c r="K967" s="137"/>
      <c r="L967" s="137"/>
      <c r="M967" s="138"/>
      <c r="N967" s="12"/>
      <c r="O967" s="12"/>
    </row>
    <row r="968">
      <c r="G968" s="137"/>
      <c r="K968" s="137"/>
      <c r="L968" s="137"/>
      <c r="M968" s="138"/>
      <c r="N968" s="12"/>
      <c r="O968" s="12"/>
    </row>
    <row r="969">
      <c r="G969" s="137"/>
      <c r="K969" s="137"/>
      <c r="L969" s="137"/>
      <c r="M969" s="138"/>
      <c r="N969" s="12"/>
      <c r="O969" s="12"/>
    </row>
    <row r="970">
      <c r="G970" s="137"/>
      <c r="K970" s="137"/>
      <c r="L970" s="137"/>
      <c r="M970" s="138"/>
      <c r="N970" s="12"/>
      <c r="O970" s="12"/>
    </row>
    <row r="971">
      <c r="G971" s="137"/>
      <c r="K971" s="137"/>
      <c r="L971" s="137"/>
      <c r="M971" s="138"/>
      <c r="N971" s="12"/>
      <c r="O971" s="12"/>
    </row>
    <row r="972">
      <c r="G972" s="137"/>
      <c r="K972" s="137"/>
      <c r="L972" s="137"/>
      <c r="M972" s="138"/>
      <c r="N972" s="12"/>
      <c r="O972" s="12"/>
    </row>
    <row r="973">
      <c r="G973" s="137"/>
      <c r="K973" s="137"/>
      <c r="L973" s="137"/>
      <c r="M973" s="138"/>
      <c r="N973" s="12"/>
      <c r="O973" s="12"/>
    </row>
    <row r="974">
      <c r="G974" s="137"/>
      <c r="K974" s="137"/>
      <c r="L974" s="137"/>
      <c r="M974" s="138"/>
      <c r="N974" s="12"/>
      <c r="O974" s="12"/>
    </row>
    <row r="975">
      <c r="G975" s="137"/>
      <c r="K975" s="137"/>
      <c r="L975" s="137"/>
      <c r="M975" s="138"/>
      <c r="N975" s="12"/>
      <c r="O975" s="12"/>
    </row>
    <row r="976">
      <c r="G976" s="137"/>
      <c r="K976" s="137"/>
      <c r="L976" s="137"/>
      <c r="M976" s="138"/>
      <c r="N976" s="12"/>
      <c r="O976" s="12"/>
    </row>
    <row r="977">
      <c r="G977" s="137"/>
      <c r="K977" s="137"/>
      <c r="L977" s="137"/>
      <c r="M977" s="138"/>
      <c r="N977" s="12"/>
      <c r="O977" s="12"/>
    </row>
    <row r="978">
      <c r="G978" s="137"/>
      <c r="K978" s="137"/>
      <c r="L978" s="137"/>
      <c r="M978" s="138"/>
      <c r="N978" s="12"/>
      <c r="O978" s="12"/>
    </row>
    <row r="979">
      <c r="G979" s="137"/>
      <c r="K979" s="137"/>
      <c r="L979" s="137"/>
      <c r="M979" s="138"/>
      <c r="N979" s="12"/>
      <c r="O979" s="12"/>
    </row>
    <row r="980">
      <c r="G980" s="137"/>
      <c r="K980" s="137"/>
      <c r="L980" s="137"/>
      <c r="M980" s="138"/>
      <c r="N980" s="12"/>
      <c r="O980" s="12"/>
    </row>
    <row r="981">
      <c r="G981" s="137"/>
      <c r="K981" s="137"/>
      <c r="L981" s="137"/>
      <c r="M981" s="138"/>
      <c r="N981" s="12"/>
      <c r="O981" s="12"/>
    </row>
    <row r="982">
      <c r="G982" s="137"/>
      <c r="K982" s="137"/>
      <c r="L982" s="137"/>
      <c r="M982" s="138"/>
      <c r="N982" s="12"/>
      <c r="O982" s="12"/>
    </row>
    <row r="983">
      <c r="G983" s="137"/>
      <c r="K983" s="137"/>
      <c r="L983" s="137"/>
      <c r="M983" s="138"/>
      <c r="N983" s="12"/>
      <c r="O983" s="12"/>
    </row>
    <row r="984">
      <c r="G984" s="137"/>
      <c r="K984" s="137"/>
      <c r="L984" s="137"/>
      <c r="M984" s="138"/>
      <c r="N984" s="12"/>
      <c r="O984" s="12"/>
    </row>
    <row r="985">
      <c r="G985" s="137"/>
      <c r="K985" s="137"/>
      <c r="L985" s="137"/>
      <c r="M985" s="138"/>
      <c r="N985" s="12"/>
      <c r="O985" s="12"/>
    </row>
    <row r="986">
      <c r="G986" s="137"/>
      <c r="K986" s="137"/>
      <c r="L986" s="137"/>
      <c r="M986" s="138"/>
      <c r="N986" s="12"/>
      <c r="O986" s="12"/>
    </row>
    <row r="987">
      <c r="G987" s="137"/>
      <c r="K987" s="137"/>
      <c r="L987" s="137"/>
      <c r="M987" s="138"/>
      <c r="N987" s="12"/>
      <c r="O987" s="12"/>
    </row>
    <row r="988">
      <c r="G988" s="137"/>
      <c r="K988" s="137"/>
      <c r="L988" s="137"/>
      <c r="M988" s="138"/>
      <c r="N988" s="12"/>
      <c r="O988" s="12"/>
    </row>
    <row r="989">
      <c r="G989" s="137"/>
      <c r="K989" s="137"/>
      <c r="L989" s="137"/>
      <c r="M989" s="138"/>
      <c r="N989" s="12"/>
      <c r="O989" s="12"/>
    </row>
    <row r="990">
      <c r="G990" s="137"/>
      <c r="K990" s="137"/>
      <c r="L990" s="137"/>
      <c r="M990" s="138"/>
      <c r="N990" s="12"/>
      <c r="O990" s="12"/>
    </row>
    <row r="991">
      <c r="G991" s="137"/>
      <c r="K991" s="137"/>
      <c r="L991" s="137"/>
      <c r="M991" s="138"/>
      <c r="N991" s="12"/>
      <c r="O991" s="12"/>
    </row>
    <row r="992">
      <c r="G992" s="137"/>
      <c r="K992" s="137"/>
      <c r="L992" s="137"/>
      <c r="M992" s="138"/>
      <c r="N992" s="12"/>
      <c r="O992" s="12"/>
    </row>
    <row r="993">
      <c r="G993" s="137"/>
      <c r="K993" s="137"/>
      <c r="L993" s="137"/>
      <c r="M993" s="138"/>
      <c r="N993" s="12"/>
      <c r="O993" s="12"/>
    </row>
    <row r="994">
      <c r="G994" s="137"/>
      <c r="K994" s="137"/>
      <c r="L994" s="137"/>
      <c r="M994" s="138"/>
      <c r="N994" s="12"/>
      <c r="O994" s="12"/>
    </row>
    <row r="995">
      <c r="G995" s="137"/>
      <c r="K995" s="137"/>
      <c r="L995" s="137"/>
      <c r="M995" s="138"/>
      <c r="N995" s="12"/>
      <c r="O995" s="12"/>
    </row>
    <row r="996">
      <c r="G996" s="137"/>
      <c r="K996" s="137"/>
      <c r="L996" s="137"/>
      <c r="M996" s="138"/>
      <c r="N996" s="12"/>
      <c r="O996" s="12"/>
    </row>
    <row r="997">
      <c r="G997" s="137"/>
      <c r="K997" s="137"/>
      <c r="L997" s="137"/>
      <c r="M997" s="138"/>
      <c r="N997" s="12"/>
      <c r="O997" s="12"/>
    </row>
    <row r="998">
      <c r="G998" s="137"/>
      <c r="K998" s="137"/>
      <c r="L998" s="137"/>
      <c r="M998" s="138"/>
      <c r="N998" s="12"/>
      <c r="O998" s="12"/>
    </row>
    <row r="999">
      <c r="G999" s="137"/>
      <c r="K999" s="137"/>
      <c r="L999" s="137"/>
      <c r="M999" s="138"/>
      <c r="N999" s="12"/>
      <c r="O999" s="12"/>
    </row>
    <row r="1000">
      <c r="G1000" s="137"/>
      <c r="K1000" s="137"/>
      <c r="L1000" s="137"/>
      <c r="M1000" s="138"/>
      <c r="N1000" s="12"/>
      <c r="O1000" s="12"/>
    </row>
    <row r="1001">
      <c r="G1001" s="137"/>
      <c r="K1001" s="137"/>
      <c r="L1001" s="137"/>
      <c r="M1001" s="138"/>
      <c r="N1001" s="12"/>
      <c r="O1001" s="12"/>
    </row>
  </sheetData>
  <mergeCells count="2">
    <mergeCell ref="B1:E1"/>
    <mergeCell ref="F1:G1"/>
  </mergeCells>
  <conditionalFormatting sqref="H3:J13">
    <cfRule type="cellIs" dxfId="5" priority="1" operator="equal">
      <formula>"Yes!"</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10" width="7.88"/>
    <col customWidth="1" min="11" max="12" width="8.63"/>
    <col customWidth="1" min="13" max="13" width="8.38"/>
    <col customWidth="1" min="14" max="15" width="10.75"/>
    <col customWidth="1" min="18" max="18" width="9.5"/>
  </cols>
  <sheetData>
    <row r="3">
      <c r="B3" s="1" t="s">
        <v>1</v>
      </c>
      <c r="C3" s="1" t="s">
        <v>2</v>
      </c>
      <c r="D3" s="1" t="s">
        <v>3</v>
      </c>
      <c r="E3" s="3" t="s">
        <v>4</v>
      </c>
      <c r="F3" s="3" t="s">
        <v>5</v>
      </c>
      <c r="G3" s="3" t="s">
        <v>6</v>
      </c>
      <c r="H3" s="3" t="s">
        <v>7</v>
      </c>
      <c r="I3" s="3" t="s">
        <v>8</v>
      </c>
      <c r="J3" s="3" t="s">
        <v>9</v>
      </c>
      <c r="K3" s="3" t="s">
        <v>10</v>
      </c>
      <c r="L3" s="3" t="s">
        <v>11</v>
      </c>
      <c r="M3" s="6" t="s">
        <v>12</v>
      </c>
      <c r="N3" s="6" t="s">
        <v>14</v>
      </c>
      <c r="O3" s="7"/>
    </row>
    <row r="4">
      <c r="A4" s="8" t="s">
        <v>15</v>
      </c>
      <c r="B4" s="10"/>
      <c r="C4" s="11"/>
      <c r="D4" s="11"/>
      <c r="E4" s="13"/>
      <c r="F4" s="13"/>
      <c r="G4" s="14"/>
      <c r="H4" s="14"/>
      <c r="I4" s="14"/>
      <c r="J4" s="14"/>
      <c r="K4" s="14"/>
      <c r="L4" s="13"/>
      <c r="M4" s="17"/>
      <c r="N4" s="17"/>
      <c r="O4" s="7"/>
    </row>
    <row r="5">
      <c r="A5" s="8" t="s">
        <v>19</v>
      </c>
      <c r="B5" s="10"/>
      <c r="C5" s="11"/>
      <c r="D5" s="11"/>
      <c r="E5" s="13"/>
      <c r="F5" s="13"/>
      <c r="G5" s="13"/>
      <c r="H5" s="13"/>
      <c r="I5" s="14"/>
      <c r="J5" s="14"/>
      <c r="K5" s="14"/>
      <c r="L5" s="14"/>
      <c r="M5" s="19"/>
      <c r="N5" s="19"/>
      <c r="O5" s="7"/>
    </row>
    <row r="6">
      <c r="A6" s="8" t="s">
        <v>22</v>
      </c>
      <c r="B6" s="10"/>
      <c r="C6" s="11"/>
      <c r="D6" s="11"/>
      <c r="E6" s="13"/>
      <c r="F6" s="13"/>
      <c r="G6" s="13"/>
      <c r="H6" s="13"/>
      <c r="I6" s="13"/>
      <c r="J6" s="13"/>
      <c r="K6" s="13"/>
      <c r="L6" s="13"/>
      <c r="M6" s="17"/>
      <c r="N6" s="19"/>
      <c r="O6" s="7"/>
    </row>
    <row r="7">
      <c r="A7" s="8" t="s">
        <v>26</v>
      </c>
      <c r="B7" s="10"/>
      <c r="C7" s="10"/>
      <c r="D7" s="10"/>
      <c r="E7" s="13"/>
      <c r="F7" s="13"/>
      <c r="G7" s="13"/>
      <c r="H7" s="13"/>
      <c r="I7" s="13"/>
      <c r="J7" s="13"/>
      <c r="K7" s="13"/>
      <c r="L7" s="13"/>
      <c r="M7" s="17"/>
      <c r="N7" s="17"/>
      <c r="O7" s="7"/>
    </row>
    <row r="8">
      <c r="A8" s="8" t="s">
        <v>29</v>
      </c>
      <c r="B8" s="10"/>
      <c r="C8" s="10"/>
      <c r="D8" s="11"/>
      <c r="E8" s="13"/>
      <c r="F8" s="13"/>
      <c r="G8" s="14"/>
      <c r="H8" s="13"/>
      <c r="I8" s="13"/>
      <c r="J8" s="13"/>
      <c r="K8" s="13"/>
      <c r="L8" s="13"/>
      <c r="M8" s="17"/>
      <c r="N8" s="17"/>
      <c r="O8" s="7"/>
    </row>
    <row r="9">
      <c r="A9" s="8" t="s">
        <v>30</v>
      </c>
      <c r="B9" s="10"/>
      <c r="C9" s="10"/>
      <c r="D9" s="11"/>
      <c r="E9" s="13"/>
      <c r="F9" s="13"/>
      <c r="G9" s="13"/>
      <c r="H9" s="13"/>
      <c r="I9" s="13"/>
      <c r="J9" s="13"/>
      <c r="K9" s="13"/>
      <c r="L9" s="13"/>
      <c r="M9" s="17"/>
      <c r="N9" s="17"/>
      <c r="O9" s="7"/>
    </row>
    <row r="10">
      <c r="A10" s="8" t="s">
        <v>31</v>
      </c>
      <c r="B10" s="10"/>
      <c r="C10" s="11"/>
      <c r="D10" s="10"/>
      <c r="E10" s="13"/>
      <c r="F10" s="13"/>
      <c r="G10" s="13"/>
      <c r="H10" s="13"/>
      <c r="I10" s="13"/>
      <c r="J10" s="13"/>
      <c r="K10" s="13"/>
      <c r="L10" s="13"/>
      <c r="M10" s="19"/>
      <c r="N10" s="17"/>
      <c r="O10" s="7"/>
    </row>
    <row r="11">
      <c r="A11" s="8" t="s">
        <v>32</v>
      </c>
      <c r="B11" s="10"/>
      <c r="C11" s="11"/>
      <c r="D11" s="10"/>
      <c r="E11" s="13"/>
      <c r="F11" s="13"/>
      <c r="G11" s="13"/>
      <c r="H11" s="13"/>
      <c r="I11" s="13"/>
      <c r="J11" s="14"/>
      <c r="K11" s="13"/>
      <c r="L11" s="13"/>
      <c r="M11" s="17"/>
      <c r="N11" s="17"/>
      <c r="O11" s="7"/>
    </row>
    <row r="12">
      <c r="A12" s="8" t="s">
        <v>33</v>
      </c>
      <c r="B12" s="10"/>
      <c r="C12" s="11"/>
      <c r="D12" s="10"/>
      <c r="E12" s="13"/>
      <c r="F12" s="13"/>
      <c r="G12" s="13"/>
      <c r="H12" s="13"/>
      <c r="I12" s="13"/>
      <c r="J12" s="13"/>
      <c r="K12" s="13"/>
      <c r="L12" s="13"/>
      <c r="M12" s="17"/>
      <c r="N12" s="17"/>
      <c r="O12" s="7"/>
    </row>
    <row r="13">
      <c r="A13" s="8" t="s">
        <v>34</v>
      </c>
      <c r="B13" s="10"/>
      <c r="C13" s="11"/>
      <c r="D13" s="10"/>
      <c r="E13" s="13"/>
      <c r="F13" s="13"/>
      <c r="G13" s="13"/>
      <c r="H13" s="13"/>
      <c r="I13" s="13"/>
      <c r="J13" s="13"/>
      <c r="K13" s="13"/>
      <c r="L13" s="13"/>
      <c r="M13" s="17"/>
      <c r="N13" s="17"/>
      <c r="O13" s="7"/>
    </row>
    <row r="14">
      <c r="A14" s="8" t="s">
        <v>35</v>
      </c>
      <c r="B14" s="10"/>
      <c r="C14" s="11"/>
      <c r="D14" s="10"/>
      <c r="E14" s="14"/>
      <c r="F14" s="14"/>
      <c r="G14" s="14"/>
      <c r="H14" s="14"/>
      <c r="I14" s="14"/>
      <c r="J14" s="14"/>
      <c r="K14" s="14"/>
      <c r="L14" s="13"/>
      <c r="M14" s="17"/>
      <c r="N14" s="19"/>
      <c r="O14" s="7"/>
    </row>
    <row r="15">
      <c r="M15" s="24"/>
      <c r="N15" s="24"/>
      <c r="O15" s="7"/>
    </row>
    <row r="16">
      <c r="B16" s="26" t="s">
        <v>37</v>
      </c>
      <c r="C16" s="26" t="s">
        <v>38</v>
      </c>
      <c r="D16" s="26" t="s">
        <v>39</v>
      </c>
      <c r="E16" s="26" t="s">
        <v>40</v>
      </c>
      <c r="F16" s="26" t="s">
        <v>41</v>
      </c>
      <c r="G16" s="26" t="s">
        <v>42</v>
      </c>
      <c r="H16" s="26" t="s">
        <v>43</v>
      </c>
      <c r="I16" s="26" t="s">
        <v>44</v>
      </c>
      <c r="J16" s="26" t="s">
        <v>45</v>
      </c>
      <c r="K16" s="26" t="s">
        <v>46</v>
      </c>
      <c r="L16" s="26" t="s">
        <v>47</v>
      </c>
      <c r="M16" s="26" t="s">
        <v>48</v>
      </c>
      <c r="N16" s="28" t="s">
        <v>49</v>
      </c>
      <c r="O16" s="28" t="s">
        <v>50</v>
      </c>
      <c r="Q16" s="8" t="s">
        <v>51</v>
      </c>
    </row>
    <row r="17">
      <c r="A17" s="8" t="s">
        <v>15</v>
      </c>
      <c r="B17" s="30"/>
      <c r="C17" s="30"/>
      <c r="D17" s="30"/>
      <c r="E17" s="30"/>
      <c r="F17" s="30"/>
      <c r="G17" s="30"/>
      <c r="H17" s="30"/>
      <c r="I17" s="30"/>
      <c r="J17" s="30"/>
      <c r="K17" s="30"/>
      <c r="L17" s="30"/>
      <c r="M17" s="30"/>
      <c r="N17" s="31"/>
      <c r="O17" s="31"/>
      <c r="Q17" s="32" t="s">
        <v>15</v>
      </c>
      <c r="R17" s="12">
        <f t="shared" ref="R17:R27" si="1">counta(B4:N4)+counta(B17:O17)</f>
        <v>0</v>
      </c>
    </row>
    <row r="18">
      <c r="A18" s="8" t="s">
        <v>19</v>
      </c>
      <c r="B18" s="30"/>
      <c r="C18" s="30"/>
      <c r="D18" s="30"/>
      <c r="E18" s="30"/>
      <c r="F18" s="30"/>
      <c r="G18" s="35"/>
      <c r="H18" s="30"/>
      <c r="I18" s="30"/>
      <c r="J18" s="30"/>
      <c r="K18" s="30"/>
      <c r="L18" s="30"/>
      <c r="M18" s="30"/>
      <c r="N18" s="31"/>
      <c r="O18" s="31"/>
      <c r="Q18" s="32" t="s">
        <v>19</v>
      </c>
      <c r="R18" s="12">
        <f t="shared" si="1"/>
        <v>0</v>
      </c>
    </row>
    <row r="19">
      <c r="A19" s="8" t="s">
        <v>22</v>
      </c>
      <c r="B19" s="30"/>
      <c r="C19" s="30"/>
      <c r="D19" s="30"/>
      <c r="E19" s="30"/>
      <c r="F19" s="30"/>
      <c r="G19" s="30"/>
      <c r="H19" s="30"/>
      <c r="I19" s="30"/>
      <c r="J19" s="30"/>
      <c r="K19" s="30"/>
      <c r="L19" s="30"/>
      <c r="M19" s="30"/>
      <c r="N19" s="31"/>
      <c r="O19" s="31"/>
      <c r="Q19" s="32" t="s">
        <v>22</v>
      </c>
      <c r="R19" s="12">
        <f t="shared" si="1"/>
        <v>0</v>
      </c>
    </row>
    <row r="20">
      <c r="A20" s="8" t="s">
        <v>26</v>
      </c>
      <c r="B20" s="30"/>
      <c r="C20" s="30"/>
      <c r="D20" s="30"/>
      <c r="E20" s="30"/>
      <c r="F20" s="30"/>
      <c r="G20" s="30"/>
      <c r="H20" s="30"/>
      <c r="I20" s="30"/>
      <c r="J20" s="30"/>
      <c r="K20" s="30"/>
      <c r="L20" s="35"/>
      <c r="M20" s="30"/>
      <c r="N20" s="31"/>
      <c r="O20" s="31"/>
      <c r="Q20" s="32" t="s">
        <v>26</v>
      </c>
      <c r="R20" s="12">
        <f t="shared" si="1"/>
        <v>0</v>
      </c>
    </row>
    <row r="21">
      <c r="A21" s="8" t="s">
        <v>29</v>
      </c>
      <c r="B21" s="30"/>
      <c r="C21" s="30"/>
      <c r="D21" s="30"/>
      <c r="E21" s="30"/>
      <c r="F21" s="30"/>
      <c r="G21" s="35"/>
      <c r="H21" s="30"/>
      <c r="I21" s="35"/>
      <c r="J21" s="30"/>
      <c r="K21" s="30"/>
      <c r="L21" s="35"/>
      <c r="M21" s="30"/>
      <c r="N21" s="31"/>
      <c r="O21" s="31"/>
      <c r="Q21" s="32" t="s">
        <v>29</v>
      </c>
      <c r="R21" s="12">
        <f t="shared" si="1"/>
        <v>0</v>
      </c>
    </row>
    <row r="22">
      <c r="A22" s="8" t="s">
        <v>30</v>
      </c>
      <c r="B22" s="30"/>
      <c r="C22" s="30"/>
      <c r="D22" s="30"/>
      <c r="E22" s="30"/>
      <c r="F22" s="30"/>
      <c r="G22" s="30"/>
      <c r="H22" s="30"/>
      <c r="I22" s="30"/>
      <c r="J22" s="30"/>
      <c r="K22" s="30"/>
      <c r="L22" s="35"/>
      <c r="M22" s="30"/>
      <c r="N22" s="31"/>
      <c r="O22" s="31"/>
      <c r="Q22" s="32" t="s">
        <v>30</v>
      </c>
      <c r="R22" s="12">
        <f t="shared" si="1"/>
        <v>0</v>
      </c>
    </row>
    <row r="23">
      <c r="A23" s="8" t="s">
        <v>31</v>
      </c>
      <c r="B23" s="30"/>
      <c r="C23" s="30"/>
      <c r="D23" s="30"/>
      <c r="E23" s="30"/>
      <c r="F23" s="30"/>
      <c r="G23" s="30"/>
      <c r="H23" s="30"/>
      <c r="I23" s="35"/>
      <c r="J23" s="30"/>
      <c r="K23" s="30"/>
      <c r="L23" s="35"/>
      <c r="M23" s="30"/>
      <c r="N23" s="31"/>
      <c r="O23" s="31"/>
      <c r="Q23" s="32" t="s">
        <v>31</v>
      </c>
      <c r="R23" s="12">
        <f t="shared" si="1"/>
        <v>0</v>
      </c>
    </row>
    <row r="24">
      <c r="A24" s="8" t="s">
        <v>32</v>
      </c>
      <c r="B24" s="30"/>
      <c r="C24" s="30"/>
      <c r="D24" s="30"/>
      <c r="E24" s="30"/>
      <c r="F24" s="30"/>
      <c r="G24" s="30"/>
      <c r="H24" s="30"/>
      <c r="I24" s="30"/>
      <c r="J24" s="30"/>
      <c r="K24" s="30"/>
      <c r="L24" s="35"/>
      <c r="M24" s="30"/>
      <c r="N24" s="31"/>
      <c r="O24" s="31"/>
      <c r="Q24" s="32" t="s">
        <v>32</v>
      </c>
      <c r="R24" s="12">
        <f t="shared" si="1"/>
        <v>0</v>
      </c>
    </row>
    <row r="25">
      <c r="A25" s="8" t="s">
        <v>33</v>
      </c>
      <c r="B25" s="30"/>
      <c r="C25" s="30"/>
      <c r="D25" s="30"/>
      <c r="E25" s="30"/>
      <c r="F25" s="30"/>
      <c r="G25" s="30"/>
      <c r="H25" s="30"/>
      <c r="I25" s="30"/>
      <c r="J25" s="30"/>
      <c r="K25" s="30"/>
      <c r="L25" s="30"/>
      <c r="M25" s="30"/>
      <c r="N25" s="31"/>
      <c r="O25" s="31"/>
      <c r="Q25" s="32" t="s">
        <v>33</v>
      </c>
      <c r="R25" s="12">
        <f t="shared" si="1"/>
        <v>0</v>
      </c>
    </row>
    <row r="26">
      <c r="A26" s="8" t="s">
        <v>34</v>
      </c>
      <c r="B26" s="30"/>
      <c r="C26" s="30"/>
      <c r="D26" s="30"/>
      <c r="E26" s="30"/>
      <c r="F26" s="30"/>
      <c r="G26" s="30"/>
      <c r="H26" s="30"/>
      <c r="I26" s="30"/>
      <c r="J26" s="30"/>
      <c r="K26" s="30"/>
      <c r="L26" s="30"/>
      <c r="M26" s="30"/>
      <c r="N26" s="31"/>
      <c r="O26" s="31"/>
      <c r="Q26" s="32" t="s">
        <v>34</v>
      </c>
      <c r="R26" s="12">
        <f t="shared" si="1"/>
        <v>0</v>
      </c>
    </row>
    <row r="27">
      <c r="A27" s="8" t="s">
        <v>35</v>
      </c>
      <c r="B27" s="30"/>
      <c r="C27" s="30"/>
      <c r="D27" s="30"/>
      <c r="E27" s="30"/>
      <c r="F27" s="30"/>
      <c r="G27" s="30"/>
      <c r="H27" s="30"/>
      <c r="I27" s="30"/>
      <c r="J27" s="30"/>
      <c r="K27" s="30"/>
      <c r="L27" s="30"/>
      <c r="M27" s="30"/>
      <c r="N27" s="31"/>
      <c r="O27" s="31"/>
      <c r="Q27" s="32" t="s">
        <v>35</v>
      </c>
      <c r="R27" s="12">
        <f t="shared" si="1"/>
        <v>0</v>
      </c>
    </row>
  </sheetData>
  <conditionalFormatting sqref="R17:R27">
    <cfRule type="colorScale" priority="1">
      <colorScale>
        <cfvo type="min"/>
        <cfvo type="percentile" val="50"/>
        <cfvo type="max"/>
        <color rgb="FF57BB8A"/>
        <color rgb="FFFFD666"/>
        <color rgb="FFE67C73"/>
      </colorScale>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38"/>
    <col customWidth="1" min="2" max="2" width="25.38"/>
    <col customWidth="1" min="3" max="3" width="27.38"/>
    <col customWidth="1" min="4" max="4" width="19.5"/>
    <col customWidth="1" min="5" max="5" width="19.88"/>
    <col customWidth="1" min="6" max="6" width="18.38"/>
  </cols>
  <sheetData>
    <row r="1">
      <c r="A1" s="82"/>
      <c r="B1" s="84" t="s">
        <v>87</v>
      </c>
      <c r="C1" s="84" t="s">
        <v>23</v>
      </c>
      <c r="D1" s="84" t="s">
        <v>88</v>
      </c>
      <c r="E1" s="84" t="s">
        <v>89</v>
      </c>
      <c r="F1" s="84" t="s">
        <v>25</v>
      </c>
      <c r="G1" s="86"/>
    </row>
    <row r="2" ht="36.0" customHeight="1">
      <c r="A2" s="87" t="s">
        <v>15</v>
      </c>
      <c r="B2" s="91" t="str">
        <f>concatenate((countif('Arden_Party Sheet'!A13:A20,"Yes!")),"/8")</f>
        <v>8/8</v>
      </c>
      <c r="C2" s="93" t="str">
        <f>If('Arden_Party Sheet'!$A$13="Yes!","Yes!","No")</f>
        <v>Yes!</v>
      </c>
      <c r="D2" s="93" t="str">
        <f>If('Arden_Party Sheet'!$A$19="Yes!","Yes!","No")</f>
        <v>Yes!</v>
      </c>
      <c r="E2" s="93" t="str">
        <f>If(Dashboard!$M3=TRUE,"Yes!","No")</f>
        <v>Yes!</v>
      </c>
      <c r="F2" s="91">
        <f>Combat_Import!V4</f>
        <v>9</v>
      </c>
    </row>
    <row r="3" ht="36.0" customHeight="1">
      <c r="A3" s="94" t="s">
        <v>19</v>
      </c>
      <c r="B3" s="91" t="str">
        <f>concatenate((countif('Clairia_Party Sheet'!A13:A20,"Yes!")),"/8")</f>
        <v>8/8</v>
      </c>
      <c r="C3" s="93" t="str">
        <f>If('Clairia_Party Sheet'!$A$14="Yes!","Yes!","No")</f>
        <v>Yes!</v>
      </c>
      <c r="D3" s="93" t="str">
        <f>If('Clairia_Party Sheet'!$A$19="Yes!","Yes!","No")</f>
        <v>Yes!</v>
      </c>
      <c r="E3" s="93" t="str">
        <f>If(Dashboard!$M4=TRUE,"Yes!","No")</f>
        <v>No</v>
      </c>
      <c r="F3" s="91">
        <f>Combat_Import!V5</f>
        <v>5</v>
      </c>
    </row>
    <row r="4" ht="36.0" customHeight="1">
      <c r="A4" s="98" t="s">
        <v>99</v>
      </c>
      <c r="B4" s="91" t="str">
        <f>concatenate((countif('Doloron_Party Sheet'!A13:A20,"Yes!")),"/8")</f>
        <v>7/8</v>
      </c>
      <c r="C4" s="93" t="str">
        <f>If('Doloron_Party Sheet'!$A$16="Yes!","Yes!","No")</f>
        <v>Yes!</v>
      </c>
      <c r="D4" s="93" t="str">
        <f>If('Doloron_Party Sheet'!$A$14="Yes!","Yes!","No")</f>
        <v>Yes!</v>
      </c>
      <c r="E4" s="93" t="str">
        <f>If(Dashboard!$M5=TRUE,"Yes!","No")</f>
        <v>No</v>
      </c>
      <c r="F4" s="91">
        <f>Combat_Import!V6</f>
        <v>7</v>
      </c>
    </row>
    <row r="5" ht="36.0" customHeight="1">
      <c r="A5" s="105" t="s">
        <v>26</v>
      </c>
      <c r="B5" s="91" t="str">
        <f>concatenate((countif('Elsewhich_Party Sheet'!A13:A20,"Yes!")),"/8")</f>
        <v>8/8</v>
      </c>
      <c r="C5" s="93" t="str">
        <f>If('Elsewhich_Party Sheet'!$A$12="Yes!","Yes!","No")</f>
        <v>Yes!</v>
      </c>
      <c r="D5" s="93" t="str">
        <f>If('Elsewhich_Party Sheet'!$A$19="Yes!","Yes!","No")</f>
        <v>Yes!</v>
      </c>
      <c r="E5" s="93" t="str">
        <f>If(Dashboard!$M6=TRUE,"Yes!","No")</f>
        <v>Yes!</v>
      </c>
      <c r="F5" s="91">
        <f>Combat_Import!V7</f>
        <v>7</v>
      </c>
    </row>
    <row r="6" ht="36.0" customHeight="1">
      <c r="A6" s="106" t="s">
        <v>29</v>
      </c>
      <c r="B6" s="91" t="str">
        <f>concatenate((countif('Glendeep_Party Sheet'!A$13:A$20,"Yes!")),"/8")</f>
        <v>7/8</v>
      </c>
      <c r="C6" s="93" t="str">
        <f>If('Glendeep_Party Sheet'!$A$12="Yes!","Yes!","No")</f>
        <v>Yes!</v>
      </c>
      <c r="D6" s="93" t="str">
        <f>If('Glendeep_Party Sheet'!$A$19="Yes!","Yes!","No")</f>
        <v>Yes!</v>
      </c>
      <c r="E6" s="93" t="str">
        <f>If(Dashboard!$M7=TRUE,"Yes!","No")</f>
        <v>Yes!</v>
      </c>
      <c r="F6" s="91">
        <f>Combat_Import!V8</f>
        <v>8</v>
      </c>
    </row>
    <row r="7" ht="36.0" customHeight="1">
      <c r="A7" s="108" t="s">
        <v>30</v>
      </c>
      <c r="B7" s="91" t="str">
        <f>concatenate((countif('Keer_Party Sheet'!A$13:A$20,"Yes!")),"/8")</f>
        <v>8/8</v>
      </c>
      <c r="C7" s="93" t="str">
        <f>If('Keer_Party Sheet'!$A$16="Yes!","Yes!","No")</f>
        <v>Yes!</v>
      </c>
      <c r="D7" s="93" t="str">
        <f>If('Keer_Party Sheet'!$A$20="Yes!","Yes!","No")</f>
        <v>Yes!</v>
      </c>
      <c r="E7" s="93" t="str">
        <f>If(Dashboard!$M8=TRUE,"Yes!","No")</f>
        <v>Yes!</v>
      </c>
      <c r="F7" s="91">
        <f>Combat_Import!V9</f>
        <v>9</v>
      </c>
    </row>
    <row r="8" ht="36.0" customHeight="1">
      <c r="A8" s="115" t="s">
        <v>31</v>
      </c>
      <c r="B8" s="91" t="str">
        <f>concatenate((countif('Noctara_Party Sheet'!A$13:A$20,"Yes!")),"/8")</f>
        <v>8/8</v>
      </c>
      <c r="C8" s="93" t="str">
        <f>If('Noctara_Party Sheet'!$A$15="Yes!","Yes!","No")</f>
        <v>Yes!</v>
      </c>
      <c r="D8" s="93" t="str">
        <f>If('Noctara_Party Sheet'!$A$15="Yes!","Yes!","No")</f>
        <v>Yes!</v>
      </c>
      <c r="E8" s="93" t="str">
        <f>If(Dashboard!$M9=TRUE,"Yes!","No")</f>
        <v>Yes!</v>
      </c>
      <c r="F8" s="91">
        <f>Combat_Import!V10</f>
        <v>8</v>
      </c>
    </row>
    <row r="9" ht="36.0" customHeight="1">
      <c r="A9" s="119" t="s">
        <v>32</v>
      </c>
      <c r="B9" s="91" t="str">
        <f>concatenate((countif('Ploa_Party Sheet'!A$13:A$20,"Yes!")),"/8")</f>
        <v>8/8</v>
      </c>
      <c r="C9" s="93" t="str">
        <f>If('Ploa_Party Sheet'!$A$16="Yes!","Yes!","No")</f>
        <v>Yes!</v>
      </c>
      <c r="D9" s="93" t="str">
        <f>If('Ploa_Party Sheet'!$A$20="Yes!","Yes!","No")</f>
        <v>Yes!</v>
      </c>
      <c r="E9" s="93" t="str">
        <f>If(Dashboard!$M10=TRUE,"Yes!","No")</f>
        <v>Yes!</v>
      </c>
      <c r="F9" s="91">
        <f>Combat_Import!V11</f>
        <v>8</v>
      </c>
    </row>
    <row r="10" ht="36.0" customHeight="1">
      <c r="A10" s="125" t="s">
        <v>33</v>
      </c>
      <c r="B10" s="91" t="str">
        <f>concatenate((countif('Sythwan_Party Sheet'!A$13:A$20,"Yes!")),"/8")</f>
        <v>8/8</v>
      </c>
      <c r="C10" s="93" t="str">
        <f>If('Sythwan_Party Sheet'!$A$16="Yes!","Yes!","No")</f>
        <v>Yes!</v>
      </c>
      <c r="D10" s="93" t="str">
        <f>If('Sythwan_Party Sheet'!$A$18="Yes!","Yes!","No")</f>
        <v>Yes!</v>
      </c>
      <c r="E10" s="93" t="str">
        <f>If(Dashboard!$M11=TRUE,"Yes!","No")</f>
        <v>Yes!</v>
      </c>
      <c r="F10" s="91">
        <f>Combat_Import!V12</f>
        <v>10</v>
      </c>
    </row>
    <row r="11" ht="36.0" customHeight="1">
      <c r="A11" s="131" t="s">
        <v>34</v>
      </c>
      <c r="B11" s="91" t="str">
        <f>concatenate((countif('UriKesh_Party Sheet'!A$13:A$20,"Yes!")),"/8")</f>
        <v>8/8</v>
      </c>
      <c r="C11" s="93" t="str">
        <f>If('UriKesh_Party Sheet'!$A$16="Yes!","Yes!","No")</f>
        <v>Yes!</v>
      </c>
      <c r="D11" s="93" t="str">
        <f>If('UriKesh_Party Sheet'!$A$14="Yes!","Yes!","No")</f>
        <v>Yes!</v>
      </c>
      <c r="E11" s="93" t="str">
        <f>If(Dashboard!$M12=TRUE,"Yes!","No")</f>
        <v>Yes!</v>
      </c>
      <c r="F11" s="91">
        <f>Combat_Import!V13</f>
        <v>5</v>
      </c>
    </row>
    <row r="12" ht="36.0" customHeight="1">
      <c r="A12" s="134" t="s">
        <v>35</v>
      </c>
      <c r="B12" s="91" t="str">
        <f>concatenate((countif('Waylon_Party Sheet'!A$13:A$20,"Yes!")),"/8")</f>
        <v>8/8</v>
      </c>
      <c r="C12" s="93" t="str">
        <f>If('Waylon_Party Sheet'!$A$16="Yes!","Yes!","No")</f>
        <v>Yes!</v>
      </c>
      <c r="D12" s="93" t="str">
        <f>If('Waylon_Party Sheet'!$A$16="Yes!","Yes!","No")</f>
        <v>Yes!</v>
      </c>
      <c r="E12" s="93" t="str">
        <f>If(Dashboard!$M13=TRUE,"Yes!","No")</f>
        <v>No</v>
      </c>
      <c r="F12" s="91">
        <f>Combat_Import!V14</f>
        <v>14</v>
      </c>
      <c r="G12" s="140"/>
    </row>
    <row r="13">
      <c r="B13" s="12"/>
      <c r="C13" s="12"/>
      <c r="E13" s="12"/>
      <c r="F13" s="12" t="str">
        <f>Combat_Import!O15</f>
        <v/>
      </c>
    </row>
    <row r="14">
      <c r="B14" s="12"/>
      <c r="C14" s="12"/>
      <c r="E14" s="12"/>
      <c r="F14" s="12"/>
    </row>
    <row r="15">
      <c r="B15" s="12"/>
      <c r="C15" s="12"/>
      <c r="E15" s="12"/>
      <c r="F15" s="12"/>
    </row>
    <row r="16">
      <c r="B16" s="12"/>
      <c r="C16" s="12"/>
      <c r="E16" s="12"/>
      <c r="F16" s="12"/>
    </row>
    <row r="17">
      <c r="B17" s="12"/>
      <c r="C17" s="12"/>
      <c r="E17" s="12"/>
      <c r="F17" s="12"/>
    </row>
    <row r="18">
      <c r="B18" s="12"/>
      <c r="C18" s="12"/>
      <c r="E18" s="12"/>
      <c r="F18" s="12"/>
    </row>
    <row r="19">
      <c r="B19" s="12"/>
      <c r="C19" s="12"/>
      <c r="E19" s="12"/>
      <c r="F19" s="12"/>
    </row>
    <row r="20">
      <c r="B20" s="12"/>
      <c r="C20" s="12"/>
      <c r="E20" s="12"/>
      <c r="F20" s="12"/>
    </row>
    <row r="21">
      <c r="B21" s="12"/>
      <c r="C21" s="12"/>
      <c r="E21" s="12"/>
      <c r="F21" s="12"/>
    </row>
    <row r="22">
      <c r="B22" s="12"/>
      <c r="C22" s="12"/>
      <c r="E22" s="12"/>
      <c r="F22" s="12"/>
    </row>
    <row r="23">
      <c r="B23" s="12"/>
      <c r="C23" s="12"/>
      <c r="E23" s="12"/>
      <c r="F23" s="12"/>
    </row>
    <row r="24">
      <c r="B24" s="12"/>
      <c r="C24" s="12"/>
      <c r="E24" s="12"/>
      <c r="F24" s="12"/>
    </row>
    <row r="25">
      <c r="B25" s="12"/>
      <c r="C25" s="12"/>
      <c r="E25" s="12"/>
      <c r="F25" s="12"/>
    </row>
    <row r="26">
      <c r="B26" s="12"/>
      <c r="C26" s="12"/>
      <c r="E26" s="12"/>
      <c r="F26" s="12"/>
    </row>
    <row r="27">
      <c r="B27" s="12"/>
      <c r="C27" s="12"/>
      <c r="E27" s="12"/>
      <c r="F27" s="12"/>
    </row>
    <row r="28">
      <c r="B28" s="12"/>
      <c r="C28" s="12"/>
      <c r="E28" s="12"/>
      <c r="F28" s="12"/>
    </row>
    <row r="29">
      <c r="B29" s="12"/>
      <c r="C29" s="12"/>
      <c r="E29" s="12"/>
      <c r="F29" s="12"/>
    </row>
    <row r="30">
      <c r="B30" s="12"/>
      <c r="C30" s="12"/>
      <c r="E30" s="12"/>
      <c r="F30" s="12"/>
    </row>
    <row r="31">
      <c r="B31" s="12"/>
      <c r="C31" s="12"/>
      <c r="E31" s="12"/>
      <c r="F31" s="12"/>
    </row>
    <row r="32">
      <c r="B32" s="12"/>
      <c r="C32" s="12"/>
      <c r="E32" s="12"/>
      <c r="F32" s="12"/>
    </row>
    <row r="33">
      <c r="B33" s="12"/>
      <c r="C33" s="12"/>
      <c r="E33" s="12"/>
      <c r="F33" s="12"/>
    </row>
    <row r="34">
      <c r="B34" s="12"/>
      <c r="C34" s="12"/>
      <c r="E34" s="12"/>
      <c r="F34" s="12"/>
    </row>
    <row r="35">
      <c r="B35" s="12"/>
      <c r="C35" s="12"/>
      <c r="E35" s="12"/>
      <c r="F35" s="12"/>
    </row>
    <row r="36">
      <c r="B36" s="12"/>
      <c r="C36" s="12"/>
      <c r="E36" s="12"/>
      <c r="F36" s="12"/>
    </row>
    <row r="37">
      <c r="B37" s="12"/>
      <c r="C37" s="12"/>
      <c r="E37" s="12"/>
      <c r="F37" s="12"/>
    </row>
    <row r="38">
      <c r="B38" s="12"/>
      <c r="C38" s="12"/>
      <c r="E38" s="12"/>
      <c r="F38" s="12"/>
    </row>
    <row r="39">
      <c r="B39" s="12"/>
      <c r="C39" s="12"/>
      <c r="E39" s="12"/>
      <c r="F39" s="12"/>
    </row>
    <row r="40">
      <c r="B40" s="12"/>
      <c r="C40" s="12"/>
      <c r="E40" s="12"/>
      <c r="F40" s="12"/>
    </row>
    <row r="41">
      <c r="B41" s="12"/>
      <c r="C41" s="12"/>
      <c r="E41" s="12"/>
      <c r="F41" s="12"/>
    </row>
    <row r="42">
      <c r="B42" s="12"/>
      <c r="C42" s="12"/>
      <c r="E42" s="12"/>
      <c r="F42" s="12"/>
    </row>
    <row r="43">
      <c r="B43" s="12"/>
      <c r="C43" s="12"/>
      <c r="E43" s="12"/>
      <c r="F43" s="12"/>
    </row>
    <row r="44">
      <c r="B44" s="12"/>
      <c r="C44" s="12"/>
      <c r="E44" s="12"/>
      <c r="F44" s="12"/>
    </row>
    <row r="45">
      <c r="B45" s="12"/>
      <c r="C45" s="12"/>
      <c r="E45" s="12"/>
      <c r="F45" s="12"/>
    </row>
    <row r="46">
      <c r="B46" s="12"/>
      <c r="C46" s="12"/>
      <c r="E46" s="12"/>
      <c r="F46" s="12"/>
    </row>
    <row r="47">
      <c r="B47" s="12"/>
      <c r="C47" s="12"/>
      <c r="E47" s="12"/>
      <c r="F47" s="12"/>
    </row>
    <row r="48">
      <c r="B48" s="12"/>
      <c r="C48" s="12"/>
      <c r="E48" s="12"/>
      <c r="F48" s="12"/>
    </row>
    <row r="49">
      <c r="B49" s="12"/>
      <c r="C49" s="12"/>
      <c r="E49" s="12"/>
      <c r="F49" s="12"/>
    </row>
    <row r="50">
      <c r="B50" s="12"/>
      <c r="C50" s="12"/>
      <c r="E50" s="12"/>
      <c r="F50" s="12"/>
    </row>
    <row r="51">
      <c r="B51" s="12"/>
      <c r="C51" s="12"/>
      <c r="E51" s="12"/>
      <c r="F51" s="12"/>
    </row>
    <row r="52">
      <c r="B52" s="12"/>
      <c r="C52" s="12"/>
      <c r="E52" s="12"/>
      <c r="F52" s="12"/>
    </row>
    <row r="53">
      <c r="B53" s="12"/>
      <c r="C53" s="12"/>
      <c r="E53" s="12"/>
      <c r="F53" s="12"/>
    </row>
    <row r="54">
      <c r="B54" s="12"/>
      <c r="C54" s="12"/>
      <c r="E54" s="12"/>
      <c r="F54" s="12"/>
    </row>
    <row r="55">
      <c r="B55" s="12"/>
      <c r="C55" s="12"/>
      <c r="E55" s="12"/>
      <c r="F55" s="12"/>
    </row>
    <row r="56">
      <c r="B56" s="12"/>
      <c r="C56" s="12"/>
      <c r="E56" s="12"/>
      <c r="F56" s="12"/>
    </row>
    <row r="57">
      <c r="B57" s="12"/>
      <c r="C57" s="12"/>
      <c r="E57" s="12"/>
      <c r="F57" s="12"/>
    </row>
    <row r="58">
      <c r="B58" s="12"/>
      <c r="C58" s="12"/>
      <c r="E58" s="12"/>
      <c r="F58" s="12"/>
    </row>
    <row r="59">
      <c r="B59" s="12"/>
      <c r="C59" s="12"/>
      <c r="E59" s="12"/>
      <c r="F59" s="12"/>
    </row>
    <row r="60">
      <c r="B60" s="12"/>
      <c r="C60" s="12"/>
      <c r="E60" s="12"/>
      <c r="F60" s="12"/>
    </row>
    <row r="61">
      <c r="B61" s="12"/>
      <c r="C61" s="12"/>
      <c r="E61" s="12"/>
      <c r="F61" s="12"/>
    </row>
    <row r="62">
      <c r="B62" s="12"/>
      <c r="C62" s="12"/>
      <c r="E62" s="12"/>
      <c r="F62" s="12"/>
    </row>
    <row r="63">
      <c r="B63" s="12"/>
      <c r="C63" s="12"/>
      <c r="E63" s="12"/>
      <c r="F63" s="12"/>
    </row>
    <row r="64">
      <c r="B64" s="12"/>
      <c r="C64" s="12"/>
      <c r="E64" s="12"/>
      <c r="F64" s="12"/>
    </row>
    <row r="65">
      <c r="B65" s="12"/>
      <c r="C65" s="12"/>
      <c r="E65" s="12"/>
      <c r="F65" s="12"/>
    </row>
    <row r="66">
      <c r="B66" s="12"/>
      <c r="C66" s="12"/>
      <c r="E66" s="12"/>
      <c r="F66" s="12"/>
    </row>
    <row r="67">
      <c r="B67" s="12"/>
      <c r="C67" s="12"/>
      <c r="E67" s="12"/>
      <c r="F67" s="12"/>
    </row>
    <row r="68">
      <c r="B68" s="12"/>
      <c r="C68" s="12"/>
      <c r="E68" s="12"/>
      <c r="F68" s="12"/>
    </row>
    <row r="69">
      <c r="B69" s="12"/>
      <c r="C69" s="12"/>
      <c r="E69" s="12"/>
      <c r="F69" s="12"/>
    </row>
    <row r="70">
      <c r="B70" s="12"/>
      <c r="C70" s="12"/>
      <c r="E70" s="12"/>
      <c r="F70" s="12"/>
    </row>
    <row r="71">
      <c r="B71" s="12"/>
      <c r="C71" s="12"/>
      <c r="E71" s="12"/>
      <c r="F71" s="12"/>
    </row>
    <row r="72">
      <c r="B72" s="12"/>
      <c r="C72" s="12"/>
      <c r="E72" s="12"/>
      <c r="F72" s="12"/>
    </row>
    <row r="73">
      <c r="B73" s="12"/>
      <c r="C73" s="12"/>
      <c r="E73" s="12"/>
      <c r="F73" s="12"/>
    </row>
    <row r="74">
      <c r="B74" s="12"/>
      <c r="C74" s="12"/>
      <c r="E74" s="12"/>
      <c r="F74" s="12"/>
    </row>
    <row r="75">
      <c r="B75" s="12"/>
      <c r="C75" s="12"/>
      <c r="E75" s="12"/>
      <c r="F75" s="12"/>
    </row>
    <row r="76">
      <c r="B76" s="12"/>
      <c r="C76" s="12"/>
      <c r="E76" s="12"/>
      <c r="F76" s="12"/>
    </row>
    <row r="77">
      <c r="B77" s="12"/>
      <c r="C77" s="12"/>
      <c r="E77" s="12"/>
      <c r="F77" s="12"/>
    </row>
    <row r="78">
      <c r="B78" s="12"/>
      <c r="C78" s="12"/>
      <c r="E78" s="12"/>
      <c r="F78" s="12"/>
    </row>
    <row r="79">
      <c r="B79" s="12"/>
      <c r="C79" s="12"/>
      <c r="E79" s="12"/>
      <c r="F79" s="12"/>
    </row>
    <row r="80">
      <c r="B80" s="12"/>
      <c r="C80" s="12"/>
      <c r="E80" s="12"/>
      <c r="F80" s="12"/>
    </row>
    <row r="81">
      <c r="B81" s="12"/>
      <c r="C81" s="12"/>
      <c r="E81" s="12"/>
      <c r="F81" s="12"/>
    </row>
    <row r="82">
      <c r="B82" s="12"/>
      <c r="C82" s="12"/>
      <c r="E82" s="12"/>
      <c r="F82" s="12"/>
    </row>
    <row r="83">
      <c r="B83" s="12"/>
      <c r="C83" s="12"/>
      <c r="E83" s="12"/>
      <c r="F83" s="12"/>
    </row>
    <row r="84">
      <c r="B84" s="12"/>
      <c r="C84" s="12"/>
      <c r="E84" s="12"/>
      <c r="F84" s="12"/>
    </row>
    <row r="85">
      <c r="B85" s="12"/>
      <c r="C85" s="12"/>
      <c r="E85" s="12"/>
      <c r="F85" s="12"/>
    </row>
    <row r="86">
      <c r="B86" s="12"/>
      <c r="C86" s="12"/>
      <c r="E86" s="12"/>
      <c r="F86" s="12"/>
    </row>
    <row r="87">
      <c r="B87" s="12"/>
      <c r="C87" s="12"/>
      <c r="E87" s="12"/>
      <c r="F87" s="12"/>
    </row>
    <row r="88">
      <c r="B88" s="12"/>
      <c r="C88" s="12"/>
      <c r="E88" s="12"/>
      <c r="F88" s="12"/>
    </row>
    <row r="89">
      <c r="B89" s="12"/>
      <c r="C89" s="12"/>
      <c r="E89" s="12"/>
      <c r="F89" s="12"/>
    </row>
    <row r="90">
      <c r="B90" s="12"/>
      <c r="C90" s="12"/>
      <c r="E90" s="12"/>
      <c r="F90" s="12"/>
    </row>
    <row r="91">
      <c r="B91" s="12"/>
      <c r="C91" s="12"/>
      <c r="E91" s="12"/>
      <c r="F91" s="12"/>
    </row>
    <row r="92">
      <c r="B92" s="12"/>
      <c r="C92" s="12"/>
      <c r="E92" s="12"/>
      <c r="F92" s="12"/>
    </row>
    <row r="93">
      <c r="B93" s="12"/>
      <c r="C93" s="12"/>
      <c r="E93" s="12"/>
      <c r="F93" s="12"/>
    </row>
    <row r="94">
      <c r="B94" s="12"/>
      <c r="C94" s="12"/>
      <c r="E94" s="12"/>
      <c r="F94" s="12"/>
    </row>
    <row r="95">
      <c r="B95" s="12"/>
      <c r="C95" s="12"/>
      <c r="E95" s="12"/>
      <c r="F95" s="12"/>
    </row>
    <row r="96">
      <c r="B96" s="12"/>
      <c r="C96" s="12"/>
      <c r="E96" s="12"/>
      <c r="F96" s="12"/>
    </row>
    <row r="97">
      <c r="B97" s="12"/>
      <c r="C97" s="12"/>
      <c r="E97" s="12"/>
      <c r="F97" s="12"/>
    </row>
    <row r="98">
      <c r="B98" s="12"/>
      <c r="C98" s="12"/>
      <c r="E98" s="12"/>
      <c r="F98" s="12"/>
    </row>
    <row r="99">
      <c r="B99" s="12"/>
      <c r="C99" s="12"/>
      <c r="E99" s="12"/>
      <c r="F99" s="12"/>
    </row>
    <row r="100">
      <c r="B100" s="12"/>
      <c r="C100" s="12"/>
      <c r="E100" s="12"/>
      <c r="F100" s="12"/>
    </row>
    <row r="101">
      <c r="B101" s="12"/>
      <c r="C101" s="12"/>
      <c r="E101" s="12"/>
      <c r="F101" s="12"/>
    </row>
    <row r="102">
      <c r="B102" s="12"/>
      <c r="C102" s="12"/>
      <c r="E102" s="12"/>
      <c r="F102" s="12"/>
    </row>
    <row r="103">
      <c r="B103" s="12"/>
      <c r="C103" s="12"/>
      <c r="E103" s="12"/>
      <c r="F103" s="12"/>
    </row>
    <row r="104">
      <c r="B104" s="12"/>
      <c r="C104" s="12"/>
      <c r="E104" s="12"/>
      <c r="F104" s="12"/>
    </row>
    <row r="105">
      <c r="B105" s="12"/>
      <c r="C105" s="12"/>
      <c r="E105" s="12"/>
      <c r="F105" s="12"/>
    </row>
    <row r="106">
      <c r="B106" s="12"/>
      <c r="C106" s="12"/>
      <c r="E106" s="12"/>
      <c r="F106" s="12"/>
    </row>
    <row r="107">
      <c r="B107" s="12"/>
      <c r="C107" s="12"/>
      <c r="E107" s="12"/>
      <c r="F107" s="12"/>
    </row>
    <row r="108">
      <c r="B108" s="12"/>
      <c r="C108" s="12"/>
      <c r="E108" s="12"/>
      <c r="F108" s="12"/>
    </row>
    <row r="109">
      <c r="B109" s="12"/>
      <c r="C109" s="12"/>
      <c r="E109" s="12"/>
      <c r="F109" s="12"/>
    </row>
    <row r="110">
      <c r="B110" s="12"/>
      <c r="C110" s="12"/>
      <c r="E110" s="12"/>
      <c r="F110" s="12"/>
    </row>
    <row r="111">
      <c r="B111" s="12"/>
      <c r="C111" s="12"/>
      <c r="E111" s="12"/>
      <c r="F111" s="12"/>
    </row>
    <row r="112">
      <c r="B112" s="12"/>
      <c r="C112" s="12"/>
      <c r="E112" s="12"/>
      <c r="F112" s="12"/>
    </row>
    <row r="113">
      <c r="B113" s="12"/>
      <c r="C113" s="12"/>
      <c r="E113" s="12"/>
      <c r="F113" s="12"/>
    </row>
    <row r="114">
      <c r="B114" s="12"/>
      <c r="C114" s="12"/>
      <c r="E114" s="12"/>
      <c r="F114" s="12"/>
    </row>
    <row r="115">
      <c r="B115" s="12"/>
      <c r="C115" s="12"/>
      <c r="E115" s="12"/>
      <c r="F115" s="12"/>
    </row>
    <row r="116">
      <c r="B116" s="12"/>
      <c r="C116" s="12"/>
      <c r="E116" s="12"/>
      <c r="F116" s="12"/>
    </row>
    <row r="117">
      <c r="B117" s="12"/>
      <c r="C117" s="12"/>
      <c r="E117" s="12"/>
      <c r="F117" s="12"/>
    </row>
    <row r="118">
      <c r="B118" s="12"/>
      <c r="C118" s="12"/>
      <c r="E118" s="12"/>
      <c r="F118" s="12"/>
    </row>
    <row r="119">
      <c r="B119" s="12"/>
      <c r="C119" s="12"/>
      <c r="E119" s="12"/>
      <c r="F119" s="12"/>
    </row>
    <row r="120">
      <c r="B120" s="12"/>
      <c r="C120" s="12"/>
      <c r="E120" s="12"/>
      <c r="F120" s="12"/>
    </row>
    <row r="121">
      <c r="B121" s="12"/>
      <c r="C121" s="12"/>
      <c r="E121" s="12"/>
      <c r="F121" s="12"/>
    </row>
    <row r="122">
      <c r="B122" s="12"/>
      <c r="C122" s="12"/>
      <c r="E122" s="12"/>
      <c r="F122" s="12"/>
    </row>
    <row r="123">
      <c r="B123" s="12"/>
      <c r="C123" s="12"/>
      <c r="E123" s="12"/>
      <c r="F123" s="12"/>
    </row>
    <row r="124">
      <c r="B124" s="12"/>
      <c r="C124" s="12"/>
      <c r="E124" s="12"/>
      <c r="F124" s="12"/>
    </row>
    <row r="125">
      <c r="B125" s="12"/>
      <c r="C125" s="12"/>
      <c r="E125" s="12"/>
      <c r="F125" s="12"/>
    </row>
    <row r="126">
      <c r="B126" s="12"/>
      <c r="C126" s="12"/>
      <c r="E126" s="12"/>
      <c r="F126" s="12"/>
    </row>
    <row r="127">
      <c r="B127" s="12"/>
      <c r="C127" s="12"/>
      <c r="E127" s="12"/>
      <c r="F127" s="12"/>
    </row>
    <row r="128">
      <c r="B128" s="12"/>
      <c r="C128" s="12"/>
      <c r="E128" s="12"/>
      <c r="F128" s="12"/>
    </row>
    <row r="129">
      <c r="B129" s="12"/>
      <c r="C129" s="12"/>
      <c r="E129" s="12"/>
      <c r="F129" s="12"/>
    </row>
    <row r="130">
      <c r="B130" s="12"/>
      <c r="C130" s="12"/>
      <c r="E130" s="12"/>
      <c r="F130" s="12"/>
    </row>
    <row r="131">
      <c r="B131" s="12"/>
      <c r="C131" s="12"/>
      <c r="E131" s="12"/>
      <c r="F131" s="12"/>
    </row>
    <row r="132">
      <c r="B132" s="12"/>
      <c r="C132" s="12"/>
      <c r="E132" s="12"/>
      <c r="F132" s="12"/>
    </row>
    <row r="133">
      <c r="B133" s="12"/>
      <c r="C133" s="12"/>
      <c r="E133" s="12"/>
      <c r="F133" s="12"/>
    </row>
    <row r="134">
      <c r="B134" s="12"/>
      <c r="C134" s="12"/>
      <c r="E134" s="12"/>
      <c r="F134" s="12"/>
    </row>
    <row r="135">
      <c r="B135" s="12"/>
      <c r="C135" s="12"/>
      <c r="E135" s="12"/>
      <c r="F135" s="12"/>
    </row>
    <row r="136">
      <c r="B136" s="12"/>
      <c r="C136" s="12"/>
      <c r="E136" s="12"/>
      <c r="F136" s="12"/>
    </row>
    <row r="137">
      <c r="B137" s="12"/>
      <c r="C137" s="12"/>
      <c r="E137" s="12"/>
      <c r="F137" s="12"/>
    </row>
    <row r="138">
      <c r="B138" s="12"/>
      <c r="C138" s="12"/>
      <c r="E138" s="12"/>
      <c r="F138" s="12"/>
    </row>
    <row r="139">
      <c r="B139" s="12"/>
      <c r="C139" s="12"/>
      <c r="E139" s="12"/>
      <c r="F139" s="12"/>
    </row>
    <row r="140">
      <c r="B140" s="12"/>
      <c r="C140" s="12"/>
      <c r="E140" s="12"/>
      <c r="F140" s="12"/>
    </row>
    <row r="141">
      <c r="B141" s="12"/>
      <c r="C141" s="12"/>
      <c r="E141" s="12"/>
      <c r="F141" s="12"/>
    </row>
    <row r="142">
      <c r="B142" s="12"/>
      <c r="C142" s="12"/>
      <c r="E142" s="12"/>
      <c r="F142" s="12"/>
    </row>
    <row r="143">
      <c r="B143" s="12"/>
      <c r="C143" s="12"/>
      <c r="E143" s="12"/>
      <c r="F143" s="12"/>
    </row>
    <row r="144">
      <c r="B144" s="12"/>
      <c r="C144" s="12"/>
      <c r="E144" s="12"/>
      <c r="F144" s="12"/>
    </row>
    <row r="145">
      <c r="B145" s="12"/>
      <c r="C145" s="12"/>
      <c r="E145" s="12"/>
      <c r="F145" s="12"/>
    </row>
    <row r="146">
      <c r="B146" s="12"/>
      <c r="C146" s="12"/>
      <c r="E146" s="12"/>
      <c r="F146" s="12"/>
    </row>
    <row r="147">
      <c r="B147" s="12"/>
      <c r="C147" s="12"/>
      <c r="E147" s="12"/>
      <c r="F147" s="12"/>
    </row>
    <row r="148">
      <c r="B148" s="12"/>
      <c r="C148" s="12"/>
      <c r="E148" s="12"/>
      <c r="F148" s="12"/>
    </row>
    <row r="149">
      <c r="B149" s="12"/>
      <c r="C149" s="12"/>
      <c r="E149" s="12"/>
      <c r="F149" s="12"/>
    </row>
    <row r="150">
      <c r="B150" s="12"/>
      <c r="C150" s="12"/>
      <c r="E150" s="12"/>
      <c r="F150" s="12"/>
    </row>
    <row r="151">
      <c r="B151" s="12"/>
      <c r="C151" s="12"/>
      <c r="E151" s="12"/>
      <c r="F151" s="12"/>
    </row>
    <row r="152">
      <c r="B152" s="12"/>
      <c r="C152" s="12"/>
      <c r="E152" s="12"/>
      <c r="F152" s="12"/>
    </row>
    <row r="153">
      <c r="B153" s="12"/>
      <c r="C153" s="12"/>
      <c r="E153" s="12"/>
      <c r="F153" s="12"/>
    </row>
    <row r="154">
      <c r="B154" s="12"/>
      <c r="C154" s="12"/>
      <c r="E154" s="12"/>
      <c r="F154" s="12"/>
    </row>
    <row r="155">
      <c r="B155" s="12"/>
      <c r="C155" s="12"/>
      <c r="E155" s="12"/>
      <c r="F155" s="12"/>
    </row>
    <row r="156">
      <c r="B156" s="12"/>
      <c r="C156" s="12"/>
      <c r="E156" s="12"/>
      <c r="F156" s="12"/>
    </row>
    <row r="157">
      <c r="B157" s="12"/>
      <c r="C157" s="12"/>
      <c r="E157" s="12"/>
      <c r="F157" s="12"/>
    </row>
    <row r="158">
      <c r="B158" s="12"/>
      <c r="C158" s="12"/>
      <c r="E158" s="12"/>
      <c r="F158" s="12"/>
    </row>
    <row r="159">
      <c r="B159" s="12"/>
      <c r="C159" s="12"/>
      <c r="E159" s="12"/>
      <c r="F159" s="12"/>
    </row>
    <row r="160">
      <c r="B160" s="12"/>
      <c r="C160" s="12"/>
      <c r="E160" s="12"/>
      <c r="F160" s="12"/>
    </row>
    <row r="161">
      <c r="B161" s="12"/>
      <c r="C161" s="12"/>
      <c r="E161" s="12"/>
      <c r="F161" s="12"/>
    </row>
    <row r="162">
      <c r="B162" s="12"/>
      <c r="C162" s="12"/>
      <c r="E162" s="12"/>
      <c r="F162" s="12"/>
    </row>
    <row r="163">
      <c r="B163" s="12"/>
      <c r="C163" s="12"/>
      <c r="E163" s="12"/>
      <c r="F163" s="12"/>
    </row>
    <row r="164">
      <c r="B164" s="12"/>
      <c r="C164" s="12"/>
      <c r="E164" s="12"/>
      <c r="F164" s="12"/>
    </row>
    <row r="165">
      <c r="B165" s="12"/>
      <c r="C165" s="12"/>
      <c r="E165" s="12"/>
      <c r="F165" s="12"/>
    </row>
    <row r="166">
      <c r="B166" s="12"/>
      <c r="C166" s="12"/>
      <c r="E166" s="12"/>
      <c r="F166" s="12"/>
    </row>
    <row r="167">
      <c r="B167" s="12"/>
      <c r="C167" s="12"/>
      <c r="E167" s="12"/>
      <c r="F167" s="12"/>
    </row>
    <row r="168">
      <c r="B168" s="12"/>
      <c r="C168" s="12"/>
      <c r="E168" s="12"/>
      <c r="F168" s="12"/>
    </row>
    <row r="169">
      <c r="B169" s="12"/>
      <c r="C169" s="12"/>
      <c r="E169" s="12"/>
      <c r="F169" s="12"/>
    </row>
    <row r="170">
      <c r="B170" s="12"/>
      <c r="C170" s="12"/>
      <c r="E170" s="12"/>
      <c r="F170" s="12"/>
    </row>
    <row r="171">
      <c r="B171" s="12"/>
      <c r="C171" s="12"/>
      <c r="E171" s="12"/>
      <c r="F171" s="12"/>
    </row>
    <row r="172">
      <c r="B172" s="12"/>
      <c r="C172" s="12"/>
      <c r="E172" s="12"/>
      <c r="F172" s="12"/>
    </row>
    <row r="173">
      <c r="B173" s="12"/>
      <c r="C173" s="12"/>
      <c r="E173" s="12"/>
      <c r="F173" s="12"/>
    </row>
    <row r="174">
      <c r="B174" s="12"/>
      <c r="C174" s="12"/>
      <c r="E174" s="12"/>
      <c r="F174" s="12"/>
    </row>
    <row r="175">
      <c r="B175" s="12"/>
      <c r="C175" s="12"/>
      <c r="E175" s="12"/>
      <c r="F175" s="12"/>
    </row>
    <row r="176">
      <c r="B176" s="12"/>
      <c r="C176" s="12"/>
      <c r="E176" s="12"/>
      <c r="F176" s="12"/>
    </row>
    <row r="177">
      <c r="B177" s="12"/>
      <c r="C177" s="12"/>
      <c r="E177" s="12"/>
      <c r="F177" s="12"/>
    </row>
    <row r="178">
      <c r="B178" s="12"/>
      <c r="C178" s="12"/>
      <c r="E178" s="12"/>
      <c r="F178" s="12"/>
    </row>
    <row r="179">
      <c r="B179" s="12"/>
      <c r="C179" s="12"/>
      <c r="E179" s="12"/>
      <c r="F179" s="12"/>
    </row>
    <row r="180">
      <c r="B180" s="12"/>
      <c r="C180" s="12"/>
      <c r="E180" s="12"/>
      <c r="F180" s="12"/>
    </row>
    <row r="181">
      <c r="B181" s="12"/>
      <c r="C181" s="12"/>
      <c r="E181" s="12"/>
      <c r="F181" s="12"/>
    </row>
    <row r="182">
      <c r="B182" s="12"/>
      <c r="C182" s="12"/>
      <c r="E182" s="12"/>
      <c r="F182" s="12"/>
    </row>
    <row r="183">
      <c r="B183" s="12"/>
      <c r="C183" s="12"/>
      <c r="E183" s="12"/>
      <c r="F183" s="12"/>
    </row>
    <row r="184">
      <c r="B184" s="12"/>
      <c r="C184" s="12"/>
      <c r="E184" s="12"/>
      <c r="F184" s="12"/>
    </row>
    <row r="185">
      <c r="B185" s="12"/>
      <c r="C185" s="12"/>
      <c r="E185" s="12"/>
      <c r="F185" s="12"/>
    </row>
    <row r="186">
      <c r="B186" s="12"/>
      <c r="C186" s="12"/>
      <c r="E186" s="12"/>
      <c r="F186" s="12"/>
    </row>
    <row r="187">
      <c r="B187" s="12"/>
      <c r="C187" s="12"/>
      <c r="E187" s="12"/>
      <c r="F187" s="12"/>
    </row>
    <row r="188">
      <c r="B188" s="12"/>
      <c r="C188" s="12"/>
      <c r="E188" s="12"/>
      <c r="F188" s="12"/>
    </row>
    <row r="189">
      <c r="B189" s="12"/>
      <c r="C189" s="12"/>
      <c r="E189" s="12"/>
      <c r="F189" s="12"/>
    </row>
    <row r="190">
      <c r="B190" s="12"/>
      <c r="C190" s="12"/>
      <c r="E190" s="12"/>
      <c r="F190" s="12"/>
    </row>
    <row r="191">
      <c r="B191" s="12"/>
      <c r="C191" s="12"/>
      <c r="E191" s="12"/>
      <c r="F191" s="12"/>
    </row>
    <row r="192">
      <c r="B192" s="12"/>
      <c r="C192" s="12"/>
      <c r="E192" s="12"/>
      <c r="F192" s="12"/>
    </row>
    <row r="193">
      <c r="B193" s="12"/>
      <c r="C193" s="12"/>
      <c r="E193" s="12"/>
      <c r="F193" s="12"/>
    </row>
    <row r="194">
      <c r="B194" s="12"/>
      <c r="C194" s="12"/>
      <c r="E194" s="12"/>
      <c r="F194" s="12"/>
    </row>
    <row r="195">
      <c r="B195" s="12"/>
      <c r="C195" s="12"/>
      <c r="E195" s="12"/>
      <c r="F195" s="12"/>
    </row>
    <row r="196">
      <c r="B196" s="12"/>
      <c r="C196" s="12"/>
      <c r="E196" s="12"/>
      <c r="F196" s="12"/>
    </row>
    <row r="197">
      <c r="B197" s="12"/>
      <c r="C197" s="12"/>
      <c r="E197" s="12"/>
      <c r="F197" s="12"/>
    </row>
    <row r="198">
      <c r="B198" s="12"/>
      <c r="C198" s="12"/>
      <c r="E198" s="12"/>
      <c r="F198" s="12"/>
    </row>
    <row r="199">
      <c r="B199" s="12"/>
      <c r="C199" s="12"/>
      <c r="E199" s="12"/>
      <c r="F199" s="12"/>
    </row>
    <row r="200">
      <c r="B200" s="12"/>
      <c r="C200" s="12"/>
      <c r="E200" s="12"/>
      <c r="F200" s="12"/>
    </row>
    <row r="201">
      <c r="B201" s="12"/>
      <c r="C201" s="12"/>
      <c r="E201" s="12"/>
      <c r="F201" s="12"/>
    </row>
    <row r="202">
      <c r="B202" s="12"/>
      <c r="C202" s="12"/>
      <c r="E202" s="12"/>
      <c r="F202" s="12"/>
    </row>
    <row r="203">
      <c r="B203" s="12"/>
      <c r="C203" s="12"/>
      <c r="E203" s="12"/>
      <c r="F203" s="12"/>
    </row>
    <row r="204">
      <c r="B204" s="12"/>
      <c r="C204" s="12"/>
      <c r="E204" s="12"/>
      <c r="F204" s="12"/>
    </row>
    <row r="205">
      <c r="B205" s="12"/>
      <c r="C205" s="12"/>
      <c r="E205" s="12"/>
      <c r="F205" s="12"/>
    </row>
    <row r="206">
      <c r="B206" s="12"/>
      <c r="C206" s="12"/>
      <c r="E206" s="12"/>
      <c r="F206" s="12"/>
    </row>
    <row r="207">
      <c r="B207" s="12"/>
      <c r="C207" s="12"/>
      <c r="E207" s="12"/>
      <c r="F207" s="12"/>
    </row>
    <row r="208">
      <c r="B208" s="12"/>
      <c r="C208" s="12"/>
      <c r="E208" s="12"/>
      <c r="F208" s="12"/>
    </row>
    <row r="209">
      <c r="B209" s="12"/>
      <c r="C209" s="12"/>
      <c r="E209" s="12"/>
      <c r="F209" s="12"/>
    </row>
    <row r="210">
      <c r="B210" s="12"/>
      <c r="C210" s="12"/>
      <c r="E210" s="12"/>
      <c r="F210" s="12"/>
    </row>
    <row r="211">
      <c r="B211" s="12"/>
      <c r="C211" s="12"/>
      <c r="E211" s="12"/>
      <c r="F211" s="12"/>
    </row>
    <row r="212">
      <c r="B212" s="12"/>
      <c r="C212" s="12"/>
      <c r="E212" s="12"/>
      <c r="F212" s="12"/>
    </row>
    <row r="213">
      <c r="B213" s="12"/>
      <c r="C213" s="12"/>
      <c r="E213" s="12"/>
      <c r="F213" s="12"/>
    </row>
    <row r="214">
      <c r="B214" s="12"/>
      <c r="C214" s="12"/>
      <c r="E214" s="12"/>
      <c r="F214" s="12"/>
    </row>
    <row r="215">
      <c r="B215" s="12"/>
      <c r="C215" s="12"/>
      <c r="E215" s="12"/>
      <c r="F215" s="12"/>
    </row>
    <row r="216">
      <c r="B216" s="12"/>
      <c r="C216" s="12"/>
      <c r="E216" s="12"/>
      <c r="F216" s="12"/>
    </row>
    <row r="217">
      <c r="B217" s="12"/>
      <c r="C217" s="12"/>
      <c r="E217" s="12"/>
      <c r="F217" s="12"/>
    </row>
    <row r="218">
      <c r="B218" s="12"/>
      <c r="C218" s="12"/>
      <c r="E218" s="12"/>
      <c r="F218" s="12"/>
    </row>
    <row r="219">
      <c r="B219" s="12"/>
      <c r="C219" s="12"/>
      <c r="E219" s="12"/>
      <c r="F219" s="12"/>
    </row>
    <row r="220">
      <c r="B220" s="12"/>
      <c r="C220" s="12"/>
      <c r="E220" s="12"/>
      <c r="F220" s="12"/>
    </row>
    <row r="221">
      <c r="B221" s="12"/>
      <c r="C221" s="12"/>
      <c r="E221" s="12"/>
      <c r="F221" s="12"/>
    </row>
    <row r="222">
      <c r="B222" s="12"/>
      <c r="C222" s="12"/>
      <c r="E222" s="12"/>
      <c r="F222" s="12"/>
    </row>
    <row r="223">
      <c r="B223" s="12"/>
      <c r="C223" s="12"/>
      <c r="E223" s="12"/>
      <c r="F223" s="12"/>
    </row>
    <row r="224">
      <c r="B224" s="12"/>
      <c r="C224" s="12"/>
      <c r="E224" s="12"/>
      <c r="F224" s="12"/>
    </row>
    <row r="225">
      <c r="B225" s="12"/>
      <c r="C225" s="12"/>
      <c r="E225" s="12"/>
      <c r="F225" s="12"/>
    </row>
    <row r="226">
      <c r="B226" s="12"/>
      <c r="C226" s="12"/>
      <c r="E226" s="12"/>
      <c r="F226" s="12"/>
    </row>
    <row r="227">
      <c r="B227" s="12"/>
      <c r="C227" s="12"/>
      <c r="E227" s="12"/>
      <c r="F227" s="12"/>
    </row>
    <row r="228">
      <c r="B228" s="12"/>
      <c r="C228" s="12"/>
      <c r="E228" s="12"/>
      <c r="F228" s="12"/>
    </row>
    <row r="229">
      <c r="B229" s="12"/>
      <c r="C229" s="12"/>
      <c r="E229" s="12"/>
      <c r="F229" s="12"/>
    </row>
    <row r="230">
      <c r="B230" s="12"/>
      <c r="C230" s="12"/>
      <c r="E230" s="12"/>
      <c r="F230" s="12"/>
    </row>
    <row r="231">
      <c r="B231" s="12"/>
      <c r="C231" s="12"/>
      <c r="E231" s="12"/>
      <c r="F231" s="12"/>
    </row>
    <row r="232">
      <c r="B232" s="12"/>
      <c r="C232" s="12"/>
      <c r="E232" s="12"/>
      <c r="F232" s="12"/>
    </row>
    <row r="233">
      <c r="B233" s="12"/>
      <c r="C233" s="12"/>
      <c r="E233" s="12"/>
      <c r="F233" s="12"/>
    </row>
    <row r="234">
      <c r="B234" s="12"/>
      <c r="C234" s="12"/>
      <c r="E234" s="12"/>
      <c r="F234" s="12"/>
    </row>
    <row r="235">
      <c r="B235" s="12"/>
      <c r="C235" s="12"/>
      <c r="E235" s="12"/>
      <c r="F235" s="12"/>
    </row>
    <row r="236">
      <c r="B236" s="12"/>
      <c r="C236" s="12"/>
      <c r="E236" s="12"/>
      <c r="F236" s="12"/>
    </row>
    <row r="237">
      <c r="B237" s="12"/>
      <c r="C237" s="12"/>
      <c r="E237" s="12"/>
      <c r="F237" s="12"/>
    </row>
    <row r="238">
      <c r="B238" s="12"/>
      <c r="C238" s="12"/>
      <c r="E238" s="12"/>
      <c r="F238" s="12"/>
    </row>
    <row r="239">
      <c r="B239" s="12"/>
      <c r="C239" s="12"/>
      <c r="E239" s="12"/>
      <c r="F239" s="12"/>
    </row>
    <row r="240">
      <c r="B240" s="12"/>
      <c r="C240" s="12"/>
      <c r="E240" s="12"/>
      <c r="F240" s="12"/>
    </row>
    <row r="241">
      <c r="B241" s="12"/>
      <c r="C241" s="12"/>
      <c r="E241" s="12"/>
      <c r="F241" s="12"/>
    </row>
    <row r="242">
      <c r="B242" s="12"/>
      <c r="C242" s="12"/>
      <c r="E242" s="12"/>
      <c r="F242" s="12"/>
    </row>
    <row r="243">
      <c r="B243" s="12"/>
      <c r="C243" s="12"/>
      <c r="E243" s="12"/>
      <c r="F243" s="12"/>
    </row>
    <row r="244">
      <c r="B244" s="12"/>
      <c r="C244" s="12"/>
      <c r="E244" s="12"/>
      <c r="F244" s="12"/>
    </row>
    <row r="245">
      <c r="B245" s="12"/>
      <c r="C245" s="12"/>
      <c r="E245" s="12"/>
      <c r="F245" s="12"/>
    </row>
    <row r="246">
      <c r="B246" s="12"/>
      <c r="C246" s="12"/>
      <c r="E246" s="12"/>
      <c r="F246" s="12"/>
    </row>
    <row r="247">
      <c r="B247" s="12"/>
      <c r="C247" s="12"/>
      <c r="E247" s="12"/>
      <c r="F247" s="12"/>
    </row>
    <row r="248">
      <c r="B248" s="12"/>
      <c r="C248" s="12"/>
      <c r="E248" s="12"/>
      <c r="F248" s="12"/>
    </row>
    <row r="249">
      <c r="B249" s="12"/>
      <c r="C249" s="12"/>
      <c r="E249" s="12"/>
      <c r="F249" s="12"/>
    </row>
    <row r="250">
      <c r="B250" s="12"/>
      <c r="C250" s="12"/>
      <c r="E250" s="12"/>
      <c r="F250" s="12"/>
    </row>
    <row r="251">
      <c r="B251" s="12"/>
      <c r="C251" s="12"/>
      <c r="E251" s="12"/>
      <c r="F251" s="12"/>
    </row>
    <row r="252">
      <c r="B252" s="12"/>
      <c r="C252" s="12"/>
      <c r="E252" s="12"/>
      <c r="F252" s="12"/>
    </row>
    <row r="253">
      <c r="B253" s="12"/>
      <c r="C253" s="12"/>
      <c r="E253" s="12"/>
      <c r="F253" s="12"/>
    </row>
    <row r="254">
      <c r="B254" s="12"/>
      <c r="C254" s="12"/>
      <c r="E254" s="12"/>
      <c r="F254" s="12"/>
    </row>
    <row r="255">
      <c r="B255" s="12"/>
      <c r="C255" s="12"/>
      <c r="E255" s="12"/>
      <c r="F255" s="12"/>
    </row>
    <row r="256">
      <c r="B256" s="12"/>
      <c r="C256" s="12"/>
      <c r="E256" s="12"/>
      <c r="F256" s="12"/>
    </row>
    <row r="257">
      <c r="B257" s="12"/>
      <c r="C257" s="12"/>
      <c r="E257" s="12"/>
      <c r="F257" s="12"/>
    </row>
    <row r="258">
      <c r="B258" s="12"/>
      <c r="C258" s="12"/>
      <c r="E258" s="12"/>
      <c r="F258" s="12"/>
    </row>
    <row r="259">
      <c r="B259" s="12"/>
      <c r="C259" s="12"/>
      <c r="E259" s="12"/>
      <c r="F259" s="12"/>
    </row>
    <row r="260">
      <c r="B260" s="12"/>
      <c r="C260" s="12"/>
      <c r="E260" s="12"/>
      <c r="F260" s="12"/>
    </row>
    <row r="261">
      <c r="B261" s="12"/>
      <c r="C261" s="12"/>
      <c r="E261" s="12"/>
      <c r="F261" s="12"/>
    </row>
    <row r="262">
      <c r="B262" s="12"/>
      <c r="C262" s="12"/>
      <c r="E262" s="12"/>
      <c r="F262" s="12"/>
    </row>
    <row r="263">
      <c r="B263" s="12"/>
      <c r="C263" s="12"/>
      <c r="E263" s="12"/>
      <c r="F263" s="12"/>
    </row>
    <row r="264">
      <c r="B264" s="12"/>
      <c r="C264" s="12"/>
      <c r="E264" s="12"/>
      <c r="F264" s="12"/>
    </row>
    <row r="265">
      <c r="B265" s="12"/>
      <c r="C265" s="12"/>
      <c r="E265" s="12"/>
      <c r="F265" s="12"/>
    </row>
    <row r="266">
      <c r="B266" s="12"/>
      <c r="C266" s="12"/>
      <c r="E266" s="12"/>
      <c r="F266" s="12"/>
    </row>
    <row r="267">
      <c r="B267" s="12"/>
      <c r="C267" s="12"/>
      <c r="E267" s="12"/>
      <c r="F267" s="12"/>
    </row>
    <row r="268">
      <c r="B268" s="12"/>
      <c r="C268" s="12"/>
      <c r="E268" s="12"/>
      <c r="F268" s="12"/>
    </row>
    <row r="269">
      <c r="B269" s="12"/>
      <c r="C269" s="12"/>
      <c r="E269" s="12"/>
      <c r="F269" s="12"/>
    </row>
    <row r="270">
      <c r="B270" s="12"/>
      <c r="C270" s="12"/>
      <c r="E270" s="12"/>
      <c r="F270" s="12"/>
    </row>
    <row r="271">
      <c r="B271" s="12"/>
      <c r="C271" s="12"/>
      <c r="E271" s="12"/>
      <c r="F271" s="12"/>
    </row>
    <row r="272">
      <c r="B272" s="12"/>
      <c r="C272" s="12"/>
      <c r="E272" s="12"/>
      <c r="F272" s="12"/>
    </row>
    <row r="273">
      <c r="B273" s="12"/>
      <c r="C273" s="12"/>
      <c r="E273" s="12"/>
      <c r="F273" s="12"/>
    </row>
    <row r="274">
      <c r="B274" s="12"/>
      <c r="C274" s="12"/>
      <c r="E274" s="12"/>
      <c r="F274" s="12"/>
    </row>
    <row r="275">
      <c r="B275" s="12"/>
      <c r="C275" s="12"/>
      <c r="E275" s="12"/>
      <c r="F275" s="12"/>
    </row>
    <row r="276">
      <c r="B276" s="12"/>
      <c r="C276" s="12"/>
      <c r="E276" s="12"/>
      <c r="F276" s="12"/>
    </row>
    <row r="277">
      <c r="B277" s="12"/>
      <c r="C277" s="12"/>
      <c r="E277" s="12"/>
      <c r="F277" s="12"/>
    </row>
    <row r="278">
      <c r="B278" s="12"/>
      <c r="C278" s="12"/>
      <c r="E278" s="12"/>
      <c r="F278" s="12"/>
    </row>
    <row r="279">
      <c r="B279" s="12"/>
      <c r="C279" s="12"/>
      <c r="E279" s="12"/>
      <c r="F279" s="12"/>
    </row>
    <row r="280">
      <c r="B280" s="12"/>
      <c r="C280" s="12"/>
      <c r="E280" s="12"/>
      <c r="F280" s="12"/>
    </row>
    <row r="281">
      <c r="B281" s="12"/>
      <c r="C281" s="12"/>
      <c r="E281" s="12"/>
      <c r="F281" s="12"/>
    </row>
    <row r="282">
      <c r="B282" s="12"/>
      <c r="C282" s="12"/>
      <c r="E282" s="12"/>
      <c r="F282" s="12"/>
    </row>
    <row r="283">
      <c r="B283" s="12"/>
      <c r="C283" s="12"/>
      <c r="E283" s="12"/>
      <c r="F283" s="12"/>
    </row>
    <row r="284">
      <c r="B284" s="12"/>
      <c r="C284" s="12"/>
      <c r="E284" s="12"/>
      <c r="F284" s="12"/>
    </row>
    <row r="285">
      <c r="B285" s="12"/>
      <c r="C285" s="12"/>
      <c r="E285" s="12"/>
      <c r="F285" s="12"/>
    </row>
    <row r="286">
      <c r="B286" s="12"/>
      <c r="C286" s="12"/>
      <c r="E286" s="12"/>
      <c r="F286" s="12"/>
    </row>
    <row r="287">
      <c r="B287" s="12"/>
      <c r="C287" s="12"/>
      <c r="E287" s="12"/>
      <c r="F287" s="12"/>
    </row>
    <row r="288">
      <c r="B288" s="12"/>
      <c r="C288" s="12"/>
      <c r="E288" s="12"/>
      <c r="F288" s="12"/>
    </row>
    <row r="289">
      <c r="B289" s="12"/>
      <c r="C289" s="12"/>
      <c r="E289" s="12"/>
      <c r="F289" s="12"/>
    </row>
    <row r="290">
      <c r="B290" s="12"/>
      <c r="C290" s="12"/>
      <c r="E290" s="12"/>
      <c r="F290" s="12"/>
    </row>
    <row r="291">
      <c r="B291" s="12"/>
      <c r="C291" s="12"/>
      <c r="E291" s="12"/>
      <c r="F291" s="12"/>
    </row>
    <row r="292">
      <c r="B292" s="12"/>
      <c r="C292" s="12"/>
      <c r="E292" s="12"/>
      <c r="F292" s="12"/>
    </row>
    <row r="293">
      <c r="B293" s="12"/>
      <c r="C293" s="12"/>
      <c r="E293" s="12"/>
      <c r="F293" s="12"/>
    </row>
    <row r="294">
      <c r="B294" s="12"/>
      <c r="C294" s="12"/>
      <c r="E294" s="12"/>
      <c r="F294" s="12"/>
    </row>
    <row r="295">
      <c r="B295" s="12"/>
      <c r="C295" s="12"/>
      <c r="E295" s="12"/>
      <c r="F295" s="12"/>
    </row>
    <row r="296">
      <c r="B296" s="12"/>
      <c r="C296" s="12"/>
      <c r="E296" s="12"/>
      <c r="F296" s="12"/>
    </row>
    <row r="297">
      <c r="B297" s="12"/>
      <c r="C297" s="12"/>
      <c r="E297" s="12"/>
      <c r="F297" s="12"/>
    </row>
    <row r="298">
      <c r="B298" s="12"/>
      <c r="C298" s="12"/>
      <c r="E298" s="12"/>
      <c r="F298" s="12"/>
    </row>
    <row r="299">
      <c r="B299" s="12"/>
      <c r="C299" s="12"/>
      <c r="E299" s="12"/>
      <c r="F299" s="12"/>
    </row>
    <row r="300">
      <c r="B300" s="12"/>
      <c r="C300" s="12"/>
      <c r="E300" s="12"/>
      <c r="F300" s="12"/>
    </row>
    <row r="301">
      <c r="B301" s="12"/>
      <c r="C301" s="12"/>
      <c r="E301" s="12"/>
      <c r="F301" s="12"/>
    </row>
    <row r="302">
      <c r="B302" s="12"/>
      <c r="C302" s="12"/>
      <c r="E302" s="12"/>
      <c r="F302" s="12"/>
    </row>
    <row r="303">
      <c r="B303" s="12"/>
      <c r="C303" s="12"/>
      <c r="E303" s="12"/>
      <c r="F303" s="12"/>
    </row>
    <row r="304">
      <c r="B304" s="12"/>
      <c r="C304" s="12"/>
      <c r="E304" s="12"/>
      <c r="F304" s="12"/>
    </row>
    <row r="305">
      <c r="B305" s="12"/>
      <c r="C305" s="12"/>
      <c r="E305" s="12"/>
      <c r="F305" s="12"/>
    </row>
    <row r="306">
      <c r="B306" s="12"/>
      <c r="C306" s="12"/>
      <c r="E306" s="12"/>
      <c r="F306" s="12"/>
    </row>
    <row r="307">
      <c r="B307" s="12"/>
      <c r="C307" s="12"/>
      <c r="E307" s="12"/>
      <c r="F307" s="12"/>
    </row>
    <row r="308">
      <c r="B308" s="12"/>
      <c r="C308" s="12"/>
      <c r="E308" s="12"/>
      <c r="F308" s="12"/>
    </row>
    <row r="309">
      <c r="B309" s="12"/>
      <c r="C309" s="12"/>
      <c r="E309" s="12"/>
      <c r="F309" s="12"/>
    </row>
    <row r="310">
      <c r="B310" s="12"/>
      <c r="C310" s="12"/>
      <c r="E310" s="12"/>
      <c r="F310" s="12"/>
    </row>
    <row r="311">
      <c r="B311" s="12"/>
      <c r="C311" s="12"/>
      <c r="E311" s="12"/>
      <c r="F311" s="12"/>
    </row>
    <row r="312">
      <c r="B312" s="12"/>
      <c r="C312" s="12"/>
      <c r="E312" s="12"/>
      <c r="F312" s="12"/>
    </row>
    <row r="313">
      <c r="B313" s="12"/>
      <c r="C313" s="12"/>
      <c r="E313" s="12"/>
      <c r="F313" s="12"/>
    </row>
    <row r="314">
      <c r="B314" s="12"/>
      <c r="C314" s="12"/>
      <c r="E314" s="12"/>
      <c r="F314" s="12"/>
    </row>
    <row r="315">
      <c r="B315" s="12"/>
      <c r="C315" s="12"/>
      <c r="E315" s="12"/>
      <c r="F315" s="12"/>
    </row>
    <row r="316">
      <c r="B316" s="12"/>
      <c r="C316" s="12"/>
      <c r="E316" s="12"/>
      <c r="F316" s="12"/>
    </row>
    <row r="317">
      <c r="B317" s="12"/>
      <c r="C317" s="12"/>
      <c r="E317" s="12"/>
      <c r="F317" s="12"/>
    </row>
    <row r="318">
      <c r="B318" s="12"/>
      <c r="C318" s="12"/>
      <c r="E318" s="12"/>
      <c r="F318" s="12"/>
    </row>
    <row r="319">
      <c r="B319" s="12"/>
      <c r="C319" s="12"/>
      <c r="E319" s="12"/>
      <c r="F319" s="12"/>
    </row>
    <row r="320">
      <c r="B320" s="12"/>
      <c r="C320" s="12"/>
      <c r="E320" s="12"/>
      <c r="F320" s="12"/>
    </row>
    <row r="321">
      <c r="B321" s="12"/>
      <c r="C321" s="12"/>
      <c r="E321" s="12"/>
      <c r="F321" s="12"/>
    </row>
    <row r="322">
      <c r="B322" s="12"/>
      <c r="C322" s="12"/>
      <c r="E322" s="12"/>
      <c r="F322" s="12"/>
    </row>
    <row r="323">
      <c r="B323" s="12"/>
      <c r="C323" s="12"/>
      <c r="E323" s="12"/>
      <c r="F323" s="12"/>
    </row>
    <row r="324">
      <c r="B324" s="12"/>
      <c r="C324" s="12"/>
      <c r="E324" s="12"/>
      <c r="F324" s="12"/>
    </row>
    <row r="325">
      <c r="B325" s="12"/>
      <c r="C325" s="12"/>
      <c r="E325" s="12"/>
      <c r="F325" s="12"/>
    </row>
    <row r="326">
      <c r="B326" s="12"/>
      <c r="C326" s="12"/>
      <c r="E326" s="12"/>
      <c r="F326" s="12"/>
    </row>
    <row r="327">
      <c r="B327" s="12"/>
      <c r="C327" s="12"/>
      <c r="E327" s="12"/>
      <c r="F327" s="12"/>
    </row>
    <row r="328">
      <c r="B328" s="12"/>
      <c r="C328" s="12"/>
      <c r="E328" s="12"/>
      <c r="F328" s="12"/>
    </row>
    <row r="329">
      <c r="B329" s="12"/>
      <c r="C329" s="12"/>
      <c r="E329" s="12"/>
      <c r="F329" s="12"/>
    </row>
    <row r="330">
      <c r="B330" s="12"/>
      <c r="C330" s="12"/>
      <c r="E330" s="12"/>
      <c r="F330" s="12"/>
    </row>
    <row r="331">
      <c r="B331" s="12"/>
      <c r="C331" s="12"/>
      <c r="E331" s="12"/>
      <c r="F331" s="12"/>
    </row>
    <row r="332">
      <c r="B332" s="12"/>
      <c r="C332" s="12"/>
      <c r="E332" s="12"/>
      <c r="F332" s="12"/>
    </row>
    <row r="333">
      <c r="B333" s="12"/>
      <c r="C333" s="12"/>
      <c r="E333" s="12"/>
      <c r="F333" s="12"/>
    </row>
    <row r="334">
      <c r="B334" s="12"/>
      <c r="C334" s="12"/>
      <c r="E334" s="12"/>
      <c r="F334" s="12"/>
    </row>
    <row r="335">
      <c r="B335" s="12"/>
      <c r="C335" s="12"/>
      <c r="E335" s="12"/>
      <c r="F335" s="12"/>
    </row>
    <row r="336">
      <c r="B336" s="12"/>
      <c r="C336" s="12"/>
      <c r="E336" s="12"/>
      <c r="F336" s="12"/>
    </row>
    <row r="337">
      <c r="B337" s="12"/>
      <c r="C337" s="12"/>
      <c r="E337" s="12"/>
      <c r="F337" s="12"/>
    </row>
    <row r="338">
      <c r="B338" s="12"/>
      <c r="C338" s="12"/>
      <c r="E338" s="12"/>
      <c r="F338" s="12"/>
    </row>
    <row r="339">
      <c r="B339" s="12"/>
      <c r="C339" s="12"/>
      <c r="E339" s="12"/>
      <c r="F339" s="12"/>
    </row>
    <row r="340">
      <c r="B340" s="12"/>
      <c r="C340" s="12"/>
      <c r="E340" s="12"/>
      <c r="F340" s="12"/>
    </row>
    <row r="341">
      <c r="B341" s="12"/>
      <c r="C341" s="12"/>
      <c r="E341" s="12"/>
      <c r="F341" s="12"/>
    </row>
    <row r="342">
      <c r="B342" s="12"/>
      <c r="C342" s="12"/>
      <c r="E342" s="12"/>
      <c r="F342" s="12"/>
    </row>
    <row r="343">
      <c r="B343" s="12"/>
      <c r="C343" s="12"/>
      <c r="E343" s="12"/>
      <c r="F343" s="12"/>
    </row>
    <row r="344">
      <c r="B344" s="12"/>
      <c r="C344" s="12"/>
      <c r="E344" s="12"/>
      <c r="F344" s="12"/>
    </row>
    <row r="345">
      <c r="B345" s="12"/>
      <c r="C345" s="12"/>
      <c r="E345" s="12"/>
      <c r="F345" s="12"/>
    </row>
    <row r="346">
      <c r="B346" s="12"/>
      <c r="C346" s="12"/>
      <c r="E346" s="12"/>
      <c r="F346" s="12"/>
    </row>
    <row r="347">
      <c r="B347" s="12"/>
      <c r="C347" s="12"/>
      <c r="E347" s="12"/>
      <c r="F347" s="12"/>
    </row>
    <row r="348">
      <c r="B348" s="12"/>
      <c r="C348" s="12"/>
      <c r="E348" s="12"/>
      <c r="F348" s="12"/>
    </row>
    <row r="349">
      <c r="B349" s="12"/>
      <c r="C349" s="12"/>
      <c r="E349" s="12"/>
      <c r="F349" s="12"/>
    </row>
    <row r="350">
      <c r="B350" s="12"/>
      <c r="C350" s="12"/>
      <c r="E350" s="12"/>
      <c r="F350" s="12"/>
    </row>
    <row r="351">
      <c r="B351" s="12"/>
      <c r="C351" s="12"/>
      <c r="E351" s="12"/>
      <c r="F351" s="12"/>
    </row>
    <row r="352">
      <c r="B352" s="12"/>
      <c r="C352" s="12"/>
      <c r="E352" s="12"/>
      <c r="F352" s="12"/>
    </row>
    <row r="353">
      <c r="B353" s="12"/>
      <c r="C353" s="12"/>
      <c r="E353" s="12"/>
      <c r="F353" s="12"/>
    </row>
    <row r="354">
      <c r="B354" s="12"/>
      <c r="C354" s="12"/>
      <c r="E354" s="12"/>
      <c r="F354" s="12"/>
    </row>
    <row r="355">
      <c r="B355" s="12"/>
      <c r="C355" s="12"/>
      <c r="E355" s="12"/>
      <c r="F355" s="12"/>
    </row>
    <row r="356">
      <c r="B356" s="12"/>
      <c r="C356" s="12"/>
      <c r="E356" s="12"/>
      <c r="F356" s="12"/>
    </row>
    <row r="357">
      <c r="B357" s="12"/>
      <c r="C357" s="12"/>
      <c r="E357" s="12"/>
      <c r="F357" s="12"/>
    </row>
    <row r="358">
      <c r="B358" s="12"/>
      <c r="C358" s="12"/>
      <c r="E358" s="12"/>
      <c r="F358" s="12"/>
    </row>
    <row r="359">
      <c r="B359" s="12"/>
      <c r="C359" s="12"/>
      <c r="E359" s="12"/>
      <c r="F359" s="12"/>
    </row>
    <row r="360">
      <c r="B360" s="12"/>
      <c r="C360" s="12"/>
      <c r="E360" s="12"/>
      <c r="F360" s="12"/>
    </row>
    <row r="361">
      <c r="B361" s="12"/>
      <c r="C361" s="12"/>
      <c r="E361" s="12"/>
      <c r="F361" s="12"/>
    </row>
    <row r="362">
      <c r="B362" s="12"/>
      <c r="C362" s="12"/>
      <c r="E362" s="12"/>
      <c r="F362" s="12"/>
    </row>
    <row r="363">
      <c r="B363" s="12"/>
      <c r="C363" s="12"/>
      <c r="E363" s="12"/>
      <c r="F363" s="12"/>
    </row>
    <row r="364">
      <c r="B364" s="12"/>
      <c r="C364" s="12"/>
      <c r="E364" s="12"/>
      <c r="F364" s="12"/>
    </row>
    <row r="365">
      <c r="B365" s="12"/>
      <c r="C365" s="12"/>
      <c r="E365" s="12"/>
      <c r="F365" s="12"/>
    </row>
    <row r="366">
      <c r="B366" s="12"/>
      <c r="C366" s="12"/>
      <c r="E366" s="12"/>
      <c r="F366" s="12"/>
    </row>
    <row r="367">
      <c r="B367" s="12"/>
      <c r="C367" s="12"/>
      <c r="E367" s="12"/>
      <c r="F367" s="12"/>
    </row>
    <row r="368">
      <c r="B368" s="12"/>
      <c r="C368" s="12"/>
      <c r="E368" s="12"/>
      <c r="F368" s="12"/>
    </row>
    <row r="369">
      <c r="B369" s="12"/>
      <c r="C369" s="12"/>
      <c r="E369" s="12"/>
      <c r="F369" s="12"/>
    </row>
    <row r="370">
      <c r="B370" s="12"/>
      <c r="C370" s="12"/>
      <c r="E370" s="12"/>
      <c r="F370" s="12"/>
    </row>
    <row r="371">
      <c r="B371" s="12"/>
      <c r="C371" s="12"/>
      <c r="E371" s="12"/>
      <c r="F371" s="12"/>
    </row>
    <row r="372">
      <c r="B372" s="12"/>
      <c r="C372" s="12"/>
      <c r="E372" s="12"/>
      <c r="F372" s="12"/>
    </row>
    <row r="373">
      <c r="B373" s="12"/>
      <c r="C373" s="12"/>
      <c r="E373" s="12"/>
      <c r="F373" s="12"/>
    </row>
    <row r="374">
      <c r="B374" s="12"/>
      <c r="C374" s="12"/>
      <c r="E374" s="12"/>
      <c r="F374" s="12"/>
    </row>
    <row r="375">
      <c r="B375" s="12"/>
      <c r="C375" s="12"/>
      <c r="E375" s="12"/>
      <c r="F375" s="12"/>
    </row>
    <row r="376">
      <c r="B376" s="12"/>
      <c r="C376" s="12"/>
      <c r="E376" s="12"/>
      <c r="F376" s="12"/>
    </row>
    <row r="377">
      <c r="B377" s="12"/>
      <c r="C377" s="12"/>
      <c r="E377" s="12"/>
      <c r="F377" s="12"/>
    </row>
    <row r="378">
      <c r="B378" s="12"/>
      <c r="C378" s="12"/>
      <c r="E378" s="12"/>
      <c r="F378" s="12"/>
    </row>
    <row r="379">
      <c r="B379" s="12"/>
      <c r="C379" s="12"/>
      <c r="E379" s="12"/>
      <c r="F379" s="12"/>
    </row>
    <row r="380">
      <c r="B380" s="12"/>
      <c r="C380" s="12"/>
      <c r="E380" s="12"/>
      <c r="F380" s="12"/>
    </row>
    <row r="381">
      <c r="B381" s="12"/>
      <c r="C381" s="12"/>
      <c r="E381" s="12"/>
      <c r="F381" s="12"/>
    </row>
    <row r="382">
      <c r="B382" s="12"/>
      <c r="C382" s="12"/>
      <c r="E382" s="12"/>
      <c r="F382" s="12"/>
    </row>
    <row r="383">
      <c r="B383" s="12"/>
      <c r="C383" s="12"/>
      <c r="E383" s="12"/>
      <c r="F383" s="12"/>
    </row>
    <row r="384">
      <c r="B384" s="12"/>
      <c r="C384" s="12"/>
      <c r="E384" s="12"/>
      <c r="F384" s="12"/>
    </row>
    <row r="385">
      <c r="B385" s="12"/>
      <c r="C385" s="12"/>
      <c r="E385" s="12"/>
      <c r="F385" s="12"/>
    </row>
    <row r="386">
      <c r="B386" s="12"/>
      <c r="C386" s="12"/>
      <c r="E386" s="12"/>
      <c r="F386" s="12"/>
    </row>
    <row r="387">
      <c r="B387" s="12"/>
      <c r="C387" s="12"/>
      <c r="E387" s="12"/>
      <c r="F387" s="12"/>
    </row>
    <row r="388">
      <c r="B388" s="12"/>
      <c r="C388" s="12"/>
      <c r="E388" s="12"/>
      <c r="F388" s="12"/>
    </row>
    <row r="389">
      <c r="B389" s="12"/>
      <c r="C389" s="12"/>
      <c r="E389" s="12"/>
      <c r="F389" s="12"/>
    </row>
    <row r="390">
      <c r="B390" s="12"/>
      <c r="C390" s="12"/>
      <c r="E390" s="12"/>
      <c r="F390" s="12"/>
    </row>
    <row r="391">
      <c r="B391" s="12"/>
      <c r="C391" s="12"/>
      <c r="E391" s="12"/>
      <c r="F391" s="12"/>
    </row>
    <row r="392">
      <c r="B392" s="12"/>
      <c r="C392" s="12"/>
      <c r="E392" s="12"/>
      <c r="F392" s="12"/>
    </row>
    <row r="393">
      <c r="B393" s="12"/>
      <c r="C393" s="12"/>
      <c r="E393" s="12"/>
      <c r="F393" s="12"/>
    </row>
    <row r="394">
      <c r="B394" s="12"/>
      <c r="C394" s="12"/>
      <c r="E394" s="12"/>
      <c r="F394" s="12"/>
    </row>
    <row r="395">
      <c r="B395" s="12"/>
      <c r="C395" s="12"/>
      <c r="E395" s="12"/>
      <c r="F395" s="12"/>
    </row>
    <row r="396">
      <c r="B396" s="12"/>
      <c r="C396" s="12"/>
      <c r="E396" s="12"/>
      <c r="F396" s="12"/>
    </row>
    <row r="397">
      <c r="B397" s="12"/>
      <c r="C397" s="12"/>
      <c r="E397" s="12"/>
      <c r="F397" s="12"/>
    </row>
    <row r="398">
      <c r="B398" s="12"/>
      <c r="C398" s="12"/>
      <c r="E398" s="12"/>
      <c r="F398" s="12"/>
    </row>
    <row r="399">
      <c r="B399" s="12"/>
      <c r="C399" s="12"/>
      <c r="E399" s="12"/>
      <c r="F399" s="12"/>
    </row>
    <row r="400">
      <c r="B400" s="12"/>
      <c r="C400" s="12"/>
      <c r="E400" s="12"/>
      <c r="F400" s="12"/>
    </row>
    <row r="401">
      <c r="B401" s="12"/>
      <c r="C401" s="12"/>
      <c r="E401" s="12"/>
      <c r="F401" s="12"/>
    </row>
    <row r="402">
      <c r="B402" s="12"/>
      <c r="C402" s="12"/>
      <c r="E402" s="12"/>
      <c r="F402" s="12"/>
    </row>
    <row r="403">
      <c r="B403" s="12"/>
      <c r="C403" s="12"/>
      <c r="E403" s="12"/>
      <c r="F403" s="12"/>
    </row>
    <row r="404">
      <c r="B404" s="12"/>
      <c r="C404" s="12"/>
      <c r="E404" s="12"/>
      <c r="F404" s="12"/>
    </row>
    <row r="405">
      <c r="B405" s="12"/>
      <c r="C405" s="12"/>
      <c r="E405" s="12"/>
      <c r="F405" s="12"/>
    </row>
    <row r="406">
      <c r="B406" s="12"/>
      <c r="C406" s="12"/>
      <c r="E406" s="12"/>
      <c r="F406" s="12"/>
    </row>
    <row r="407">
      <c r="B407" s="12"/>
      <c r="C407" s="12"/>
      <c r="E407" s="12"/>
      <c r="F407" s="12"/>
    </row>
    <row r="408">
      <c r="B408" s="12"/>
      <c r="C408" s="12"/>
      <c r="E408" s="12"/>
      <c r="F408" s="12"/>
    </row>
    <row r="409">
      <c r="B409" s="12"/>
      <c r="C409" s="12"/>
      <c r="E409" s="12"/>
      <c r="F409" s="12"/>
    </row>
    <row r="410">
      <c r="B410" s="12"/>
      <c r="C410" s="12"/>
      <c r="E410" s="12"/>
      <c r="F410" s="12"/>
    </row>
    <row r="411">
      <c r="B411" s="12"/>
      <c r="C411" s="12"/>
      <c r="E411" s="12"/>
      <c r="F411" s="12"/>
    </row>
    <row r="412">
      <c r="B412" s="12"/>
      <c r="C412" s="12"/>
      <c r="E412" s="12"/>
      <c r="F412" s="12"/>
    </row>
    <row r="413">
      <c r="B413" s="12"/>
      <c r="C413" s="12"/>
      <c r="E413" s="12"/>
      <c r="F413" s="12"/>
    </row>
    <row r="414">
      <c r="B414" s="12"/>
      <c r="C414" s="12"/>
      <c r="E414" s="12"/>
      <c r="F414" s="12"/>
    </row>
    <row r="415">
      <c r="B415" s="12"/>
      <c r="C415" s="12"/>
      <c r="E415" s="12"/>
      <c r="F415" s="12"/>
    </row>
    <row r="416">
      <c r="B416" s="12"/>
      <c r="C416" s="12"/>
      <c r="E416" s="12"/>
      <c r="F416" s="12"/>
    </row>
    <row r="417">
      <c r="B417" s="12"/>
      <c r="C417" s="12"/>
      <c r="E417" s="12"/>
      <c r="F417" s="12"/>
    </row>
    <row r="418">
      <c r="B418" s="12"/>
      <c r="C418" s="12"/>
      <c r="E418" s="12"/>
      <c r="F418" s="12"/>
    </row>
    <row r="419">
      <c r="B419" s="12"/>
      <c r="C419" s="12"/>
      <c r="E419" s="12"/>
      <c r="F419" s="12"/>
    </row>
    <row r="420">
      <c r="B420" s="12"/>
      <c r="C420" s="12"/>
      <c r="E420" s="12"/>
      <c r="F420" s="12"/>
    </row>
    <row r="421">
      <c r="B421" s="12"/>
      <c r="C421" s="12"/>
      <c r="E421" s="12"/>
      <c r="F421" s="12"/>
    </row>
    <row r="422">
      <c r="B422" s="12"/>
      <c r="C422" s="12"/>
      <c r="E422" s="12"/>
      <c r="F422" s="12"/>
    </row>
    <row r="423">
      <c r="B423" s="12"/>
      <c r="C423" s="12"/>
      <c r="E423" s="12"/>
      <c r="F423" s="12"/>
    </row>
    <row r="424">
      <c r="B424" s="12"/>
      <c r="C424" s="12"/>
      <c r="E424" s="12"/>
      <c r="F424" s="12"/>
    </row>
    <row r="425">
      <c r="B425" s="12"/>
      <c r="C425" s="12"/>
      <c r="E425" s="12"/>
      <c r="F425" s="12"/>
    </row>
    <row r="426">
      <c r="B426" s="12"/>
      <c r="C426" s="12"/>
      <c r="E426" s="12"/>
      <c r="F426" s="12"/>
    </row>
    <row r="427">
      <c r="B427" s="12"/>
      <c r="C427" s="12"/>
      <c r="E427" s="12"/>
      <c r="F427" s="12"/>
    </row>
    <row r="428">
      <c r="B428" s="12"/>
      <c r="C428" s="12"/>
      <c r="E428" s="12"/>
      <c r="F428" s="12"/>
    </row>
    <row r="429">
      <c r="B429" s="12"/>
      <c r="C429" s="12"/>
      <c r="E429" s="12"/>
      <c r="F429" s="12"/>
    </row>
    <row r="430">
      <c r="B430" s="12"/>
      <c r="C430" s="12"/>
      <c r="E430" s="12"/>
      <c r="F430" s="12"/>
    </row>
    <row r="431">
      <c r="B431" s="12"/>
      <c r="C431" s="12"/>
      <c r="E431" s="12"/>
      <c r="F431" s="12"/>
    </row>
    <row r="432">
      <c r="B432" s="12"/>
      <c r="C432" s="12"/>
      <c r="E432" s="12"/>
      <c r="F432" s="12"/>
    </row>
    <row r="433">
      <c r="B433" s="12"/>
      <c r="C433" s="12"/>
      <c r="E433" s="12"/>
      <c r="F433" s="12"/>
    </row>
    <row r="434">
      <c r="B434" s="12"/>
      <c r="C434" s="12"/>
      <c r="E434" s="12"/>
      <c r="F434" s="12"/>
    </row>
    <row r="435">
      <c r="B435" s="12"/>
      <c r="C435" s="12"/>
      <c r="E435" s="12"/>
      <c r="F435" s="12"/>
    </row>
    <row r="436">
      <c r="B436" s="12"/>
      <c r="C436" s="12"/>
      <c r="E436" s="12"/>
      <c r="F436" s="12"/>
    </row>
    <row r="437">
      <c r="B437" s="12"/>
      <c r="C437" s="12"/>
      <c r="E437" s="12"/>
      <c r="F437" s="12"/>
    </row>
    <row r="438">
      <c r="B438" s="12"/>
      <c r="C438" s="12"/>
      <c r="E438" s="12"/>
      <c r="F438" s="12"/>
    </row>
    <row r="439">
      <c r="B439" s="12"/>
      <c r="C439" s="12"/>
      <c r="E439" s="12"/>
      <c r="F439" s="12"/>
    </row>
    <row r="440">
      <c r="B440" s="12"/>
      <c r="C440" s="12"/>
      <c r="E440" s="12"/>
      <c r="F440" s="12"/>
    </row>
    <row r="441">
      <c r="B441" s="12"/>
      <c r="C441" s="12"/>
      <c r="E441" s="12"/>
      <c r="F441" s="12"/>
    </row>
    <row r="442">
      <c r="B442" s="12"/>
      <c r="C442" s="12"/>
      <c r="E442" s="12"/>
      <c r="F442" s="12"/>
    </row>
    <row r="443">
      <c r="B443" s="12"/>
      <c r="C443" s="12"/>
      <c r="E443" s="12"/>
      <c r="F443" s="12"/>
    </row>
    <row r="444">
      <c r="B444" s="12"/>
      <c r="C444" s="12"/>
      <c r="E444" s="12"/>
      <c r="F444" s="12"/>
    </row>
    <row r="445">
      <c r="B445" s="12"/>
      <c r="C445" s="12"/>
      <c r="E445" s="12"/>
      <c r="F445" s="12"/>
    </row>
    <row r="446">
      <c r="B446" s="12"/>
      <c r="C446" s="12"/>
      <c r="E446" s="12"/>
      <c r="F446" s="12"/>
    </row>
    <row r="447">
      <c r="B447" s="12"/>
      <c r="C447" s="12"/>
      <c r="E447" s="12"/>
      <c r="F447" s="12"/>
    </row>
    <row r="448">
      <c r="B448" s="12"/>
      <c r="C448" s="12"/>
      <c r="E448" s="12"/>
      <c r="F448" s="12"/>
    </row>
    <row r="449">
      <c r="B449" s="12"/>
      <c r="C449" s="12"/>
      <c r="E449" s="12"/>
      <c r="F449" s="12"/>
    </row>
    <row r="450">
      <c r="B450" s="12"/>
      <c r="C450" s="12"/>
      <c r="E450" s="12"/>
      <c r="F450" s="12"/>
    </row>
    <row r="451">
      <c r="B451" s="12"/>
      <c r="C451" s="12"/>
      <c r="E451" s="12"/>
      <c r="F451" s="12"/>
    </row>
    <row r="452">
      <c r="B452" s="12"/>
      <c r="C452" s="12"/>
      <c r="E452" s="12"/>
      <c r="F452" s="12"/>
    </row>
    <row r="453">
      <c r="B453" s="12"/>
      <c r="C453" s="12"/>
      <c r="E453" s="12"/>
      <c r="F453" s="12"/>
    </row>
    <row r="454">
      <c r="B454" s="12"/>
      <c r="C454" s="12"/>
      <c r="E454" s="12"/>
      <c r="F454" s="12"/>
    </row>
    <row r="455">
      <c r="B455" s="12"/>
      <c r="C455" s="12"/>
      <c r="E455" s="12"/>
      <c r="F455" s="12"/>
    </row>
    <row r="456">
      <c r="B456" s="12"/>
      <c r="C456" s="12"/>
      <c r="E456" s="12"/>
      <c r="F456" s="12"/>
    </row>
    <row r="457">
      <c r="B457" s="12"/>
      <c r="C457" s="12"/>
      <c r="E457" s="12"/>
      <c r="F457" s="12"/>
    </row>
    <row r="458">
      <c r="B458" s="12"/>
      <c r="C458" s="12"/>
      <c r="E458" s="12"/>
      <c r="F458" s="12"/>
    </row>
    <row r="459">
      <c r="B459" s="12"/>
      <c r="C459" s="12"/>
      <c r="E459" s="12"/>
      <c r="F459" s="12"/>
    </row>
    <row r="460">
      <c r="B460" s="12"/>
      <c r="C460" s="12"/>
      <c r="E460" s="12"/>
      <c r="F460" s="12"/>
    </row>
    <row r="461">
      <c r="B461" s="12"/>
      <c r="C461" s="12"/>
      <c r="E461" s="12"/>
      <c r="F461" s="12"/>
    </row>
    <row r="462">
      <c r="B462" s="12"/>
      <c r="C462" s="12"/>
      <c r="E462" s="12"/>
      <c r="F462" s="12"/>
    </row>
    <row r="463">
      <c r="B463" s="12"/>
      <c r="C463" s="12"/>
      <c r="E463" s="12"/>
      <c r="F463" s="12"/>
    </row>
    <row r="464">
      <c r="B464" s="12"/>
      <c r="C464" s="12"/>
      <c r="E464" s="12"/>
      <c r="F464" s="12"/>
    </row>
    <row r="465">
      <c r="B465" s="12"/>
      <c r="C465" s="12"/>
      <c r="E465" s="12"/>
      <c r="F465" s="12"/>
    </row>
    <row r="466">
      <c r="B466" s="12"/>
      <c r="C466" s="12"/>
      <c r="E466" s="12"/>
      <c r="F466" s="12"/>
    </row>
    <row r="467">
      <c r="B467" s="12"/>
      <c r="C467" s="12"/>
      <c r="E467" s="12"/>
      <c r="F467" s="12"/>
    </row>
    <row r="468">
      <c r="B468" s="12"/>
      <c r="C468" s="12"/>
      <c r="E468" s="12"/>
      <c r="F468" s="12"/>
    </row>
    <row r="469">
      <c r="B469" s="12"/>
      <c r="C469" s="12"/>
      <c r="E469" s="12"/>
      <c r="F469" s="12"/>
    </row>
    <row r="470">
      <c r="B470" s="12"/>
      <c r="C470" s="12"/>
      <c r="E470" s="12"/>
      <c r="F470" s="12"/>
    </row>
    <row r="471">
      <c r="B471" s="12"/>
      <c r="C471" s="12"/>
      <c r="E471" s="12"/>
      <c r="F471" s="12"/>
    </row>
    <row r="472">
      <c r="B472" s="12"/>
      <c r="C472" s="12"/>
      <c r="E472" s="12"/>
      <c r="F472" s="12"/>
    </row>
    <row r="473">
      <c r="B473" s="12"/>
      <c r="C473" s="12"/>
      <c r="E473" s="12"/>
      <c r="F473" s="12"/>
    </row>
    <row r="474">
      <c r="B474" s="12"/>
      <c r="C474" s="12"/>
      <c r="E474" s="12"/>
      <c r="F474" s="12"/>
    </row>
    <row r="475">
      <c r="B475" s="12"/>
      <c r="C475" s="12"/>
      <c r="E475" s="12"/>
      <c r="F475" s="12"/>
    </row>
    <row r="476">
      <c r="B476" s="12"/>
      <c r="C476" s="12"/>
      <c r="E476" s="12"/>
      <c r="F476" s="12"/>
    </row>
    <row r="477">
      <c r="B477" s="12"/>
      <c r="C477" s="12"/>
      <c r="E477" s="12"/>
      <c r="F477" s="12"/>
    </row>
    <row r="478">
      <c r="B478" s="12"/>
      <c r="C478" s="12"/>
      <c r="E478" s="12"/>
      <c r="F478" s="12"/>
    </row>
    <row r="479">
      <c r="B479" s="12"/>
      <c r="C479" s="12"/>
      <c r="E479" s="12"/>
      <c r="F479" s="12"/>
    </row>
    <row r="480">
      <c r="B480" s="12"/>
      <c r="C480" s="12"/>
      <c r="E480" s="12"/>
      <c r="F480" s="12"/>
    </row>
    <row r="481">
      <c r="B481" s="12"/>
      <c r="C481" s="12"/>
      <c r="E481" s="12"/>
      <c r="F481" s="12"/>
    </row>
    <row r="482">
      <c r="B482" s="12"/>
      <c r="C482" s="12"/>
      <c r="E482" s="12"/>
      <c r="F482" s="12"/>
    </row>
    <row r="483">
      <c r="B483" s="12"/>
      <c r="C483" s="12"/>
      <c r="E483" s="12"/>
      <c r="F483" s="12"/>
    </row>
    <row r="484">
      <c r="B484" s="12"/>
      <c r="C484" s="12"/>
      <c r="E484" s="12"/>
      <c r="F484" s="12"/>
    </row>
    <row r="485">
      <c r="B485" s="12"/>
      <c r="C485" s="12"/>
      <c r="E485" s="12"/>
      <c r="F485" s="12"/>
    </row>
    <row r="486">
      <c r="B486" s="12"/>
      <c r="C486" s="12"/>
      <c r="E486" s="12"/>
      <c r="F486" s="12"/>
    </row>
    <row r="487">
      <c r="B487" s="12"/>
      <c r="C487" s="12"/>
      <c r="E487" s="12"/>
      <c r="F487" s="12"/>
    </row>
    <row r="488">
      <c r="B488" s="12"/>
      <c r="C488" s="12"/>
      <c r="E488" s="12"/>
      <c r="F488" s="12"/>
    </row>
    <row r="489">
      <c r="B489" s="12"/>
      <c r="C489" s="12"/>
      <c r="E489" s="12"/>
      <c r="F489" s="12"/>
    </row>
    <row r="490">
      <c r="B490" s="12"/>
      <c r="C490" s="12"/>
      <c r="E490" s="12"/>
      <c r="F490" s="12"/>
    </row>
    <row r="491">
      <c r="B491" s="12"/>
      <c r="C491" s="12"/>
      <c r="E491" s="12"/>
      <c r="F491" s="12"/>
    </row>
    <row r="492">
      <c r="B492" s="12"/>
      <c r="C492" s="12"/>
      <c r="E492" s="12"/>
      <c r="F492" s="12"/>
    </row>
    <row r="493">
      <c r="B493" s="12"/>
      <c r="C493" s="12"/>
      <c r="E493" s="12"/>
      <c r="F493" s="12"/>
    </row>
    <row r="494">
      <c r="B494" s="12"/>
      <c r="C494" s="12"/>
      <c r="E494" s="12"/>
      <c r="F494" s="12"/>
    </row>
    <row r="495">
      <c r="B495" s="12"/>
      <c r="C495" s="12"/>
      <c r="E495" s="12"/>
      <c r="F495" s="12"/>
    </row>
    <row r="496">
      <c r="B496" s="12"/>
      <c r="C496" s="12"/>
      <c r="E496" s="12"/>
      <c r="F496" s="12"/>
    </row>
    <row r="497">
      <c r="B497" s="12"/>
      <c r="C497" s="12"/>
      <c r="E497" s="12"/>
      <c r="F497" s="12"/>
    </row>
    <row r="498">
      <c r="B498" s="12"/>
      <c r="C498" s="12"/>
      <c r="E498" s="12"/>
      <c r="F498" s="12"/>
    </row>
    <row r="499">
      <c r="B499" s="12"/>
      <c r="C499" s="12"/>
      <c r="E499" s="12"/>
      <c r="F499" s="12"/>
    </row>
    <row r="500">
      <c r="B500" s="12"/>
      <c r="C500" s="12"/>
      <c r="E500" s="12"/>
      <c r="F500" s="12"/>
    </row>
    <row r="501">
      <c r="B501" s="12"/>
      <c r="C501" s="12"/>
      <c r="E501" s="12"/>
      <c r="F501" s="12"/>
    </row>
    <row r="502">
      <c r="B502" s="12"/>
      <c r="C502" s="12"/>
      <c r="E502" s="12"/>
      <c r="F502" s="12"/>
    </row>
    <row r="503">
      <c r="B503" s="12"/>
      <c r="C503" s="12"/>
      <c r="E503" s="12"/>
      <c r="F503" s="12"/>
    </row>
    <row r="504">
      <c r="B504" s="12"/>
      <c r="C504" s="12"/>
      <c r="E504" s="12"/>
      <c r="F504" s="12"/>
    </row>
    <row r="505">
      <c r="B505" s="12"/>
      <c r="C505" s="12"/>
      <c r="E505" s="12"/>
      <c r="F505" s="12"/>
    </row>
    <row r="506">
      <c r="B506" s="12"/>
      <c r="C506" s="12"/>
      <c r="E506" s="12"/>
      <c r="F506" s="12"/>
    </row>
    <row r="507">
      <c r="B507" s="12"/>
      <c r="C507" s="12"/>
      <c r="E507" s="12"/>
      <c r="F507" s="12"/>
    </row>
    <row r="508">
      <c r="B508" s="12"/>
      <c r="C508" s="12"/>
      <c r="E508" s="12"/>
      <c r="F508" s="12"/>
    </row>
    <row r="509">
      <c r="B509" s="12"/>
      <c r="C509" s="12"/>
      <c r="E509" s="12"/>
      <c r="F509" s="12"/>
    </row>
    <row r="510">
      <c r="B510" s="12"/>
      <c r="C510" s="12"/>
      <c r="E510" s="12"/>
      <c r="F510" s="12"/>
    </row>
    <row r="511">
      <c r="B511" s="12"/>
      <c r="C511" s="12"/>
      <c r="E511" s="12"/>
      <c r="F511" s="12"/>
    </row>
    <row r="512">
      <c r="B512" s="12"/>
      <c r="C512" s="12"/>
      <c r="E512" s="12"/>
      <c r="F512" s="12"/>
    </row>
    <row r="513">
      <c r="B513" s="12"/>
      <c r="C513" s="12"/>
      <c r="E513" s="12"/>
      <c r="F513" s="12"/>
    </row>
    <row r="514">
      <c r="B514" s="12"/>
      <c r="C514" s="12"/>
      <c r="E514" s="12"/>
      <c r="F514" s="12"/>
    </row>
    <row r="515">
      <c r="B515" s="12"/>
      <c r="C515" s="12"/>
      <c r="E515" s="12"/>
      <c r="F515" s="12"/>
    </row>
    <row r="516">
      <c r="B516" s="12"/>
      <c r="C516" s="12"/>
      <c r="E516" s="12"/>
      <c r="F516" s="12"/>
    </row>
    <row r="517">
      <c r="B517" s="12"/>
      <c r="C517" s="12"/>
      <c r="E517" s="12"/>
      <c r="F517" s="12"/>
    </row>
    <row r="518">
      <c r="B518" s="12"/>
      <c r="C518" s="12"/>
      <c r="E518" s="12"/>
      <c r="F518" s="12"/>
    </row>
    <row r="519">
      <c r="B519" s="12"/>
      <c r="C519" s="12"/>
      <c r="E519" s="12"/>
      <c r="F519" s="12"/>
    </row>
    <row r="520">
      <c r="B520" s="12"/>
      <c r="C520" s="12"/>
      <c r="E520" s="12"/>
      <c r="F520" s="12"/>
    </row>
    <row r="521">
      <c r="B521" s="12"/>
      <c r="C521" s="12"/>
      <c r="E521" s="12"/>
      <c r="F521" s="12"/>
    </row>
    <row r="522">
      <c r="B522" s="12"/>
      <c r="C522" s="12"/>
      <c r="E522" s="12"/>
      <c r="F522" s="12"/>
    </row>
    <row r="523">
      <c r="B523" s="12"/>
      <c r="C523" s="12"/>
      <c r="E523" s="12"/>
      <c r="F523" s="12"/>
    </row>
    <row r="524">
      <c r="B524" s="12"/>
      <c r="C524" s="12"/>
      <c r="E524" s="12"/>
      <c r="F524" s="12"/>
    </row>
    <row r="525">
      <c r="B525" s="12"/>
      <c r="C525" s="12"/>
      <c r="E525" s="12"/>
      <c r="F525" s="12"/>
    </row>
    <row r="526">
      <c r="B526" s="12"/>
      <c r="C526" s="12"/>
      <c r="E526" s="12"/>
      <c r="F526" s="12"/>
    </row>
    <row r="527">
      <c r="B527" s="12"/>
      <c r="C527" s="12"/>
      <c r="E527" s="12"/>
      <c r="F527" s="12"/>
    </row>
    <row r="528">
      <c r="B528" s="12"/>
      <c r="C528" s="12"/>
      <c r="E528" s="12"/>
      <c r="F528" s="12"/>
    </row>
    <row r="529">
      <c r="B529" s="12"/>
      <c r="C529" s="12"/>
      <c r="E529" s="12"/>
      <c r="F529" s="12"/>
    </row>
    <row r="530">
      <c r="B530" s="12"/>
      <c r="C530" s="12"/>
      <c r="E530" s="12"/>
      <c r="F530" s="12"/>
    </row>
    <row r="531">
      <c r="B531" s="12"/>
      <c r="C531" s="12"/>
      <c r="E531" s="12"/>
      <c r="F531" s="12"/>
    </row>
    <row r="532">
      <c r="B532" s="12"/>
      <c r="C532" s="12"/>
      <c r="E532" s="12"/>
      <c r="F532" s="12"/>
    </row>
    <row r="533">
      <c r="B533" s="12"/>
      <c r="C533" s="12"/>
      <c r="E533" s="12"/>
      <c r="F533" s="12"/>
    </row>
    <row r="534">
      <c r="B534" s="12"/>
      <c r="C534" s="12"/>
      <c r="E534" s="12"/>
      <c r="F534" s="12"/>
    </row>
    <row r="535">
      <c r="B535" s="12"/>
      <c r="C535" s="12"/>
      <c r="E535" s="12"/>
      <c r="F535" s="12"/>
    </row>
    <row r="536">
      <c r="B536" s="12"/>
      <c r="C536" s="12"/>
      <c r="E536" s="12"/>
      <c r="F536" s="12"/>
    </row>
    <row r="537">
      <c r="B537" s="12"/>
      <c r="C537" s="12"/>
      <c r="E537" s="12"/>
      <c r="F537" s="12"/>
    </row>
    <row r="538">
      <c r="B538" s="12"/>
      <c r="C538" s="12"/>
      <c r="E538" s="12"/>
      <c r="F538" s="12"/>
    </row>
    <row r="539">
      <c r="B539" s="12"/>
      <c r="C539" s="12"/>
      <c r="E539" s="12"/>
      <c r="F539" s="12"/>
    </row>
    <row r="540">
      <c r="B540" s="12"/>
      <c r="C540" s="12"/>
      <c r="E540" s="12"/>
      <c r="F540" s="12"/>
    </row>
    <row r="541">
      <c r="B541" s="12"/>
      <c r="C541" s="12"/>
      <c r="E541" s="12"/>
      <c r="F541" s="12"/>
    </row>
    <row r="542">
      <c r="B542" s="12"/>
      <c r="C542" s="12"/>
      <c r="E542" s="12"/>
      <c r="F542" s="12"/>
    </row>
    <row r="543">
      <c r="B543" s="12"/>
      <c r="C543" s="12"/>
      <c r="E543" s="12"/>
      <c r="F543" s="12"/>
    </row>
    <row r="544">
      <c r="B544" s="12"/>
      <c r="C544" s="12"/>
      <c r="E544" s="12"/>
      <c r="F544" s="12"/>
    </row>
    <row r="545">
      <c r="B545" s="12"/>
      <c r="C545" s="12"/>
      <c r="E545" s="12"/>
      <c r="F545" s="12"/>
    </row>
    <row r="546">
      <c r="B546" s="12"/>
      <c r="C546" s="12"/>
      <c r="E546" s="12"/>
      <c r="F546" s="12"/>
    </row>
    <row r="547">
      <c r="B547" s="12"/>
      <c r="C547" s="12"/>
      <c r="E547" s="12"/>
      <c r="F547" s="12"/>
    </row>
    <row r="548">
      <c r="B548" s="12"/>
      <c r="C548" s="12"/>
      <c r="E548" s="12"/>
      <c r="F548" s="12"/>
    </row>
    <row r="549">
      <c r="B549" s="12"/>
      <c r="C549" s="12"/>
      <c r="E549" s="12"/>
      <c r="F549" s="12"/>
    </row>
    <row r="550">
      <c r="B550" s="12"/>
      <c r="C550" s="12"/>
      <c r="E550" s="12"/>
      <c r="F550" s="12"/>
    </row>
    <row r="551">
      <c r="B551" s="12"/>
      <c r="C551" s="12"/>
      <c r="E551" s="12"/>
      <c r="F551" s="12"/>
    </row>
    <row r="552">
      <c r="B552" s="12"/>
      <c r="C552" s="12"/>
      <c r="E552" s="12"/>
      <c r="F552" s="12"/>
    </row>
    <row r="553">
      <c r="B553" s="12"/>
      <c r="C553" s="12"/>
      <c r="E553" s="12"/>
      <c r="F553" s="12"/>
    </row>
    <row r="554">
      <c r="B554" s="12"/>
      <c r="C554" s="12"/>
      <c r="E554" s="12"/>
      <c r="F554" s="12"/>
    </row>
    <row r="555">
      <c r="B555" s="12"/>
      <c r="C555" s="12"/>
      <c r="E555" s="12"/>
      <c r="F555" s="12"/>
    </row>
    <row r="556">
      <c r="B556" s="12"/>
      <c r="C556" s="12"/>
      <c r="E556" s="12"/>
      <c r="F556" s="12"/>
    </row>
    <row r="557">
      <c r="B557" s="12"/>
      <c r="C557" s="12"/>
      <c r="E557" s="12"/>
      <c r="F557" s="12"/>
    </row>
    <row r="558">
      <c r="B558" s="12"/>
      <c r="C558" s="12"/>
      <c r="E558" s="12"/>
      <c r="F558" s="12"/>
    </row>
    <row r="559">
      <c r="B559" s="12"/>
      <c r="C559" s="12"/>
      <c r="E559" s="12"/>
      <c r="F559" s="12"/>
    </row>
    <row r="560">
      <c r="B560" s="12"/>
      <c r="C560" s="12"/>
      <c r="E560" s="12"/>
      <c r="F560" s="12"/>
    </row>
    <row r="561">
      <c r="B561" s="12"/>
      <c r="C561" s="12"/>
      <c r="E561" s="12"/>
      <c r="F561" s="12"/>
    </row>
    <row r="562">
      <c r="B562" s="12"/>
      <c r="C562" s="12"/>
      <c r="E562" s="12"/>
      <c r="F562" s="12"/>
    </row>
    <row r="563">
      <c r="B563" s="12"/>
      <c r="C563" s="12"/>
      <c r="E563" s="12"/>
      <c r="F563" s="12"/>
    </row>
    <row r="564">
      <c r="B564" s="12"/>
      <c r="C564" s="12"/>
      <c r="E564" s="12"/>
      <c r="F564" s="12"/>
    </row>
    <row r="565">
      <c r="B565" s="12"/>
      <c r="C565" s="12"/>
      <c r="E565" s="12"/>
      <c r="F565" s="12"/>
    </row>
    <row r="566">
      <c r="B566" s="12"/>
      <c r="C566" s="12"/>
      <c r="E566" s="12"/>
      <c r="F566" s="12"/>
    </row>
    <row r="567">
      <c r="B567" s="12"/>
      <c r="C567" s="12"/>
      <c r="E567" s="12"/>
      <c r="F567" s="12"/>
    </row>
    <row r="568">
      <c r="B568" s="12"/>
      <c r="C568" s="12"/>
      <c r="E568" s="12"/>
      <c r="F568" s="12"/>
    </row>
    <row r="569">
      <c r="B569" s="12"/>
      <c r="C569" s="12"/>
      <c r="E569" s="12"/>
      <c r="F569" s="12"/>
    </row>
    <row r="570">
      <c r="B570" s="12"/>
      <c r="C570" s="12"/>
      <c r="E570" s="12"/>
      <c r="F570" s="12"/>
    </row>
    <row r="571">
      <c r="B571" s="12"/>
      <c r="C571" s="12"/>
      <c r="E571" s="12"/>
      <c r="F571" s="12"/>
    </row>
    <row r="572">
      <c r="B572" s="12"/>
      <c r="C572" s="12"/>
      <c r="E572" s="12"/>
      <c r="F572" s="12"/>
    </row>
    <row r="573">
      <c r="B573" s="12"/>
      <c r="C573" s="12"/>
      <c r="E573" s="12"/>
      <c r="F573" s="12"/>
    </row>
    <row r="574">
      <c r="B574" s="12"/>
      <c r="C574" s="12"/>
      <c r="E574" s="12"/>
      <c r="F574" s="12"/>
    </row>
    <row r="575">
      <c r="B575" s="12"/>
      <c r="C575" s="12"/>
      <c r="E575" s="12"/>
      <c r="F575" s="12"/>
    </row>
    <row r="576">
      <c r="B576" s="12"/>
      <c r="C576" s="12"/>
      <c r="E576" s="12"/>
      <c r="F576" s="12"/>
    </row>
    <row r="577">
      <c r="B577" s="12"/>
      <c r="C577" s="12"/>
      <c r="E577" s="12"/>
      <c r="F577" s="12"/>
    </row>
    <row r="578">
      <c r="B578" s="12"/>
      <c r="C578" s="12"/>
      <c r="E578" s="12"/>
      <c r="F578" s="12"/>
    </row>
    <row r="579">
      <c r="B579" s="12"/>
      <c r="C579" s="12"/>
      <c r="E579" s="12"/>
      <c r="F579" s="12"/>
    </row>
    <row r="580">
      <c r="B580" s="12"/>
      <c r="C580" s="12"/>
      <c r="E580" s="12"/>
      <c r="F580" s="12"/>
    </row>
    <row r="581">
      <c r="B581" s="12"/>
      <c r="C581" s="12"/>
      <c r="E581" s="12"/>
      <c r="F581" s="12"/>
    </row>
    <row r="582">
      <c r="B582" s="12"/>
      <c r="C582" s="12"/>
      <c r="E582" s="12"/>
      <c r="F582" s="12"/>
    </row>
    <row r="583">
      <c r="B583" s="12"/>
      <c r="C583" s="12"/>
      <c r="E583" s="12"/>
      <c r="F583" s="12"/>
    </row>
    <row r="584">
      <c r="B584" s="12"/>
      <c r="C584" s="12"/>
      <c r="E584" s="12"/>
      <c r="F584" s="12"/>
    </row>
    <row r="585">
      <c r="B585" s="12"/>
      <c r="C585" s="12"/>
      <c r="E585" s="12"/>
      <c r="F585" s="12"/>
    </row>
    <row r="586">
      <c r="B586" s="12"/>
      <c r="C586" s="12"/>
      <c r="E586" s="12"/>
      <c r="F586" s="12"/>
    </row>
    <row r="587">
      <c r="B587" s="12"/>
      <c r="C587" s="12"/>
      <c r="E587" s="12"/>
      <c r="F587" s="12"/>
    </row>
    <row r="588">
      <c r="B588" s="12"/>
      <c r="C588" s="12"/>
      <c r="E588" s="12"/>
      <c r="F588" s="12"/>
    </row>
    <row r="589">
      <c r="B589" s="12"/>
      <c r="C589" s="12"/>
      <c r="E589" s="12"/>
      <c r="F589" s="12"/>
    </row>
    <row r="590">
      <c r="B590" s="12"/>
      <c r="C590" s="12"/>
      <c r="E590" s="12"/>
      <c r="F590" s="12"/>
    </row>
    <row r="591">
      <c r="B591" s="12"/>
      <c r="C591" s="12"/>
      <c r="E591" s="12"/>
      <c r="F591" s="12"/>
    </row>
    <row r="592">
      <c r="B592" s="12"/>
      <c r="C592" s="12"/>
      <c r="E592" s="12"/>
      <c r="F592" s="12"/>
    </row>
    <row r="593">
      <c r="B593" s="12"/>
      <c r="C593" s="12"/>
      <c r="E593" s="12"/>
      <c r="F593" s="12"/>
    </row>
    <row r="594">
      <c r="B594" s="12"/>
      <c r="C594" s="12"/>
      <c r="E594" s="12"/>
      <c r="F594" s="12"/>
    </row>
    <row r="595">
      <c r="B595" s="12"/>
      <c r="C595" s="12"/>
      <c r="E595" s="12"/>
      <c r="F595" s="12"/>
    </row>
    <row r="596">
      <c r="B596" s="12"/>
      <c r="C596" s="12"/>
      <c r="E596" s="12"/>
      <c r="F596" s="12"/>
    </row>
    <row r="597">
      <c r="B597" s="12"/>
      <c r="C597" s="12"/>
      <c r="E597" s="12"/>
      <c r="F597" s="12"/>
    </row>
    <row r="598">
      <c r="B598" s="12"/>
      <c r="C598" s="12"/>
      <c r="E598" s="12"/>
      <c r="F598" s="12"/>
    </row>
    <row r="599">
      <c r="B599" s="12"/>
      <c r="C599" s="12"/>
      <c r="E599" s="12"/>
      <c r="F599" s="12"/>
    </row>
    <row r="600">
      <c r="B600" s="12"/>
      <c r="C600" s="12"/>
      <c r="E600" s="12"/>
      <c r="F600" s="12"/>
    </row>
    <row r="601">
      <c r="B601" s="12"/>
      <c r="C601" s="12"/>
      <c r="E601" s="12"/>
      <c r="F601" s="12"/>
    </row>
    <row r="602">
      <c r="B602" s="12"/>
      <c r="C602" s="12"/>
      <c r="E602" s="12"/>
      <c r="F602" s="12"/>
    </row>
    <row r="603">
      <c r="B603" s="12"/>
      <c r="C603" s="12"/>
      <c r="E603" s="12"/>
      <c r="F603" s="12"/>
    </row>
    <row r="604">
      <c r="B604" s="12"/>
      <c r="C604" s="12"/>
      <c r="E604" s="12"/>
      <c r="F604" s="12"/>
    </row>
    <row r="605">
      <c r="B605" s="12"/>
      <c r="C605" s="12"/>
      <c r="E605" s="12"/>
      <c r="F605" s="12"/>
    </row>
    <row r="606">
      <c r="B606" s="12"/>
      <c r="C606" s="12"/>
      <c r="E606" s="12"/>
      <c r="F606" s="12"/>
    </row>
    <row r="607">
      <c r="B607" s="12"/>
      <c r="C607" s="12"/>
      <c r="E607" s="12"/>
      <c r="F607" s="12"/>
    </row>
    <row r="608">
      <c r="B608" s="12"/>
      <c r="C608" s="12"/>
      <c r="E608" s="12"/>
      <c r="F608" s="12"/>
    </row>
    <row r="609">
      <c r="B609" s="12"/>
      <c r="C609" s="12"/>
      <c r="E609" s="12"/>
      <c r="F609" s="12"/>
    </row>
    <row r="610">
      <c r="B610" s="12"/>
      <c r="C610" s="12"/>
      <c r="E610" s="12"/>
      <c r="F610" s="12"/>
    </row>
    <row r="611">
      <c r="B611" s="12"/>
      <c r="C611" s="12"/>
      <c r="E611" s="12"/>
      <c r="F611" s="12"/>
    </row>
    <row r="612">
      <c r="B612" s="12"/>
      <c r="C612" s="12"/>
      <c r="E612" s="12"/>
      <c r="F612" s="12"/>
    </row>
    <row r="613">
      <c r="B613" s="12"/>
      <c r="C613" s="12"/>
      <c r="E613" s="12"/>
      <c r="F613" s="12"/>
    </row>
    <row r="614">
      <c r="B614" s="12"/>
      <c r="C614" s="12"/>
      <c r="E614" s="12"/>
      <c r="F614" s="12"/>
    </row>
    <row r="615">
      <c r="B615" s="12"/>
      <c r="C615" s="12"/>
      <c r="E615" s="12"/>
      <c r="F615" s="12"/>
    </row>
    <row r="616">
      <c r="B616" s="12"/>
      <c r="C616" s="12"/>
      <c r="E616" s="12"/>
      <c r="F616" s="12"/>
    </row>
    <row r="617">
      <c r="B617" s="12"/>
      <c r="C617" s="12"/>
      <c r="E617" s="12"/>
      <c r="F617" s="12"/>
    </row>
    <row r="618">
      <c r="B618" s="12"/>
      <c r="C618" s="12"/>
      <c r="E618" s="12"/>
      <c r="F618" s="12"/>
    </row>
    <row r="619">
      <c r="B619" s="12"/>
      <c r="C619" s="12"/>
      <c r="E619" s="12"/>
      <c r="F619" s="12"/>
    </row>
    <row r="620">
      <c r="B620" s="12"/>
      <c r="C620" s="12"/>
      <c r="E620" s="12"/>
      <c r="F620" s="12"/>
    </row>
    <row r="621">
      <c r="B621" s="12"/>
      <c r="C621" s="12"/>
      <c r="E621" s="12"/>
      <c r="F621" s="12"/>
    </row>
    <row r="622">
      <c r="B622" s="12"/>
      <c r="C622" s="12"/>
      <c r="E622" s="12"/>
      <c r="F622" s="12"/>
    </row>
    <row r="623">
      <c r="B623" s="12"/>
      <c r="C623" s="12"/>
      <c r="E623" s="12"/>
      <c r="F623" s="12"/>
    </row>
    <row r="624">
      <c r="B624" s="12"/>
      <c r="C624" s="12"/>
      <c r="E624" s="12"/>
      <c r="F624" s="12"/>
    </row>
    <row r="625">
      <c r="B625" s="12"/>
      <c r="C625" s="12"/>
      <c r="E625" s="12"/>
      <c r="F625" s="12"/>
    </row>
    <row r="626">
      <c r="B626" s="12"/>
      <c r="C626" s="12"/>
      <c r="E626" s="12"/>
      <c r="F626" s="12"/>
    </row>
    <row r="627">
      <c r="B627" s="12"/>
      <c r="C627" s="12"/>
      <c r="E627" s="12"/>
      <c r="F627" s="12"/>
    </row>
    <row r="628">
      <c r="B628" s="12"/>
      <c r="C628" s="12"/>
      <c r="E628" s="12"/>
      <c r="F628" s="12"/>
    </row>
    <row r="629">
      <c r="B629" s="12"/>
      <c r="C629" s="12"/>
      <c r="E629" s="12"/>
      <c r="F629" s="12"/>
    </row>
    <row r="630">
      <c r="B630" s="12"/>
      <c r="C630" s="12"/>
      <c r="E630" s="12"/>
      <c r="F630" s="12"/>
    </row>
    <row r="631">
      <c r="B631" s="12"/>
      <c r="C631" s="12"/>
      <c r="E631" s="12"/>
      <c r="F631" s="12"/>
    </row>
    <row r="632">
      <c r="B632" s="12"/>
      <c r="C632" s="12"/>
      <c r="E632" s="12"/>
      <c r="F632" s="12"/>
    </row>
    <row r="633">
      <c r="B633" s="12"/>
      <c r="C633" s="12"/>
      <c r="E633" s="12"/>
      <c r="F633" s="12"/>
    </row>
    <row r="634">
      <c r="B634" s="12"/>
      <c r="C634" s="12"/>
      <c r="E634" s="12"/>
      <c r="F634" s="12"/>
    </row>
    <row r="635">
      <c r="B635" s="12"/>
      <c r="C635" s="12"/>
      <c r="E635" s="12"/>
      <c r="F635" s="12"/>
    </row>
    <row r="636">
      <c r="B636" s="12"/>
      <c r="C636" s="12"/>
      <c r="E636" s="12"/>
      <c r="F636" s="12"/>
    </row>
    <row r="637">
      <c r="B637" s="12"/>
      <c r="C637" s="12"/>
      <c r="E637" s="12"/>
      <c r="F637" s="12"/>
    </row>
    <row r="638">
      <c r="B638" s="12"/>
      <c r="C638" s="12"/>
      <c r="E638" s="12"/>
      <c r="F638" s="12"/>
    </row>
    <row r="639">
      <c r="B639" s="12"/>
      <c r="C639" s="12"/>
      <c r="E639" s="12"/>
      <c r="F639" s="12"/>
    </row>
    <row r="640">
      <c r="B640" s="12"/>
      <c r="C640" s="12"/>
      <c r="E640" s="12"/>
      <c r="F640" s="12"/>
    </row>
    <row r="641">
      <c r="B641" s="12"/>
      <c r="C641" s="12"/>
      <c r="E641" s="12"/>
      <c r="F641" s="12"/>
    </row>
    <row r="642">
      <c r="B642" s="12"/>
      <c r="C642" s="12"/>
      <c r="E642" s="12"/>
      <c r="F642" s="12"/>
    </row>
    <row r="643">
      <c r="B643" s="12"/>
      <c r="C643" s="12"/>
      <c r="E643" s="12"/>
      <c r="F643" s="12"/>
    </row>
    <row r="644">
      <c r="B644" s="12"/>
      <c r="C644" s="12"/>
      <c r="E644" s="12"/>
      <c r="F644" s="12"/>
    </row>
    <row r="645">
      <c r="B645" s="12"/>
      <c r="C645" s="12"/>
      <c r="E645" s="12"/>
      <c r="F645" s="12"/>
    </row>
    <row r="646">
      <c r="B646" s="12"/>
      <c r="C646" s="12"/>
      <c r="E646" s="12"/>
      <c r="F646" s="12"/>
    </row>
    <row r="647">
      <c r="B647" s="12"/>
      <c r="C647" s="12"/>
      <c r="E647" s="12"/>
      <c r="F647" s="12"/>
    </row>
    <row r="648">
      <c r="B648" s="12"/>
      <c r="C648" s="12"/>
      <c r="E648" s="12"/>
      <c r="F648" s="12"/>
    </row>
    <row r="649">
      <c r="B649" s="12"/>
      <c r="C649" s="12"/>
      <c r="E649" s="12"/>
      <c r="F649" s="12"/>
    </row>
    <row r="650">
      <c r="B650" s="12"/>
      <c r="C650" s="12"/>
      <c r="E650" s="12"/>
      <c r="F650" s="12"/>
    </row>
    <row r="651">
      <c r="B651" s="12"/>
      <c r="C651" s="12"/>
      <c r="E651" s="12"/>
      <c r="F651" s="12"/>
    </row>
    <row r="652">
      <c r="B652" s="12"/>
      <c r="C652" s="12"/>
      <c r="E652" s="12"/>
      <c r="F652" s="12"/>
    </row>
    <row r="653">
      <c r="B653" s="12"/>
      <c r="C653" s="12"/>
      <c r="E653" s="12"/>
      <c r="F653" s="12"/>
    </row>
    <row r="654">
      <c r="B654" s="12"/>
      <c r="C654" s="12"/>
      <c r="E654" s="12"/>
      <c r="F654" s="12"/>
    </row>
    <row r="655">
      <c r="B655" s="12"/>
      <c r="C655" s="12"/>
      <c r="E655" s="12"/>
      <c r="F655" s="12"/>
    </row>
    <row r="656">
      <c r="B656" s="12"/>
      <c r="C656" s="12"/>
      <c r="E656" s="12"/>
      <c r="F656" s="12"/>
    </row>
    <row r="657">
      <c r="B657" s="12"/>
      <c r="C657" s="12"/>
      <c r="E657" s="12"/>
      <c r="F657" s="12"/>
    </row>
    <row r="658">
      <c r="B658" s="12"/>
      <c r="C658" s="12"/>
      <c r="E658" s="12"/>
      <c r="F658" s="12"/>
    </row>
    <row r="659">
      <c r="B659" s="12"/>
      <c r="C659" s="12"/>
      <c r="E659" s="12"/>
      <c r="F659" s="12"/>
    </row>
    <row r="660">
      <c r="B660" s="12"/>
      <c r="C660" s="12"/>
      <c r="E660" s="12"/>
      <c r="F660" s="12"/>
    </row>
    <row r="661">
      <c r="B661" s="12"/>
      <c r="C661" s="12"/>
      <c r="E661" s="12"/>
      <c r="F661" s="12"/>
    </row>
    <row r="662">
      <c r="B662" s="12"/>
      <c r="C662" s="12"/>
      <c r="E662" s="12"/>
      <c r="F662" s="12"/>
    </row>
    <row r="663">
      <c r="B663" s="12"/>
      <c r="C663" s="12"/>
      <c r="E663" s="12"/>
      <c r="F663" s="12"/>
    </row>
    <row r="664">
      <c r="B664" s="12"/>
      <c r="C664" s="12"/>
      <c r="E664" s="12"/>
      <c r="F664" s="12"/>
    </row>
    <row r="665">
      <c r="B665" s="12"/>
      <c r="C665" s="12"/>
      <c r="E665" s="12"/>
      <c r="F665" s="12"/>
    </row>
    <row r="666">
      <c r="B666" s="12"/>
      <c r="C666" s="12"/>
      <c r="E666" s="12"/>
      <c r="F666" s="12"/>
    </row>
    <row r="667">
      <c r="B667" s="12"/>
      <c r="C667" s="12"/>
      <c r="E667" s="12"/>
      <c r="F667" s="12"/>
    </row>
    <row r="668">
      <c r="B668" s="12"/>
      <c r="C668" s="12"/>
      <c r="E668" s="12"/>
      <c r="F668" s="12"/>
    </row>
    <row r="669">
      <c r="B669" s="12"/>
      <c r="C669" s="12"/>
      <c r="E669" s="12"/>
      <c r="F669" s="12"/>
    </row>
    <row r="670">
      <c r="B670" s="12"/>
      <c r="C670" s="12"/>
      <c r="E670" s="12"/>
      <c r="F670" s="12"/>
    </row>
    <row r="671">
      <c r="B671" s="12"/>
      <c r="C671" s="12"/>
      <c r="E671" s="12"/>
      <c r="F671" s="12"/>
    </row>
    <row r="672">
      <c r="B672" s="12"/>
      <c r="C672" s="12"/>
      <c r="E672" s="12"/>
      <c r="F672" s="12"/>
    </row>
    <row r="673">
      <c r="B673" s="12"/>
      <c r="C673" s="12"/>
      <c r="E673" s="12"/>
      <c r="F673" s="12"/>
    </row>
    <row r="674">
      <c r="B674" s="12"/>
      <c r="C674" s="12"/>
      <c r="E674" s="12"/>
      <c r="F674" s="12"/>
    </row>
    <row r="675">
      <c r="B675" s="12"/>
      <c r="C675" s="12"/>
      <c r="E675" s="12"/>
      <c r="F675" s="12"/>
    </row>
    <row r="676">
      <c r="B676" s="12"/>
      <c r="C676" s="12"/>
      <c r="E676" s="12"/>
      <c r="F676" s="12"/>
    </row>
    <row r="677">
      <c r="B677" s="12"/>
      <c r="C677" s="12"/>
      <c r="E677" s="12"/>
      <c r="F677" s="12"/>
    </row>
    <row r="678">
      <c r="B678" s="12"/>
      <c r="C678" s="12"/>
      <c r="E678" s="12"/>
      <c r="F678" s="12"/>
    </row>
    <row r="679">
      <c r="B679" s="12"/>
      <c r="C679" s="12"/>
      <c r="E679" s="12"/>
      <c r="F679" s="12"/>
    </row>
    <row r="680">
      <c r="B680" s="12"/>
      <c r="C680" s="12"/>
      <c r="E680" s="12"/>
      <c r="F680" s="12"/>
    </row>
    <row r="681">
      <c r="B681" s="12"/>
      <c r="C681" s="12"/>
      <c r="E681" s="12"/>
      <c r="F681" s="12"/>
    </row>
    <row r="682">
      <c r="B682" s="12"/>
      <c r="C682" s="12"/>
      <c r="E682" s="12"/>
      <c r="F682" s="12"/>
    </row>
    <row r="683">
      <c r="B683" s="12"/>
      <c r="C683" s="12"/>
      <c r="E683" s="12"/>
      <c r="F683" s="12"/>
    </row>
    <row r="684">
      <c r="B684" s="12"/>
      <c r="C684" s="12"/>
      <c r="E684" s="12"/>
      <c r="F684" s="12"/>
    </row>
    <row r="685">
      <c r="B685" s="12"/>
      <c r="C685" s="12"/>
      <c r="E685" s="12"/>
      <c r="F685" s="12"/>
    </row>
    <row r="686">
      <c r="B686" s="12"/>
      <c r="C686" s="12"/>
      <c r="E686" s="12"/>
      <c r="F686" s="12"/>
    </row>
    <row r="687">
      <c r="B687" s="12"/>
      <c r="C687" s="12"/>
      <c r="E687" s="12"/>
      <c r="F687" s="12"/>
    </row>
    <row r="688">
      <c r="B688" s="12"/>
      <c r="C688" s="12"/>
      <c r="E688" s="12"/>
      <c r="F688" s="12"/>
    </row>
    <row r="689">
      <c r="B689" s="12"/>
      <c r="C689" s="12"/>
      <c r="E689" s="12"/>
      <c r="F689" s="12"/>
    </row>
    <row r="690">
      <c r="B690" s="12"/>
      <c r="C690" s="12"/>
      <c r="E690" s="12"/>
      <c r="F690" s="12"/>
    </row>
    <row r="691">
      <c r="B691" s="12"/>
      <c r="C691" s="12"/>
      <c r="E691" s="12"/>
      <c r="F691" s="12"/>
    </row>
    <row r="692">
      <c r="B692" s="12"/>
      <c r="C692" s="12"/>
      <c r="E692" s="12"/>
      <c r="F692" s="12"/>
    </row>
    <row r="693">
      <c r="B693" s="12"/>
      <c r="C693" s="12"/>
      <c r="E693" s="12"/>
      <c r="F693" s="12"/>
    </row>
    <row r="694">
      <c r="B694" s="12"/>
      <c r="C694" s="12"/>
      <c r="E694" s="12"/>
      <c r="F694" s="12"/>
    </row>
    <row r="695">
      <c r="B695" s="12"/>
      <c r="C695" s="12"/>
      <c r="E695" s="12"/>
      <c r="F695" s="12"/>
    </row>
    <row r="696">
      <c r="B696" s="12"/>
      <c r="C696" s="12"/>
      <c r="E696" s="12"/>
      <c r="F696" s="12"/>
    </row>
    <row r="697">
      <c r="B697" s="12"/>
      <c r="C697" s="12"/>
      <c r="E697" s="12"/>
      <c r="F697" s="12"/>
    </row>
    <row r="698">
      <c r="B698" s="12"/>
      <c r="C698" s="12"/>
      <c r="E698" s="12"/>
      <c r="F698" s="12"/>
    </row>
    <row r="699">
      <c r="B699" s="12"/>
      <c r="C699" s="12"/>
      <c r="E699" s="12"/>
      <c r="F699" s="12"/>
    </row>
    <row r="700">
      <c r="B700" s="12"/>
      <c r="C700" s="12"/>
      <c r="E700" s="12"/>
      <c r="F700" s="12"/>
    </row>
    <row r="701">
      <c r="B701" s="12"/>
      <c r="C701" s="12"/>
      <c r="E701" s="12"/>
      <c r="F701" s="12"/>
    </row>
    <row r="702">
      <c r="B702" s="12"/>
      <c r="C702" s="12"/>
      <c r="E702" s="12"/>
      <c r="F702" s="12"/>
    </row>
    <row r="703">
      <c r="B703" s="12"/>
      <c r="C703" s="12"/>
      <c r="E703" s="12"/>
      <c r="F703" s="12"/>
    </row>
    <row r="704">
      <c r="B704" s="12"/>
      <c r="C704" s="12"/>
      <c r="E704" s="12"/>
      <c r="F704" s="12"/>
    </row>
    <row r="705">
      <c r="B705" s="12"/>
      <c r="C705" s="12"/>
      <c r="E705" s="12"/>
      <c r="F705" s="12"/>
    </row>
    <row r="706">
      <c r="B706" s="12"/>
      <c r="C706" s="12"/>
      <c r="E706" s="12"/>
      <c r="F706" s="12"/>
    </row>
    <row r="707">
      <c r="B707" s="12"/>
      <c r="C707" s="12"/>
      <c r="E707" s="12"/>
      <c r="F707" s="12"/>
    </row>
    <row r="708">
      <c r="B708" s="12"/>
      <c r="C708" s="12"/>
      <c r="E708" s="12"/>
      <c r="F708" s="12"/>
    </row>
    <row r="709">
      <c r="B709" s="12"/>
      <c r="C709" s="12"/>
      <c r="E709" s="12"/>
      <c r="F709" s="12"/>
    </row>
    <row r="710">
      <c r="B710" s="12"/>
      <c r="C710" s="12"/>
      <c r="E710" s="12"/>
      <c r="F710" s="12"/>
    </row>
    <row r="711">
      <c r="B711" s="12"/>
      <c r="C711" s="12"/>
      <c r="E711" s="12"/>
      <c r="F711" s="12"/>
    </row>
    <row r="712">
      <c r="B712" s="12"/>
      <c r="C712" s="12"/>
      <c r="E712" s="12"/>
      <c r="F712" s="12"/>
    </row>
    <row r="713">
      <c r="B713" s="12"/>
      <c r="C713" s="12"/>
      <c r="E713" s="12"/>
      <c r="F713" s="12"/>
    </row>
    <row r="714">
      <c r="B714" s="12"/>
      <c r="C714" s="12"/>
      <c r="E714" s="12"/>
      <c r="F714" s="12"/>
    </row>
    <row r="715">
      <c r="B715" s="12"/>
      <c r="C715" s="12"/>
      <c r="E715" s="12"/>
      <c r="F715" s="12"/>
    </row>
    <row r="716">
      <c r="B716" s="12"/>
      <c r="C716" s="12"/>
      <c r="E716" s="12"/>
      <c r="F716" s="12"/>
    </row>
    <row r="717">
      <c r="B717" s="12"/>
      <c r="C717" s="12"/>
      <c r="E717" s="12"/>
      <c r="F717" s="12"/>
    </row>
    <row r="718">
      <c r="B718" s="12"/>
      <c r="C718" s="12"/>
      <c r="E718" s="12"/>
      <c r="F718" s="12"/>
    </row>
    <row r="719">
      <c r="B719" s="12"/>
      <c r="C719" s="12"/>
      <c r="E719" s="12"/>
      <c r="F719" s="12"/>
    </row>
    <row r="720">
      <c r="B720" s="12"/>
      <c r="C720" s="12"/>
      <c r="E720" s="12"/>
      <c r="F720" s="12"/>
    </row>
    <row r="721">
      <c r="B721" s="12"/>
      <c r="C721" s="12"/>
      <c r="E721" s="12"/>
      <c r="F721" s="12"/>
    </row>
    <row r="722">
      <c r="B722" s="12"/>
      <c r="C722" s="12"/>
      <c r="E722" s="12"/>
      <c r="F722" s="12"/>
    </row>
    <row r="723">
      <c r="B723" s="12"/>
      <c r="C723" s="12"/>
      <c r="E723" s="12"/>
      <c r="F723" s="12"/>
    </row>
    <row r="724">
      <c r="B724" s="12"/>
      <c r="C724" s="12"/>
      <c r="E724" s="12"/>
      <c r="F724" s="12"/>
    </row>
    <row r="725">
      <c r="B725" s="12"/>
      <c r="C725" s="12"/>
      <c r="E725" s="12"/>
      <c r="F725" s="12"/>
    </row>
    <row r="726">
      <c r="B726" s="12"/>
      <c r="C726" s="12"/>
      <c r="E726" s="12"/>
      <c r="F726" s="12"/>
    </row>
    <row r="727">
      <c r="B727" s="12"/>
      <c r="C727" s="12"/>
      <c r="E727" s="12"/>
      <c r="F727" s="12"/>
    </row>
    <row r="728">
      <c r="B728" s="12"/>
      <c r="C728" s="12"/>
      <c r="E728" s="12"/>
      <c r="F728" s="12"/>
    </row>
    <row r="729">
      <c r="B729" s="12"/>
      <c r="C729" s="12"/>
      <c r="E729" s="12"/>
      <c r="F729" s="12"/>
    </row>
    <row r="730">
      <c r="B730" s="12"/>
      <c r="C730" s="12"/>
      <c r="E730" s="12"/>
      <c r="F730" s="12"/>
    </row>
    <row r="731">
      <c r="B731" s="12"/>
      <c r="C731" s="12"/>
      <c r="E731" s="12"/>
      <c r="F731" s="12"/>
    </row>
    <row r="732">
      <c r="B732" s="12"/>
      <c r="C732" s="12"/>
      <c r="E732" s="12"/>
      <c r="F732" s="12"/>
    </row>
    <row r="733">
      <c r="B733" s="12"/>
      <c r="C733" s="12"/>
      <c r="E733" s="12"/>
      <c r="F733" s="12"/>
    </row>
    <row r="734">
      <c r="B734" s="12"/>
      <c r="C734" s="12"/>
      <c r="E734" s="12"/>
      <c r="F734" s="12"/>
    </row>
    <row r="735">
      <c r="B735" s="12"/>
      <c r="C735" s="12"/>
      <c r="E735" s="12"/>
      <c r="F735" s="12"/>
    </row>
    <row r="736">
      <c r="B736" s="12"/>
      <c r="C736" s="12"/>
      <c r="E736" s="12"/>
      <c r="F736" s="12"/>
    </row>
    <row r="737">
      <c r="B737" s="12"/>
      <c r="C737" s="12"/>
      <c r="E737" s="12"/>
      <c r="F737" s="12"/>
    </row>
    <row r="738">
      <c r="B738" s="12"/>
      <c r="C738" s="12"/>
      <c r="E738" s="12"/>
      <c r="F738" s="12"/>
    </row>
    <row r="739">
      <c r="B739" s="12"/>
      <c r="C739" s="12"/>
      <c r="E739" s="12"/>
      <c r="F739" s="12"/>
    </row>
    <row r="740">
      <c r="B740" s="12"/>
      <c r="C740" s="12"/>
      <c r="E740" s="12"/>
      <c r="F740" s="12"/>
    </row>
    <row r="741">
      <c r="B741" s="12"/>
      <c r="C741" s="12"/>
      <c r="E741" s="12"/>
      <c r="F741" s="12"/>
    </row>
    <row r="742">
      <c r="B742" s="12"/>
      <c r="C742" s="12"/>
      <c r="E742" s="12"/>
      <c r="F742" s="12"/>
    </row>
    <row r="743">
      <c r="B743" s="12"/>
      <c r="C743" s="12"/>
      <c r="E743" s="12"/>
      <c r="F743" s="12"/>
    </row>
    <row r="744">
      <c r="B744" s="12"/>
      <c r="C744" s="12"/>
      <c r="E744" s="12"/>
      <c r="F744" s="12"/>
    </row>
    <row r="745">
      <c r="B745" s="12"/>
      <c r="C745" s="12"/>
      <c r="E745" s="12"/>
      <c r="F745" s="12"/>
    </row>
    <row r="746">
      <c r="B746" s="12"/>
      <c r="C746" s="12"/>
      <c r="E746" s="12"/>
      <c r="F746" s="12"/>
    </row>
    <row r="747">
      <c r="B747" s="12"/>
      <c r="C747" s="12"/>
      <c r="E747" s="12"/>
      <c r="F747" s="12"/>
    </row>
    <row r="748">
      <c r="B748" s="12"/>
      <c r="C748" s="12"/>
      <c r="E748" s="12"/>
      <c r="F748" s="12"/>
    </row>
    <row r="749">
      <c r="B749" s="12"/>
      <c r="C749" s="12"/>
      <c r="E749" s="12"/>
      <c r="F749" s="12"/>
    </row>
    <row r="750">
      <c r="B750" s="12"/>
      <c r="C750" s="12"/>
      <c r="E750" s="12"/>
      <c r="F750" s="12"/>
    </row>
    <row r="751">
      <c r="B751" s="12"/>
      <c r="C751" s="12"/>
      <c r="E751" s="12"/>
      <c r="F751" s="12"/>
    </row>
    <row r="752">
      <c r="B752" s="12"/>
      <c r="C752" s="12"/>
      <c r="E752" s="12"/>
      <c r="F752" s="12"/>
    </row>
    <row r="753">
      <c r="B753" s="12"/>
      <c r="C753" s="12"/>
      <c r="E753" s="12"/>
      <c r="F753" s="12"/>
    </row>
    <row r="754">
      <c r="B754" s="12"/>
      <c r="C754" s="12"/>
      <c r="E754" s="12"/>
      <c r="F754" s="12"/>
    </row>
    <row r="755">
      <c r="B755" s="12"/>
      <c r="C755" s="12"/>
      <c r="E755" s="12"/>
      <c r="F755" s="12"/>
    </row>
    <row r="756">
      <c r="B756" s="12"/>
      <c r="C756" s="12"/>
      <c r="E756" s="12"/>
      <c r="F756" s="12"/>
    </row>
    <row r="757">
      <c r="B757" s="12"/>
      <c r="C757" s="12"/>
      <c r="E757" s="12"/>
      <c r="F757" s="12"/>
    </row>
    <row r="758">
      <c r="B758" s="12"/>
      <c r="C758" s="12"/>
      <c r="E758" s="12"/>
      <c r="F758" s="12"/>
    </row>
    <row r="759">
      <c r="B759" s="12"/>
      <c r="C759" s="12"/>
      <c r="E759" s="12"/>
      <c r="F759" s="12"/>
    </row>
    <row r="760">
      <c r="B760" s="12"/>
      <c r="C760" s="12"/>
      <c r="E760" s="12"/>
      <c r="F760" s="12"/>
    </row>
    <row r="761">
      <c r="B761" s="12"/>
      <c r="C761" s="12"/>
      <c r="E761" s="12"/>
      <c r="F761" s="12"/>
    </row>
    <row r="762">
      <c r="B762" s="12"/>
      <c r="C762" s="12"/>
      <c r="E762" s="12"/>
      <c r="F762" s="12"/>
    </row>
    <row r="763">
      <c r="B763" s="12"/>
      <c r="C763" s="12"/>
      <c r="E763" s="12"/>
      <c r="F763" s="12"/>
    </row>
    <row r="764">
      <c r="B764" s="12"/>
      <c r="C764" s="12"/>
      <c r="E764" s="12"/>
      <c r="F764" s="12"/>
    </row>
    <row r="765">
      <c r="B765" s="12"/>
      <c r="C765" s="12"/>
      <c r="E765" s="12"/>
      <c r="F765" s="12"/>
    </row>
    <row r="766">
      <c r="B766" s="12"/>
      <c r="C766" s="12"/>
      <c r="E766" s="12"/>
      <c r="F766" s="12"/>
    </row>
    <row r="767">
      <c r="B767" s="12"/>
      <c r="C767" s="12"/>
      <c r="E767" s="12"/>
      <c r="F767" s="12"/>
    </row>
    <row r="768">
      <c r="B768" s="12"/>
      <c r="C768" s="12"/>
      <c r="E768" s="12"/>
      <c r="F768" s="12"/>
    </row>
    <row r="769">
      <c r="B769" s="12"/>
      <c r="C769" s="12"/>
      <c r="E769" s="12"/>
      <c r="F769" s="12"/>
    </row>
    <row r="770">
      <c r="B770" s="12"/>
      <c r="C770" s="12"/>
      <c r="E770" s="12"/>
      <c r="F770" s="12"/>
    </row>
    <row r="771">
      <c r="B771" s="12"/>
      <c r="C771" s="12"/>
      <c r="E771" s="12"/>
      <c r="F771" s="12"/>
    </row>
    <row r="772">
      <c r="B772" s="12"/>
      <c r="C772" s="12"/>
      <c r="E772" s="12"/>
      <c r="F772" s="12"/>
    </row>
    <row r="773">
      <c r="B773" s="12"/>
      <c r="C773" s="12"/>
      <c r="E773" s="12"/>
      <c r="F773" s="12"/>
    </row>
    <row r="774">
      <c r="B774" s="12"/>
      <c r="C774" s="12"/>
      <c r="E774" s="12"/>
      <c r="F774" s="12"/>
    </row>
    <row r="775">
      <c r="B775" s="12"/>
      <c r="C775" s="12"/>
      <c r="E775" s="12"/>
      <c r="F775" s="12"/>
    </row>
    <row r="776">
      <c r="B776" s="12"/>
      <c r="C776" s="12"/>
      <c r="E776" s="12"/>
      <c r="F776" s="12"/>
    </row>
    <row r="777">
      <c r="B777" s="12"/>
      <c r="C777" s="12"/>
      <c r="E777" s="12"/>
      <c r="F777" s="12"/>
    </row>
    <row r="778">
      <c r="B778" s="12"/>
      <c r="C778" s="12"/>
      <c r="E778" s="12"/>
      <c r="F778" s="12"/>
    </row>
    <row r="779">
      <c r="B779" s="12"/>
      <c r="C779" s="12"/>
      <c r="E779" s="12"/>
      <c r="F779" s="12"/>
    </row>
    <row r="780">
      <c r="B780" s="12"/>
      <c r="C780" s="12"/>
      <c r="E780" s="12"/>
      <c r="F780" s="12"/>
    </row>
    <row r="781">
      <c r="B781" s="12"/>
      <c r="C781" s="12"/>
      <c r="E781" s="12"/>
      <c r="F781" s="12"/>
    </row>
    <row r="782">
      <c r="B782" s="12"/>
      <c r="C782" s="12"/>
      <c r="E782" s="12"/>
      <c r="F782" s="12"/>
    </row>
    <row r="783">
      <c r="B783" s="12"/>
      <c r="C783" s="12"/>
      <c r="E783" s="12"/>
      <c r="F783" s="12"/>
    </row>
    <row r="784">
      <c r="B784" s="12"/>
      <c r="C784" s="12"/>
      <c r="E784" s="12"/>
      <c r="F784" s="12"/>
    </row>
    <row r="785">
      <c r="B785" s="12"/>
      <c r="C785" s="12"/>
      <c r="E785" s="12"/>
      <c r="F785" s="12"/>
    </row>
    <row r="786">
      <c r="B786" s="12"/>
      <c r="C786" s="12"/>
      <c r="E786" s="12"/>
      <c r="F786" s="12"/>
    </row>
    <row r="787">
      <c r="B787" s="12"/>
      <c r="C787" s="12"/>
      <c r="E787" s="12"/>
      <c r="F787" s="12"/>
    </row>
    <row r="788">
      <c r="B788" s="12"/>
      <c r="C788" s="12"/>
      <c r="E788" s="12"/>
      <c r="F788" s="12"/>
    </row>
    <row r="789">
      <c r="B789" s="12"/>
      <c r="C789" s="12"/>
      <c r="E789" s="12"/>
      <c r="F789" s="12"/>
    </row>
    <row r="790">
      <c r="B790" s="12"/>
      <c r="C790" s="12"/>
      <c r="E790" s="12"/>
      <c r="F790" s="12"/>
    </row>
    <row r="791">
      <c r="B791" s="12"/>
      <c r="C791" s="12"/>
      <c r="E791" s="12"/>
      <c r="F791" s="12"/>
    </row>
    <row r="792">
      <c r="B792" s="12"/>
      <c r="C792" s="12"/>
      <c r="E792" s="12"/>
      <c r="F792" s="12"/>
    </row>
    <row r="793">
      <c r="B793" s="12"/>
      <c r="C793" s="12"/>
      <c r="E793" s="12"/>
      <c r="F793" s="12"/>
    </row>
    <row r="794">
      <c r="B794" s="12"/>
      <c r="C794" s="12"/>
      <c r="E794" s="12"/>
      <c r="F794" s="12"/>
    </row>
    <row r="795">
      <c r="B795" s="12"/>
      <c r="C795" s="12"/>
      <c r="E795" s="12"/>
      <c r="F795" s="12"/>
    </row>
    <row r="796">
      <c r="B796" s="12"/>
      <c r="C796" s="12"/>
      <c r="E796" s="12"/>
      <c r="F796" s="12"/>
    </row>
    <row r="797">
      <c r="B797" s="12"/>
      <c r="C797" s="12"/>
      <c r="E797" s="12"/>
      <c r="F797" s="12"/>
    </row>
    <row r="798">
      <c r="B798" s="12"/>
      <c r="C798" s="12"/>
      <c r="E798" s="12"/>
      <c r="F798" s="12"/>
    </row>
    <row r="799">
      <c r="B799" s="12"/>
      <c r="C799" s="12"/>
      <c r="E799" s="12"/>
      <c r="F799" s="12"/>
    </row>
    <row r="800">
      <c r="B800" s="12"/>
      <c r="C800" s="12"/>
      <c r="E800" s="12"/>
      <c r="F800" s="12"/>
    </row>
    <row r="801">
      <c r="B801" s="12"/>
      <c r="C801" s="12"/>
      <c r="E801" s="12"/>
      <c r="F801" s="12"/>
    </row>
    <row r="802">
      <c r="B802" s="12"/>
      <c r="C802" s="12"/>
      <c r="E802" s="12"/>
      <c r="F802" s="12"/>
    </row>
    <row r="803">
      <c r="B803" s="12"/>
      <c r="C803" s="12"/>
      <c r="E803" s="12"/>
      <c r="F803" s="12"/>
    </row>
    <row r="804">
      <c r="B804" s="12"/>
      <c r="C804" s="12"/>
      <c r="E804" s="12"/>
      <c r="F804" s="12"/>
    </row>
    <row r="805">
      <c r="B805" s="12"/>
      <c r="C805" s="12"/>
      <c r="E805" s="12"/>
      <c r="F805" s="12"/>
    </row>
    <row r="806">
      <c r="B806" s="12"/>
      <c r="C806" s="12"/>
      <c r="E806" s="12"/>
      <c r="F806" s="12"/>
    </row>
    <row r="807">
      <c r="B807" s="12"/>
      <c r="C807" s="12"/>
      <c r="E807" s="12"/>
      <c r="F807" s="12"/>
    </row>
    <row r="808">
      <c r="B808" s="12"/>
      <c r="C808" s="12"/>
      <c r="E808" s="12"/>
      <c r="F808" s="12"/>
    </row>
    <row r="809">
      <c r="B809" s="12"/>
      <c r="C809" s="12"/>
      <c r="E809" s="12"/>
      <c r="F809" s="12"/>
    </row>
    <row r="810">
      <c r="B810" s="12"/>
      <c r="C810" s="12"/>
      <c r="E810" s="12"/>
      <c r="F810" s="12"/>
    </row>
    <row r="811">
      <c r="B811" s="12"/>
      <c r="C811" s="12"/>
      <c r="E811" s="12"/>
      <c r="F811" s="12"/>
    </row>
    <row r="812">
      <c r="B812" s="12"/>
      <c r="C812" s="12"/>
      <c r="E812" s="12"/>
      <c r="F812" s="12"/>
    </row>
    <row r="813">
      <c r="B813" s="12"/>
      <c r="C813" s="12"/>
      <c r="E813" s="12"/>
      <c r="F813" s="12"/>
    </row>
    <row r="814">
      <c r="B814" s="12"/>
      <c r="C814" s="12"/>
      <c r="E814" s="12"/>
      <c r="F814" s="12"/>
    </row>
    <row r="815">
      <c r="B815" s="12"/>
      <c r="C815" s="12"/>
      <c r="E815" s="12"/>
      <c r="F815" s="12"/>
    </row>
    <row r="816">
      <c r="B816" s="12"/>
      <c r="C816" s="12"/>
      <c r="E816" s="12"/>
      <c r="F816" s="12"/>
    </row>
    <row r="817">
      <c r="B817" s="12"/>
      <c r="C817" s="12"/>
      <c r="E817" s="12"/>
      <c r="F817" s="12"/>
    </row>
    <row r="818">
      <c r="B818" s="12"/>
      <c r="C818" s="12"/>
      <c r="E818" s="12"/>
      <c r="F818" s="12"/>
    </row>
    <row r="819">
      <c r="B819" s="12"/>
      <c r="C819" s="12"/>
      <c r="E819" s="12"/>
      <c r="F819" s="12"/>
    </row>
    <row r="820">
      <c r="B820" s="12"/>
      <c r="C820" s="12"/>
      <c r="E820" s="12"/>
      <c r="F820" s="12"/>
    </row>
    <row r="821">
      <c r="B821" s="12"/>
      <c r="C821" s="12"/>
      <c r="E821" s="12"/>
      <c r="F821" s="12"/>
    </row>
    <row r="822">
      <c r="B822" s="12"/>
      <c r="C822" s="12"/>
      <c r="E822" s="12"/>
      <c r="F822" s="12"/>
    </row>
    <row r="823">
      <c r="B823" s="12"/>
      <c r="C823" s="12"/>
      <c r="E823" s="12"/>
      <c r="F823" s="12"/>
    </row>
    <row r="824">
      <c r="B824" s="12"/>
      <c r="C824" s="12"/>
      <c r="E824" s="12"/>
      <c r="F824" s="12"/>
    </row>
    <row r="825">
      <c r="B825" s="12"/>
      <c r="C825" s="12"/>
      <c r="E825" s="12"/>
      <c r="F825" s="12"/>
    </row>
    <row r="826">
      <c r="B826" s="12"/>
      <c r="C826" s="12"/>
      <c r="E826" s="12"/>
      <c r="F826" s="12"/>
    </row>
    <row r="827">
      <c r="B827" s="12"/>
      <c r="C827" s="12"/>
      <c r="E827" s="12"/>
      <c r="F827" s="12"/>
    </row>
    <row r="828">
      <c r="B828" s="12"/>
      <c r="C828" s="12"/>
      <c r="E828" s="12"/>
      <c r="F828" s="12"/>
    </row>
    <row r="829">
      <c r="B829" s="12"/>
      <c r="C829" s="12"/>
      <c r="E829" s="12"/>
      <c r="F829" s="12"/>
    </row>
    <row r="830">
      <c r="B830" s="12"/>
      <c r="C830" s="12"/>
      <c r="E830" s="12"/>
      <c r="F830" s="12"/>
    </row>
    <row r="831">
      <c r="B831" s="12"/>
      <c r="C831" s="12"/>
      <c r="E831" s="12"/>
      <c r="F831" s="12"/>
    </row>
    <row r="832">
      <c r="B832" s="12"/>
      <c r="C832" s="12"/>
      <c r="E832" s="12"/>
      <c r="F832" s="12"/>
    </row>
    <row r="833">
      <c r="B833" s="12"/>
      <c r="C833" s="12"/>
      <c r="E833" s="12"/>
      <c r="F833" s="12"/>
    </row>
    <row r="834">
      <c r="B834" s="12"/>
      <c r="C834" s="12"/>
      <c r="E834" s="12"/>
      <c r="F834" s="12"/>
    </row>
    <row r="835">
      <c r="B835" s="12"/>
      <c r="C835" s="12"/>
      <c r="E835" s="12"/>
      <c r="F835" s="12"/>
    </row>
    <row r="836">
      <c r="B836" s="12"/>
      <c r="C836" s="12"/>
      <c r="E836" s="12"/>
      <c r="F836" s="12"/>
    </row>
    <row r="837">
      <c r="B837" s="12"/>
      <c r="C837" s="12"/>
      <c r="E837" s="12"/>
      <c r="F837" s="12"/>
    </row>
    <row r="838">
      <c r="B838" s="12"/>
      <c r="C838" s="12"/>
      <c r="E838" s="12"/>
      <c r="F838" s="12"/>
    </row>
    <row r="839">
      <c r="B839" s="12"/>
      <c r="C839" s="12"/>
      <c r="E839" s="12"/>
      <c r="F839" s="12"/>
    </row>
    <row r="840">
      <c r="B840" s="12"/>
      <c r="C840" s="12"/>
      <c r="E840" s="12"/>
      <c r="F840" s="12"/>
    </row>
    <row r="841">
      <c r="B841" s="12"/>
      <c r="C841" s="12"/>
      <c r="E841" s="12"/>
      <c r="F841" s="12"/>
    </row>
    <row r="842">
      <c r="B842" s="12"/>
      <c r="C842" s="12"/>
      <c r="E842" s="12"/>
      <c r="F842" s="12"/>
    </row>
    <row r="843">
      <c r="B843" s="12"/>
      <c r="C843" s="12"/>
      <c r="E843" s="12"/>
      <c r="F843" s="12"/>
    </row>
    <row r="844">
      <c r="B844" s="12"/>
      <c r="C844" s="12"/>
      <c r="E844" s="12"/>
      <c r="F844" s="12"/>
    </row>
    <row r="845">
      <c r="B845" s="12"/>
      <c r="C845" s="12"/>
      <c r="E845" s="12"/>
      <c r="F845" s="12"/>
    </row>
    <row r="846">
      <c r="B846" s="12"/>
      <c r="C846" s="12"/>
      <c r="E846" s="12"/>
      <c r="F846" s="12"/>
    </row>
    <row r="847">
      <c r="B847" s="12"/>
      <c r="C847" s="12"/>
      <c r="E847" s="12"/>
      <c r="F847" s="12"/>
    </row>
    <row r="848">
      <c r="B848" s="12"/>
      <c r="C848" s="12"/>
      <c r="E848" s="12"/>
      <c r="F848" s="12"/>
    </row>
    <row r="849">
      <c r="B849" s="12"/>
      <c r="C849" s="12"/>
      <c r="E849" s="12"/>
      <c r="F849" s="12"/>
    </row>
    <row r="850">
      <c r="B850" s="12"/>
      <c r="C850" s="12"/>
      <c r="E850" s="12"/>
      <c r="F850" s="12"/>
    </row>
    <row r="851">
      <c r="B851" s="12"/>
      <c r="C851" s="12"/>
      <c r="E851" s="12"/>
      <c r="F851" s="12"/>
    </row>
    <row r="852">
      <c r="B852" s="12"/>
      <c r="C852" s="12"/>
      <c r="E852" s="12"/>
      <c r="F852" s="12"/>
    </row>
    <row r="853">
      <c r="B853" s="12"/>
      <c r="C853" s="12"/>
      <c r="E853" s="12"/>
      <c r="F853" s="12"/>
    </row>
    <row r="854">
      <c r="B854" s="12"/>
      <c r="C854" s="12"/>
      <c r="E854" s="12"/>
      <c r="F854" s="12"/>
    </row>
    <row r="855">
      <c r="B855" s="12"/>
      <c r="C855" s="12"/>
      <c r="E855" s="12"/>
      <c r="F855" s="12"/>
    </row>
    <row r="856">
      <c r="B856" s="12"/>
      <c r="C856" s="12"/>
      <c r="E856" s="12"/>
      <c r="F856" s="12"/>
    </row>
    <row r="857">
      <c r="B857" s="12"/>
      <c r="C857" s="12"/>
      <c r="E857" s="12"/>
      <c r="F857" s="12"/>
    </row>
    <row r="858">
      <c r="B858" s="12"/>
      <c r="C858" s="12"/>
      <c r="E858" s="12"/>
      <c r="F858" s="12"/>
    </row>
    <row r="859">
      <c r="B859" s="12"/>
      <c r="C859" s="12"/>
      <c r="E859" s="12"/>
      <c r="F859" s="12"/>
    </row>
    <row r="860">
      <c r="B860" s="12"/>
      <c r="C860" s="12"/>
      <c r="E860" s="12"/>
      <c r="F860" s="12"/>
    </row>
    <row r="861">
      <c r="B861" s="12"/>
      <c r="C861" s="12"/>
      <c r="E861" s="12"/>
      <c r="F861" s="12"/>
    </row>
    <row r="862">
      <c r="B862" s="12"/>
      <c r="C862" s="12"/>
      <c r="E862" s="12"/>
      <c r="F862" s="12"/>
    </row>
    <row r="863">
      <c r="B863" s="12"/>
      <c r="C863" s="12"/>
      <c r="E863" s="12"/>
      <c r="F863" s="12"/>
    </row>
    <row r="864">
      <c r="B864" s="12"/>
      <c r="C864" s="12"/>
      <c r="E864" s="12"/>
      <c r="F864" s="12"/>
    </row>
    <row r="865">
      <c r="B865" s="12"/>
      <c r="C865" s="12"/>
      <c r="E865" s="12"/>
      <c r="F865" s="12"/>
    </row>
    <row r="866">
      <c r="B866" s="12"/>
      <c r="C866" s="12"/>
      <c r="E866" s="12"/>
      <c r="F866" s="12"/>
    </row>
    <row r="867">
      <c r="B867" s="12"/>
      <c r="C867" s="12"/>
      <c r="E867" s="12"/>
      <c r="F867" s="12"/>
    </row>
    <row r="868">
      <c r="B868" s="12"/>
      <c r="C868" s="12"/>
      <c r="E868" s="12"/>
      <c r="F868" s="12"/>
    </row>
    <row r="869">
      <c r="B869" s="12"/>
      <c r="C869" s="12"/>
      <c r="E869" s="12"/>
      <c r="F869" s="12"/>
    </row>
    <row r="870">
      <c r="B870" s="12"/>
      <c r="C870" s="12"/>
      <c r="E870" s="12"/>
      <c r="F870" s="12"/>
    </row>
    <row r="871">
      <c r="B871" s="12"/>
      <c r="C871" s="12"/>
      <c r="E871" s="12"/>
      <c r="F871" s="12"/>
    </row>
    <row r="872">
      <c r="B872" s="12"/>
      <c r="C872" s="12"/>
      <c r="E872" s="12"/>
      <c r="F872" s="12"/>
    </row>
    <row r="873">
      <c r="B873" s="12"/>
      <c r="C873" s="12"/>
      <c r="E873" s="12"/>
      <c r="F873" s="12"/>
    </row>
    <row r="874">
      <c r="B874" s="12"/>
      <c r="C874" s="12"/>
      <c r="E874" s="12"/>
      <c r="F874" s="12"/>
    </row>
    <row r="875">
      <c r="B875" s="12"/>
      <c r="C875" s="12"/>
      <c r="E875" s="12"/>
      <c r="F875" s="12"/>
    </row>
    <row r="876">
      <c r="B876" s="12"/>
      <c r="C876" s="12"/>
      <c r="E876" s="12"/>
      <c r="F876" s="12"/>
    </row>
    <row r="877">
      <c r="B877" s="12"/>
      <c r="C877" s="12"/>
      <c r="E877" s="12"/>
      <c r="F877" s="12"/>
    </row>
    <row r="878">
      <c r="B878" s="12"/>
      <c r="C878" s="12"/>
      <c r="E878" s="12"/>
      <c r="F878" s="12"/>
    </row>
    <row r="879">
      <c r="B879" s="12"/>
      <c r="C879" s="12"/>
      <c r="E879" s="12"/>
      <c r="F879" s="12"/>
    </row>
    <row r="880">
      <c r="B880" s="12"/>
      <c r="C880" s="12"/>
      <c r="E880" s="12"/>
      <c r="F880" s="12"/>
    </row>
    <row r="881">
      <c r="B881" s="12"/>
      <c r="C881" s="12"/>
      <c r="E881" s="12"/>
      <c r="F881" s="12"/>
    </row>
    <row r="882">
      <c r="B882" s="12"/>
      <c r="C882" s="12"/>
      <c r="E882" s="12"/>
      <c r="F882" s="12"/>
    </row>
    <row r="883">
      <c r="B883" s="12"/>
      <c r="C883" s="12"/>
      <c r="E883" s="12"/>
      <c r="F883" s="12"/>
    </row>
    <row r="884">
      <c r="B884" s="12"/>
      <c r="C884" s="12"/>
      <c r="E884" s="12"/>
      <c r="F884" s="12"/>
    </row>
    <row r="885">
      <c r="B885" s="12"/>
      <c r="C885" s="12"/>
      <c r="E885" s="12"/>
      <c r="F885" s="12"/>
    </row>
    <row r="886">
      <c r="B886" s="12"/>
      <c r="C886" s="12"/>
      <c r="E886" s="12"/>
      <c r="F886" s="12"/>
    </row>
    <row r="887">
      <c r="B887" s="12"/>
      <c r="C887" s="12"/>
      <c r="E887" s="12"/>
      <c r="F887" s="12"/>
    </row>
    <row r="888">
      <c r="B888" s="12"/>
      <c r="C888" s="12"/>
      <c r="E888" s="12"/>
      <c r="F888" s="12"/>
    </row>
    <row r="889">
      <c r="B889" s="12"/>
      <c r="C889" s="12"/>
      <c r="E889" s="12"/>
      <c r="F889" s="12"/>
    </row>
    <row r="890">
      <c r="B890" s="12"/>
      <c r="C890" s="12"/>
      <c r="E890" s="12"/>
      <c r="F890" s="12"/>
    </row>
    <row r="891">
      <c r="B891" s="12"/>
      <c r="C891" s="12"/>
      <c r="E891" s="12"/>
      <c r="F891" s="12"/>
    </row>
    <row r="892">
      <c r="B892" s="12"/>
      <c r="C892" s="12"/>
      <c r="E892" s="12"/>
      <c r="F892" s="12"/>
    </row>
    <row r="893">
      <c r="B893" s="12"/>
      <c r="C893" s="12"/>
      <c r="E893" s="12"/>
      <c r="F893" s="12"/>
    </row>
    <row r="894">
      <c r="B894" s="12"/>
      <c r="C894" s="12"/>
      <c r="E894" s="12"/>
      <c r="F894" s="12"/>
    </row>
    <row r="895">
      <c r="B895" s="12"/>
      <c r="C895" s="12"/>
      <c r="E895" s="12"/>
      <c r="F895" s="12"/>
    </row>
    <row r="896">
      <c r="B896" s="12"/>
      <c r="C896" s="12"/>
      <c r="E896" s="12"/>
      <c r="F896" s="12"/>
    </row>
    <row r="897">
      <c r="B897" s="12"/>
      <c r="C897" s="12"/>
      <c r="E897" s="12"/>
      <c r="F897" s="12"/>
    </row>
    <row r="898">
      <c r="B898" s="12"/>
      <c r="C898" s="12"/>
      <c r="E898" s="12"/>
      <c r="F898" s="12"/>
    </row>
    <row r="899">
      <c r="B899" s="12"/>
      <c r="C899" s="12"/>
      <c r="E899" s="12"/>
      <c r="F899" s="12"/>
    </row>
    <row r="900">
      <c r="B900" s="12"/>
      <c r="C900" s="12"/>
      <c r="E900" s="12"/>
      <c r="F900" s="12"/>
    </row>
    <row r="901">
      <c r="B901" s="12"/>
      <c r="C901" s="12"/>
      <c r="E901" s="12"/>
      <c r="F901" s="12"/>
    </row>
    <row r="902">
      <c r="B902" s="12"/>
      <c r="C902" s="12"/>
      <c r="E902" s="12"/>
      <c r="F902" s="12"/>
    </row>
    <row r="903">
      <c r="B903" s="12"/>
      <c r="C903" s="12"/>
      <c r="E903" s="12"/>
      <c r="F903" s="12"/>
    </row>
    <row r="904">
      <c r="B904" s="12"/>
      <c r="C904" s="12"/>
      <c r="E904" s="12"/>
      <c r="F904" s="12"/>
    </row>
    <row r="905">
      <c r="B905" s="12"/>
      <c r="C905" s="12"/>
      <c r="E905" s="12"/>
      <c r="F905" s="12"/>
    </row>
    <row r="906">
      <c r="B906" s="12"/>
      <c r="C906" s="12"/>
      <c r="E906" s="12"/>
      <c r="F906" s="12"/>
    </row>
    <row r="907">
      <c r="B907" s="12"/>
      <c r="C907" s="12"/>
      <c r="E907" s="12"/>
      <c r="F907" s="12"/>
    </row>
    <row r="908">
      <c r="B908" s="12"/>
      <c r="C908" s="12"/>
      <c r="E908" s="12"/>
      <c r="F908" s="12"/>
    </row>
    <row r="909">
      <c r="B909" s="12"/>
      <c r="C909" s="12"/>
      <c r="E909" s="12"/>
      <c r="F909" s="12"/>
    </row>
    <row r="910">
      <c r="B910" s="12"/>
      <c r="C910" s="12"/>
      <c r="E910" s="12"/>
      <c r="F910" s="12"/>
    </row>
    <row r="911">
      <c r="B911" s="12"/>
      <c r="C911" s="12"/>
      <c r="E911" s="12"/>
      <c r="F911" s="12"/>
    </row>
    <row r="912">
      <c r="B912" s="12"/>
      <c r="C912" s="12"/>
      <c r="E912" s="12"/>
      <c r="F912" s="12"/>
    </row>
    <row r="913">
      <c r="B913" s="12"/>
      <c r="C913" s="12"/>
      <c r="E913" s="12"/>
      <c r="F913" s="12"/>
    </row>
    <row r="914">
      <c r="B914" s="12"/>
      <c r="C914" s="12"/>
      <c r="E914" s="12"/>
      <c r="F914" s="12"/>
    </row>
    <row r="915">
      <c r="B915" s="12"/>
      <c r="C915" s="12"/>
      <c r="E915" s="12"/>
      <c r="F915" s="12"/>
    </row>
    <row r="916">
      <c r="B916" s="12"/>
      <c r="C916" s="12"/>
      <c r="E916" s="12"/>
      <c r="F916" s="12"/>
    </row>
    <row r="917">
      <c r="B917" s="12"/>
      <c r="C917" s="12"/>
      <c r="E917" s="12"/>
      <c r="F917" s="12"/>
    </row>
    <row r="918">
      <c r="B918" s="12"/>
      <c r="C918" s="12"/>
      <c r="E918" s="12"/>
      <c r="F918" s="12"/>
    </row>
    <row r="919">
      <c r="B919" s="12"/>
      <c r="C919" s="12"/>
      <c r="E919" s="12"/>
      <c r="F919" s="12"/>
    </row>
    <row r="920">
      <c r="B920" s="12"/>
      <c r="C920" s="12"/>
      <c r="E920" s="12"/>
      <c r="F920" s="12"/>
    </row>
    <row r="921">
      <c r="B921" s="12"/>
      <c r="C921" s="12"/>
      <c r="E921" s="12"/>
      <c r="F921" s="12"/>
    </row>
    <row r="922">
      <c r="B922" s="12"/>
      <c r="C922" s="12"/>
      <c r="E922" s="12"/>
      <c r="F922" s="12"/>
    </row>
    <row r="923">
      <c r="B923" s="12"/>
      <c r="C923" s="12"/>
      <c r="E923" s="12"/>
      <c r="F923" s="12"/>
    </row>
    <row r="924">
      <c r="B924" s="12"/>
      <c r="C924" s="12"/>
      <c r="E924" s="12"/>
      <c r="F924" s="12"/>
    </row>
    <row r="925">
      <c r="B925" s="12"/>
      <c r="C925" s="12"/>
      <c r="E925" s="12"/>
      <c r="F925" s="12"/>
    </row>
    <row r="926">
      <c r="B926" s="12"/>
      <c r="C926" s="12"/>
      <c r="E926" s="12"/>
      <c r="F926" s="12"/>
    </row>
    <row r="927">
      <c r="B927" s="12"/>
      <c r="C927" s="12"/>
      <c r="E927" s="12"/>
      <c r="F927" s="12"/>
    </row>
    <row r="928">
      <c r="B928" s="12"/>
      <c r="C928" s="12"/>
      <c r="E928" s="12"/>
      <c r="F928" s="12"/>
    </row>
    <row r="929">
      <c r="B929" s="12"/>
      <c r="C929" s="12"/>
      <c r="E929" s="12"/>
      <c r="F929" s="12"/>
    </row>
    <row r="930">
      <c r="B930" s="12"/>
      <c r="C930" s="12"/>
      <c r="E930" s="12"/>
      <c r="F930" s="12"/>
    </row>
    <row r="931">
      <c r="B931" s="12"/>
      <c r="C931" s="12"/>
      <c r="E931" s="12"/>
      <c r="F931" s="12"/>
    </row>
    <row r="932">
      <c r="B932" s="12"/>
      <c r="C932" s="12"/>
      <c r="E932" s="12"/>
      <c r="F932" s="12"/>
    </row>
    <row r="933">
      <c r="B933" s="12"/>
      <c r="C933" s="12"/>
      <c r="E933" s="12"/>
      <c r="F933" s="12"/>
    </row>
    <row r="934">
      <c r="B934" s="12"/>
      <c r="C934" s="12"/>
      <c r="E934" s="12"/>
      <c r="F934" s="12"/>
    </row>
    <row r="935">
      <c r="B935" s="12"/>
      <c r="C935" s="12"/>
      <c r="E935" s="12"/>
      <c r="F935" s="12"/>
    </row>
    <row r="936">
      <c r="B936" s="12"/>
      <c r="C936" s="12"/>
      <c r="E936" s="12"/>
      <c r="F936" s="12"/>
    </row>
    <row r="937">
      <c r="B937" s="12"/>
      <c r="C937" s="12"/>
      <c r="E937" s="12"/>
      <c r="F937" s="12"/>
    </row>
    <row r="938">
      <c r="B938" s="12"/>
      <c r="C938" s="12"/>
      <c r="E938" s="12"/>
      <c r="F938" s="12"/>
    </row>
    <row r="939">
      <c r="B939" s="12"/>
      <c r="C939" s="12"/>
      <c r="E939" s="12"/>
      <c r="F939" s="12"/>
    </row>
    <row r="940">
      <c r="B940" s="12"/>
      <c r="C940" s="12"/>
      <c r="E940" s="12"/>
      <c r="F940" s="12"/>
    </row>
    <row r="941">
      <c r="B941" s="12"/>
      <c r="C941" s="12"/>
      <c r="E941" s="12"/>
      <c r="F941" s="12"/>
    </row>
    <row r="942">
      <c r="B942" s="12"/>
      <c r="C942" s="12"/>
      <c r="E942" s="12"/>
      <c r="F942" s="12"/>
    </row>
    <row r="943">
      <c r="B943" s="12"/>
      <c r="C943" s="12"/>
      <c r="E943" s="12"/>
      <c r="F943" s="12"/>
    </row>
    <row r="944">
      <c r="B944" s="12"/>
      <c r="C944" s="12"/>
      <c r="E944" s="12"/>
      <c r="F944" s="12"/>
    </row>
    <row r="945">
      <c r="B945" s="12"/>
      <c r="C945" s="12"/>
      <c r="E945" s="12"/>
      <c r="F945" s="12"/>
    </row>
    <row r="946">
      <c r="B946" s="12"/>
      <c r="C946" s="12"/>
      <c r="E946" s="12"/>
      <c r="F946" s="12"/>
    </row>
    <row r="947">
      <c r="B947" s="12"/>
      <c r="C947" s="12"/>
      <c r="E947" s="12"/>
      <c r="F947" s="12"/>
    </row>
    <row r="948">
      <c r="B948" s="12"/>
      <c r="C948" s="12"/>
      <c r="E948" s="12"/>
      <c r="F948" s="12"/>
    </row>
    <row r="949">
      <c r="B949" s="12"/>
      <c r="C949" s="12"/>
      <c r="E949" s="12"/>
      <c r="F949" s="12"/>
    </row>
    <row r="950">
      <c r="B950" s="12"/>
      <c r="C950" s="12"/>
      <c r="E950" s="12"/>
      <c r="F950" s="12"/>
    </row>
    <row r="951">
      <c r="B951" s="12"/>
      <c r="C951" s="12"/>
      <c r="E951" s="12"/>
      <c r="F951" s="12"/>
    </row>
    <row r="952">
      <c r="B952" s="12"/>
      <c r="C952" s="12"/>
      <c r="E952" s="12"/>
      <c r="F952" s="12"/>
    </row>
    <row r="953">
      <c r="B953" s="12"/>
      <c r="C953" s="12"/>
      <c r="E953" s="12"/>
      <c r="F953" s="12"/>
    </row>
    <row r="954">
      <c r="B954" s="12"/>
      <c r="C954" s="12"/>
      <c r="E954" s="12"/>
      <c r="F954" s="12"/>
    </row>
    <row r="955">
      <c r="B955" s="12"/>
      <c r="C955" s="12"/>
      <c r="E955" s="12"/>
      <c r="F955" s="12"/>
    </row>
    <row r="956">
      <c r="B956" s="12"/>
      <c r="C956" s="12"/>
      <c r="E956" s="12"/>
      <c r="F956" s="12"/>
    </row>
    <row r="957">
      <c r="B957" s="12"/>
      <c r="C957" s="12"/>
      <c r="E957" s="12"/>
      <c r="F957" s="12"/>
    </row>
    <row r="958">
      <c r="B958" s="12"/>
      <c r="C958" s="12"/>
      <c r="E958" s="12"/>
      <c r="F958" s="12"/>
    </row>
    <row r="959">
      <c r="B959" s="12"/>
      <c r="C959" s="12"/>
      <c r="E959" s="12"/>
      <c r="F959" s="12"/>
    </row>
    <row r="960">
      <c r="B960" s="12"/>
      <c r="C960" s="12"/>
      <c r="E960" s="12"/>
      <c r="F960" s="12"/>
    </row>
    <row r="961">
      <c r="B961" s="12"/>
      <c r="C961" s="12"/>
      <c r="E961" s="12"/>
      <c r="F961" s="12"/>
    </row>
    <row r="962">
      <c r="B962" s="12"/>
      <c r="C962" s="12"/>
      <c r="E962" s="12"/>
      <c r="F962" s="12"/>
    </row>
    <row r="963">
      <c r="B963" s="12"/>
      <c r="C963" s="12"/>
      <c r="E963" s="12"/>
      <c r="F963" s="12"/>
    </row>
    <row r="964">
      <c r="B964" s="12"/>
      <c r="C964" s="12"/>
      <c r="E964" s="12"/>
      <c r="F964" s="12"/>
    </row>
    <row r="965">
      <c r="B965" s="12"/>
      <c r="C965" s="12"/>
      <c r="E965" s="12"/>
      <c r="F965" s="12"/>
    </row>
    <row r="966">
      <c r="B966" s="12"/>
      <c r="C966" s="12"/>
      <c r="E966" s="12"/>
      <c r="F966" s="12"/>
    </row>
    <row r="967">
      <c r="B967" s="12"/>
      <c r="C967" s="12"/>
      <c r="E967" s="12"/>
      <c r="F967" s="12"/>
    </row>
    <row r="968">
      <c r="B968" s="12"/>
      <c r="C968" s="12"/>
      <c r="E968" s="12"/>
      <c r="F968" s="12"/>
    </row>
    <row r="969">
      <c r="B969" s="12"/>
      <c r="C969" s="12"/>
      <c r="E969" s="12"/>
      <c r="F969" s="12"/>
    </row>
    <row r="970">
      <c r="B970" s="12"/>
      <c r="C970" s="12"/>
      <c r="E970" s="12"/>
      <c r="F970" s="12"/>
    </row>
    <row r="971">
      <c r="B971" s="12"/>
      <c r="C971" s="12"/>
      <c r="E971" s="12"/>
      <c r="F971" s="12"/>
    </row>
    <row r="972">
      <c r="B972" s="12"/>
      <c r="C972" s="12"/>
      <c r="E972" s="12"/>
      <c r="F972" s="12"/>
    </row>
    <row r="973">
      <c r="B973" s="12"/>
      <c r="C973" s="12"/>
      <c r="E973" s="12"/>
      <c r="F973" s="12"/>
    </row>
    <row r="974">
      <c r="B974" s="12"/>
      <c r="C974" s="12"/>
      <c r="E974" s="12"/>
      <c r="F974" s="12"/>
    </row>
    <row r="975">
      <c r="B975" s="12"/>
      <c r="C975" s="12"/>
      <c r="E975" s="12"/>
      <c r="F975" s="12"/>
    </row>
    <row r="976">
      <c r="B976" s="12"/>
      <c r="C976" s="12"/>
      <c r="E976" s="12"/>
      <c r="F976" s="12"/>
    </row>
    <row r="977">
      <c r="B977" s="12"/>
      <c r="C977" s="12"/>
      <c r="E977" s="12"/>
      <c r="F977" s="12"/>
    </row>
    <row r="978">
      <c r="B978" s="12"/>
      <c r="C978" s="12"/>
      <c r="E978" s="12"/>
      <c r="F978" s="12"/>
    </row>
    <row r="979">
      <c r="B979" s="12"/>
      <c r="C979" s="12"/>
      <c r="E979" s="12"/>
      <c r="F979" s="12"/>
    </row>
    <row r="980">
      <c r="B980" s="12"/>
      <c r="C980" s="12"/>
      <c r="E980" s="12"/>
      <c r="F980" s="12"/>
    </row>
    <row r="981">
      <c r="B981" s="12"/>
      <c r="C981" s="12"/>
      <c r="E981" s="12"/>
      <c r="F981" s="12"/>
    </row>
    <row r="982">
      <c r="B982" s="12"/>
      <c r="C982" s="12"/>
      <c r="E982" s="12"/>
      <c r="F982" s="12"/>
    </row>
    <row r="983">
      <c r="B983" s="12"/>
      <c r="C983" s="12"/>
      <c r="E983" s="12"/>
      <c r="F983" s="12"/>
    </row>
    <row r="984">
      <c r="B984" s="12"/>
      <c r="C984" s="12"/>
      <c r="E984" s="12"/>
      <c r="F984" s="12"/>
    </row>
    <row r="985">
      <c r="B985" s="12"/>
      <c r="C985" s="12"/>
      <c r="E985" s="12"/>
      <c r="F985" s="12"/>
    </row>
    <row r="986">
      <c r="B986" s="12"/>
      <c r="C986" s="12"/>
      <c r="E986" s="12"/>
      <c r="F986" s="12"/>
    </row>
    <row r="987">
      <c r="B987" s="12"/>
      <c r="C987" s="12"/>
      <c r="E987" s="12"/>
      <c r="F987" s="12"/>
    </row>
    <row r="988">
      <c r="B988" s="12"/>
      <c r="C988" s="12"/>
      <c r="E988" s="12"/>
      <c r="F988" s="12"/>
    </row>
    <row r="989">
      <c r="B989" s="12"/>
      <c r="C989" s="12"/>
      <c r="E989" s="12"/>
      <c r="F989" s="12"/>
    </row>
    <row r="990">
      <c r="B990" s="12"/>
      <c r="C990" s="12"/>
      <c r="E990" s="12"/>
      <c r="F990" s="12"/>
    </row>
    <row r="991">
      <c r="B991" s="12"/>
      <c r="C991" s="12"/>
      <c r="E991" s="12"/>
      <c r="F991" s="12"/>
    </row>
    <row r="992">
      <c r="B992" s="12"/>
      <c r="C992" s="12"/>
      <c r="E992" s="12"/>
      <c r="F992" s="12"/>
    </row>
    <row r="993">
      <c r="B993" s="12"/>
      <c r="C993" s="12"/>
      <c r="E993" s="12"/>
      <c r="F993" s="12"/>
    </row>
    <row r="994">
      <c r="B994" s="12"/>
      <c r="C994" s="12"/>
      <c r="E994" s="12"/>
      <c r="F994" s="12"/>
    </row>
    <row r="995">
      <c r="B995" s="12"/>
      <c r="C995" s="12"/>
      <c r="E995" s="12"/>
      <c r="F995" s="12"/>
    </row>
    <row r="996">
      <c r="B996" s="12"/>
      <c r="C996" s="12"/>
      <c r="E996" s="12"/>
      <c r="F996" s="12"/>
    </row>
    <row r="997">
      <c r="B997" s="12"/>
      <c r="C997" s="12"/>
      <c r="E997" s="12"/>
      <c r="F997" s="12"/>
    </row>
    <row r="998">
      <c r="B998" s="12"/>
      <c r="C998" s="12"/>
      <c r="E998" s="12"/>
      <c r="F998" s="12"/>
    </row>
    <row r="999">
      <c r="B999" s="12"/>
      <c r="C999" s="12"/>
      <c r="E999" s="12"/>
      <c r="F999" s="12"/>
    </row>
    <row r="1000">
      <c r="B1000" s="12"/>
      <c r="C1000" s="12"/>
      <c r="E1000" s="12"/>
      <c r="F1000" s="12"/>
    </row>
  </sheetData>
  <conditionalFormatting sqref="D2:E12">
    <cfRule type="cellIs" dxfId="6" priority="1" operator="equal">
      <formula>"No"</formula>
    </cfRule>
  </conditionalFormatting>
  <conditionalFormatting sqref="C2:C12">
    <cfRule type="cellIs" dxfId="6" priority="2" operator="equal">
      <formula>"No"</formula>
    </cfRule>
  </conditionalFormatting>
  <conditionalFormatting sqref="C2:C12">
    <cfRule type="cellIs" dxfId="7" priority="3" operator="equal">
      <formula>"Yes!"</formula>
    </cfRule>
  </conditionalFormatting>
  <conditionalFormatting sqref="D2:E12">
    <cfRule type="cellIs" dxfId="7" priority="4" operator="equal">
      <formula>"Yes!"</formula>
    </cfRule>
  </conditionalFormatting>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0"/>
    <col customWidth="1" min="2" max="2" width="21.0"/>
    <col customWidth="1" min="3" max="3" width="18.75"/>
    <col customWidth="1" min="4" max="4" width="16.0"/>
    <col customWidth="1" min="7" max="7" width="20.5"/>
    <col customWidth="1" min="8" max="8" width="58.13"/>
    <col customWidth="1" min="9" max="9" width="16.63"/>
    <col hidden="1" min="10" max="10" width="12.63"/>
  </cols>
  <sheetData>
    <row r="1">
      <c r="A1" s="144" t="s">
        <v>193</v>
      </c>
      <c r="B1" s="145"/>
      <c r="C1" s="146"/>
      <c r="D1" s="147"/>
      <c r="E1" s="148"/>
      <c r="F1" s="149"/>
      <c r="G1" s="150"/>
      <c r="H1" s="151"/>
      <c r="I1" s="147"/>
      <c r="J1" s="147"/>
    </row>
    <row r="2">
      <c r="A2" s="152" t="s">
        <v>194</v>
      </c>
      <c r="B2" s="152"/>
      <c r="C2" s="152"/>
      <c r="D2" s="152"/>
      <c r="E2" s="152"/>
      <c r="F2" s="152"/>
    </row>
    <row r="3">
      <c r="A3" s="152" t="s">
        <v>195</v>
      </c>
      <c r="B3" s="152"/>
      <c r="C3" s="152"/>
      <c r="D3" s="152"/>
      <c r="E3" s="152"/>
      <c r="F3" s="152"/>
      <c r="G3" s="152"/>
      <c r="H3" s="152"/>
    </row>
    <row r="4">
      <c r="A4" s="152" t="s">
        <v>196</v>
      </c>
      <c r="B4" s="152"/>
      <c r="C4" s="152"/>
      <c r="D4" s="152"/>
      <c r="E4" s="152"/>
      <c r="F4" s="152"/>
      <c r="G4" s="152"/>
      <c r="H4" s="152"/>
    </row>
    <row r="5">
      <c r="A5" s="152" t="s">
        <v>197</v>
      </c>
      <c r="B5" s="152"/>
      <c r="C5" s="152"/>
      <c r="D5" s="152"/>
      <c r="E5" s="152"/>
      <c r="F5" s="152"/>
      <c r="G5" s="152"/>
      <c r="H5" s="152"/>
    </row>
    <row r="6">
      <c r="A6" s="152" t="s">
        <v>198</v>
      </c>
      <c r="B6" s="152"/>
      <c r="C6" s="152"/>
      <c r="D6" s="152"/>
      <c r="E6" s="152"/>
      <c r="F6" s="152"/>
      <c r="G6" s="152"/>
      <c r="H6" s="152"/>
    </row>
    <row r="7">
      <c r="A7" s="153"/>
      <c r="B7" s="154"/>
      <c r="C7" s="155"/>
      <c r="D7" s="156"/>
      <c r="E7" s="157"/>
      <c r="F7" s="12"/>
      <c r="G7" s="158"/>
    </row>
    <row r="8">
      <c r="A8" s="86" t="s">
        <v>199</v>
      </c>
      <c r="B8" s="159" t="s">
        <v>53</v>
      </c>
      <c r="C8" s="159" t="s">
        <v>200</v>
      </c>
      <c r="D8" s="159" t="s">
        <v>201</v>
      </c>
      <c r="E8" s="157"/>
      <c r="F8" s="160" t="s">
        <v>199</v>
      </c>
      <c r="G8" s="161" t="s">
        <v>53</v>
      </c>
      <c r="H8" s="162" t="s">
        <v>202</v>
      </c>
      <c r="I8" s="163" t="s">
        <v>203</v>
      </c>
    </row>
    <row r="9">
      <c r="A9" s="164" t="str">
        <f>if(Arden_Import!B5=true,"Yes!","No")</f>
        <v>Yes!</v>
      </c>
      <c r="B9" s="165" t="s">
        <v>204</v>
      </c>
      <c r="C9" s="166" t="s">
        <v>205</v>
      </c>
      <c r="D9" s="167" t="s">
        <v>206</v>
      </c>
      <c r="F9" s="168" t="str">
        <f>if(Arden_Import!B24=true,"Yes!","No")</f>
        <v>Yes!</v>
      </c>
      <c r="G9" s="169" t="s">
        <v>207</v>
      </c>
      <c r="H9" s="170" t="s">
        <v>208</v>
      </c>
      <c r="I9" s="171" t="s">
        <v>209</v>
      </c>
      <c r="J9" s="172">
        <f>COUNTif(F9,"Yes!")</f>
        <v>1</v>
      </c>
    </row>
    <row r="10">
      <c r="A10" s="173" t="str">
        <f>if(Arden_Import!B6=true,"Yes!","No")</f>
        <v>Yes!</v>
      </c>
      <c r="B10" s="174" t="s">
        <v>211</v>
      </c>
      <c r="C10" s="175" t="s">
        <v>212</v>
      </c>
      <c r="D10" s="176" t="s">
        <v>206</v>
      </c>
      <c r="F10" s="177" t="str">
        <f>if(Arden_Import!B25=true,"Yes!","No")</f>
        <v>Yes!</v>
      </c>
      <c r="G10" s="169" t="s">
        <v>213</v>
      </c>
      <c r="H10" s="178" t="s">
        <v>214</v>
      </c>
      <c r="I10" s="171" t="s">
        <v>215</v>
      </c>
      <c r="J10" s="172">
        <f>COUNTif(F10:F17,"Yes!")</f>
        <v>6</v>
      </c>
    </row>
    <row r="11">
      <c r="A11" s="173" t="str">
        <f>if(Arden_Import!B7=true,"Yes!","No")</f>
        <v>No</v>
      </c>
      <c r="B11" s="174" t="s">
        <v>216</v>
      </c>
      <c r="C11" s="175" t="s">
        <v>217</v>
      </c>
      <c r="D11" s="176" t="s">
        <v>206</v>
      </c>
      <c r="F11" s="179" t="str">
        <f>if(Arden_Import!B26=true,"Yes!","No")</f>
        <v>Yes!</v>
      </c>
      <c r="G11" s="180" t="s">
        <v>218</v>
      </c>
      <c r="H11" s="181" t="s">
        <v>219</v>
      </c>
      <c r="I11" s="182"/>
      <c r="J11" s="172"/>
    </row>
    <row r="12">
      <c r="A12" s="173" t="str">
        <f>if(Arden_Import!B8=true,"Yes!","No")</f>
        <v>Yes!</v>
      </c>
      <c r="B12" s="174" t="s">
        <v>220</v>
      </c>
      <c r="C12" s="175" t="s">
        <v>221</v>
      </c>
      <c r="D12" s="176" t="s">
        <v>222</v>
      </c>
      <c r="F12" s="183" t="str">
        <f>if(Arden_Import!B27=true,"Yes!","No")</f>
        <v>No</v>
      </c>
      <c r="G12" s="184" t="s">
        <v>223</v>
      </c>
      <c r="H12" s="185" t="s">
        <v>224</v>
      </c>
      <c r="I12" s="182"/>
      <c r="J12" s="172"/>
    </row>
    <row r="13">
      <c r="A13" s="173" t="str">
        <f>if(Arden_Import!B9=true,"Yes!","No")</f>
        <v>Yes!</v>
      </c>
      <c r="B13" s="174" t="s">
        <v>225</v>
      </c>
      <c r="C13" s="175" t="s">
        <v>226</v>
      </c>
      <c r="D13" s="176" t="s">
        <v>227</v>
      </c>
      <c r="F13" s="183" t="str">
        <f>if(Arden_Import!B28=true,"Yes!","No")</f>
        <v>No</v>
      </c>
      <c r="G13" s="184" t="s">
        <v>228</v>
      </c>
      <c r="H13" s="185" t="s">
        <v>229</v>
      </c>
      <c r="I13" s="182"/>
      <c r="J13" s="172"/>
    </row>
    <row r="14">
      <c r="A14" s="173" t="str">
        <f>if(Arden_Import!B10=true,"Yes!","No")</f>
        <v>Yes!</v>
      </c>
      <c r="B14" s="174" t="s">
        <v>230</v>
      </c>
      <c r="C14" s="175" t="s">
        <v>231</v>
      </c>
      <c r="D14" s="176" t="s">
        <v>232</v>
      </c>
      <c r="F14" s="179" t="str">
        <f>if(Arden_Import!B29=true,"Yes!","No")</f>
        <v>Yes!</v>
      </c>
      <c r="G14" s="180" t="s">
        <v>234</v>
      </c>
      <c r="H14" s="181" t="s">
        <v>235</v>
      </c>
      <c r="I14" s="182"/>
      <c r="J14" s="172"/>
    </row>
    <row r="15">
      <c r="A15" s="173" t="str">
        <f>if(Arden_Import!B11=true,"Yes!","No")</f>
        <v>Yes!</v>
      </c>
      <c r="B15" s="174" t="s">
        <v>236</v>
      </c>
      <c r="C15" s="175" t="s">
        <v>237</v>
      </c>
      <c r="D15" s="176" t="s">
        <v>238</v>
      </c>
      <c r="F15" s="179" t="str">
        <f>if(Arden_Import!B30=true,"Yes!","No")</f>
        <v>Yes!</v>
      </c>
      <c r="G15" s="180" t="s">
        <v>239</v>
      </c>
      <c r="H15" s="181" t="s">
        <v>240</v>
      </c>
      <c r="I15" s="182"/>
      <c r="J15" s="172"/>
    </row>
    <row r="16">
      <c r="A16" s="173" t="str">
        <f>if(Arden_Import!B12=true,"Yes!","No")</f>
        <v>Yes!</v>
      </c>
      <c r="B16" s="174" t="s">
        <v>241</v>
      </c>
      <c r="C16" s="175" t="s">
        <v>242</v>
      </c>
      <c r="D16" s="176" t="s">
        <v>243</v>
      </c>
      <c r="F16" s="179" t="str">
        <f>if(Arden_Import!B31=true,"Yes!","No")</f>
        <v>Yes!</v>
      </c>
      <c r="G16" s="180" t="s">
        <v>244</v>
      </c>
      <c r="H16" s="181" t="s">
        <v>245</v>
      </c>
      <c r="I16" s="182"/>
      <c r="J16" s="172"/>
    </row>
    <row r="17">
      <c r="A17" s="173" t="str">
        <f>if(Arden_Import!B13=true,"Yes!","No")</f>
        <v>Yes!</v>
      </c>
      <c r="B17" s="174" t="s">
        <v>246</v>
      </c>
      <c r="C17" s="175" t="s">
        <v>247</v>
      </c>
      <c r="D17" s="176" t="s">
        <v>248</v>
      </c>
      <c r="F17" s="186" t="str">
        <f>if(Arden_Import!B32=true,"Yes!","No")</f>
        <v>Yes!</v>
      </c>
      <c r="G17" s="187" t="s">
        <v>249</v>
      </c>
      <c r="H17" s="188" t="s">
        <v>250</v>
      </c>
      <c r="I17" s="189"/>
      <c r="J17" s="172"/>
    </row>
    <row r="18">
      <c r="A18" s="173" t="str">
        <f>if(Arden_Import!B14=true,"Yes!","No")</f>
        <v>Yes!</v>
      </c>
      <c r="B18" s="174" t="s">
        <v>251</v>
      </c>
      <c r="C18" s="175" t="s">
        <v>252</v>
      </c>
      <c r="D18" s="176" t="s">
        <v>253</v>
      </c>
      <c r="F18" s="190" t="str">
        <f>if(Arden_Import!B33=true,"Yes!","No")</f>
        <v>Yes!</v>
      </c>
      <c r="G18" s="191" t="s">
        <v>254</v>
      </c>
      <c r="H18" s="192" t="s">
        <v>255</v>
      </c>
      <c r="I18" s="193" t="s">
        <v>209</v>
      </c>
      <c r="J18" s="172">
        <f>COUNTif(F18,"Yes!")</f>
        <v>1</v>
      </c>
    </row>
    <row r="19">
      <c r="A19" s="173" t="str">
        <f>if(Arden_Import!B15=true,"Yes!","No")</f>
        <v>Yes!</v>
      </c>
      <c r="B19" s="174" t="s">
        <v>257</v>
      </c>
      <c r="C19" s="175" t="s">
        <v>258</v>
      </c>
      <c r="D19" s="176" t="s">
        <v>259</v>
      </c>
      <c r="F19" s="194" t="str">
        <f>if(Arden_Import!B34=true,"Yes!","No")</f>
        <v>No</v>
      </c>
      <c r="G19" s="195" t="s">
        <v>260</v>
      </c>
      <c r="H19" s="196" t="s">
        <v>261</v>
      </c>
      <c r="I19" s="197"/>
      <c r="J19" s="172"/>
    </row>
    <row r="20">
      <c r="A20" s="173" t="str">
        <f>if(Arden_Import!B16=true,"Yes!","No")</f>
        <v>Yes!</v>
      </c>
      <c r="B20" s="174" t="s">
        <v>262</v>
      </c>
      <c r="C20" s="175" t="s">
        <v>263</v>
      </c>
      <c r="D20" s="176" t="s">
        <v>264</v>
      </c>
      <c r="F20" s="177" t="str">
        <f>if(Arden_Import!B35=true,"Yes!","No")</f>
        <v>Yes!</v>
      </c>
      <c r="G20" s="169" t="s">
        <v>265</v>
      </c>
      <c r="H20" s="178" t="s">
        <v>266</v>
      </c>
      <c r="I20" s="171" t="s">
        <v>267</v>
      </c>
      <c r="J20" s="172">
        <f>COUNTif(F20:F22,"Yes!")</f>
        <v>2</v>
      </c>
    </row>
    <row r="21">
      <c r="A21" s="173" t="str">
        <f>if(Arden_Import!B17=true,"Yes!","No")</f>
        <v>Yes!</v>
      </c>
      <c r="B21" s="174" t="s">
        <v>268</v>
      </c>
      <c r="C21" s="175" t="s">
        <v>269</v>
      </c>
      <c r="D21" s="176" t="s">
        <v>270</v>
      </c>
      <c r="F21" s="183" t="str">
        <f>if(Arden_Import!B36=true,"Yes!","No")</f>
        <v>No</v>
      </c>
      <c r="G21" s="184" t="s">
        <v>271</v>
      </c>
      <c r="H21" s="185" t="s">
        <v>272</v>
      </c>
      <c r="I21" s="182"/>
      <c r="J21" s="172"/>
    </row>
    <row r="22">
      <c r="A22" s="173" t="str">
        <f>if(Arden_Import!B18=true,"Yes!","No")</f>
        <v>No</v>
      </c>
      <c r="B22" s="174" t="s">
        <v>230</v>
      </c>
      <c r="C22" s="175" t="s">
        <v>273</v>
      </c>
      <c r="D22" s="176" t="s">
        <v>274</v>
      </c>
      <c r="F22" s="179" t="str">
        <f>if(Arden_Import!B37=true,"Yes!","No")</f>
        <v>Yes!</v>
      </c>
      <c r="G22" s="180" t="s">
        <v>220</v>
      </c>
      <c r="H22" s="181" t="s">
        <v>275</v>
      </c>
      <c r="I22" s="182"/>
      <c r="J22" s="172"/>
    </row>
    <row r="23">
      <c r="A23" s="173" t="str">
        <f>if(Arden_Import!B19=true,"Yes!","No")</f>
        <v>No</v>
      </c>
      <c r="B23" s="174" t="s">
        <v>276</v>
      </c>
      <c r="C23" s="175" t="s">
        <v>277</v>
      </c>
      <c r="D23" s="176" t="s">
        <v>278</v>
      </c>
      <c r="F23" s="177" t="str">
        <f>if(Arden_Import!B38=true,"Yes!","No")</f>
        <v>Yes!</v>
      </c>
      <c r="G23" s="169" t="s">
        <v>279</v>
      </c>
      <c r="H23" s="178" t="s">
        <v>280</v>
      </c>
      <c r="I23" s="171" t="s">
        <v>281</v>
      </c>
      <c r="J23" s="172">
        <f>COUNTif(F23:F24,"Yes!")</f>
        <v>2</v>
      </c>
    </row>
    <row r="24">
      <c r="A24" s="198" t="str">
        <f>If(Dashboard!$M3=TRUE,"Yes!","No")</f>
        <v>Yes!</v>
      </c>
      <c r="B24" s="199" t="s">
        <v>282</v>
      </c>
      <c r="C24" s="200" t="s">
        <v>206</v>
      </c>
      <c r="D24" s="201" t="s">
        <v>206</v>
      </c>
      <c r="F24" s="186" t="str">
        <f>if(Arden_Import!B39=true,"Yes!","No")</f>
        <v>Yes!</v>
      </c>
      <c r="G24" s="187" t="s">
        <v>284</v>
      </c>
      <c r="H24" s="188" t="s">
        <v>280</v>
      </c>
      <c r="I24" s="189"/>
      <c r="J24" s="172"/>
    </row>
    <row r="25">
      <c r="F25" s="190" t="str">
        <f>if(Arden_Import!B40=true,"Yes!","No")</f>
        <v>Yes!</v>
      </c>
      <c r="G25" s="191" t="s">
        <v>285</v>
      </c>
      <c r="H25" s="192" t="s">
        <v>286</v>
      </c>
      <c r="I25" s="193" t="s">
        <v>209</v>
      </c>
      <c r="J25" s="172">
        <f>COUNTif(F25,"Yes!")</f>
        <v>1</v>
      </c>
    </row>
    <row r="26">
      <c r="A26" s="202" t="s">
        <v>287</v>
      </c>
      <c r="F26" s="177" t="str">
        <f>if(Arden_Import!B41=true,"Yes!","No")</f>
        <v>Yes!</v>
      </c>
      <c r="G26" s="169" t="s">
        <v>288</v>
      </c>
      <c r="H26" s="178" t="s">
        <v>289</v>
      </c>
      <c r="I26" s="171" t="s">
        <v>281</v>
      </c>
      <c r="J26" s="172">
        <f>COUNTif(F26:F27,"Yes!")</f>
        <v>1</v>
      </c>
    </row>
    <row r="27">
      <c r="A27" s="205" t="str">
        <f>IFERROR(__xludf.DUMMYFUNCTION("IFERROR(
  FILTER(
    FLATTEN({Arden_Import!C5:C20; Arden_Import!C24:C52; Arden_Import!A55:A79}),
    FLATTEN({Arden_Import!C5:C20; Arden_Import!C24:C52; Arden_Import!A55:A79}) &lt;&gt; """"
  ),
  """"
)"),"Spoke with Birdie, Starling, &amp; Willow- discussed Memory Lapse from last night, theater burning, and Golden Page/Nemaiah. Party was ""hesitant to trust others"" but they opened up after some conversation. Introduced to Ursula. DG")</f>
        <v>Spoke with Birdie, Starling, &amp; Willow- discussed Memory Lapse from last night, theater burning, and Golden Page/Nemaiah. Party was "hesitant to trust others" but they opened up after some conversation. Introduced to Ursula. DG</v>
      </c>
      <c r="B27" s="4"/>
      <c r="C27" s="4"/>
      <c r="D27" s="5"/>
      <c r="F27" s="207" t="str">
        <f>if(Arden_Import!B42=true,"Yes!","No")</f>
        <v>No</v>
      </c>
      <c r="G27" s="208" t="s">
        <v>290</v>
      </c>
      <c r="H27" s="210" t="s">
        <v>291</v>
      </c>
      <c r="I27" s="189"/>
      <c r="J27" s="172"/>
    </row>
    <row r="28">
      <c r="A28" s="211" t="str">
        <f>IFERROR(__xludf.DUMMYFUNCTION("""COMPUTED_VALUE"""),"Gave them the list Friday night (sorry, put in the wrong cell)")</f>
        <v>Gave them the list Friday night (sorry, put in the wrong cell)</v>
      </c>
      <c r="D28" s="182"/>
      <c r="F28" s="177" t="str">
        <f>if(Arden_Import!B43=true,"Yes!","No")</f>
        <v>Yes!</v>
      </c>
      <c r="G28" s="169" t="s">
        <v>292</v>
      </c>
      <c r="H28" s="178" t="s">
        <v>293</v>
      </c>
      <c r="I28" s="171"/>
      <c r="J28" s="172"/>
    </row>
    <row r="29">
      <c r="A29" s="211" t="str">
        <f>IFERROR(__xludf.DUMMYFUNCTION("""COMPUTED_VALUE"""),"Traveler had not shared the list with the group, got her to share lore, and some of the list, but fewer people heard that. 10:30.")</f>
        <v>Traveler had not shared the list with the group, got her to share lore, and some of the list, but fewer people heard that. 10:30.</v>
      </c>
      <c r="D29" s="182"/>
      <c r="F29" s="177" t="str">
        <f>if(Arden_Import!B44=true,"Yes!","No")</f>
        <v>Yes!</v>
      </c>
      <c r="G29" s="169" t="s">
        <v>294</v>
      </c>
      <c r="H29" s="178" t="s">
        <v>295</v>
      </c>
      <c r="I29" s="171" t="s">
        <v>281</v>
      </c>
      <c r="J29" s="172">
        <f>COUNTif(F29:F30,"Yes!")</f>
        <v>2</v>
      </c>
    </row>
    <row r="30">
      <c r="A30" s="211" t="str">
        <f>IFERROR(__xludf.DUMMYFUNCTION("""COMPUTED_VALUE"""),"Did challenge with them, will give on Sunday at the coordinator's leisure (AS)")</f>
        <v>Did challenge with them, will give on Sunday at the coordinator's leisure (AS)</v>
      </c>
      <c r="D30" s="182"/>
      <c r="F30" s="186" t="str">
        <f>if(Arden_Import!B45=true,"Yes!","No")</f>
        <v>Yes!</v>
      </c>
      <c r="G30" s="187" t="s">
        <v>297</v>
      </c>
      <c r="H30" s="188" t="s">
        <v>295</v>
      </c>
      <c r="I30" s="189"/>
      <c r="J30" s="172"/>
    </row>
    <row r="31">
      <c r="A31" s="211" t="str">
        <f>IFERROR(__xludf.DUMMYFUNCTION("""COMPUTED_VALUE"""),"Finished the jingle challenge with them at 4pm on Saturday.  I'm sure nothing horrible happened right as I walked away.  -DaveKamin")</f>
        <v>Finished the jingle challenge with them at 4pm on Saturday.  I'm sure nothing horrible happened right as I walked away.  -DaveKamin</v>
      </c>
      <c r="D31" s="182"/>
      <c r="F31" s="190" t="str">
        <f>if(Arden_Import!B46=true,"Yes!","No")</f>
        <v>Yes!</v>
      </c>
      <c r="G31" s="191" t="s">
        <v>298</v>
      </c>
      <c r="H31" s="192" t="s">
        <v>299</v>
      </c>
      <c r="I31" s="193" t="s">
        <v>209</v>
      </c>
      <c r="J31" s="172">
        <f t="shared" ref="J31:J37" si="1">COUNTif(F31,"Yes!")</f>
        <v>1</v>
      </c>
    </row>
    <row r="32">
      <c r="A32" s="211" t="str">
        <f>IFERROR(__xludf.DUMMYFUNCTION("""COMPUTED_VALUE"""),"Switched to pitch pipe challenge and did it in front of tavern after their ghost theater in Charlie's absence.  -JF")</f>
        <v>Switched to pitch pipe challenge and did it in front of tavern after their ghost theater in Charlie's absence.  -JF</v>
      </c>
      <c r="D32" s="182"/>
      <c r="F32" s="190" t="str">
        <f>if(Arden_Import!B47=true,"Yes!","No")</f>
        <v>Yes!</v>
      </c>
      <c r="G32" s="191" t="s">
        <v>300</v>
      </c>
      <c r="H32" s="192" t="s">
        <v>301</v>
      </c>
      <c r="I32" s="193" t="s">
        <v>209</v>
      </c>
      <c r="J32" s="172">
        <f t="shared" si="1"/>
        <v>1</v>
      </c>
    </row>
    <row r="33">
      <c r="A33" s="211" t="str">
        <f>IFERROR(__xludf.DUMMYFUNCTION("""COMPUTED_VALUE"""),"Found them at 6pm. Petulantly threw the stupid riddle at them. -LN")</f>
        <v>Found them at 6pm. Petulantly threw the stupid riddle at them. -LN</v>
      </c>
      <c r="D33" s="182"/>
      <c r="F33" s="190" t="str">
        <f>if(Dashboard!G3=true,"Yes!","No")</f>
        <v>Yes!</v>
      </c>
      <c r="G33" s="191" t="s">
        <v>302</v>
      </c>
      <c r="H33" s="192" t="s">
        <v>303</v>
      </c>
      <c r="I33" s="193" t="s">
        <v>209</v>
      </c>
      <c r="J33" s="172">
        <f t="shared" si="1"/>
        <v>1</v>
      </c>
    </row>
    <row r="34">
      <c r="A34" s="211" t="str">
        <f>IFERROR(__xludf.DUMMYFUNCTION("""COMPUTED_VALUE"""),"Did a bit of a ""who cares speedrun"" but had a good experience.  -Dave Nadig")</f>
        <v>Did a bit of a "who cares speedrun" but had a good experience.  -Dave Nadig</v>
      </c>
      <c r="D34" s="182"/>
      <c r="F34" s="218" t="str">
        <f>if(Arden_Import!B49=true,"Yes!","No")</f>
        <v>No</v>
      </c>
      <c r="G34" s="219" t="s">
        <v>207</v>
      </c>
      <c r="H34" s="220" t="s">
        <v>304</v>
      </c>
      <c r="I34" s="221" t="s">
        <v>209</v>
      </c>
      <c r="J34" s="172">
        <f t="shared" si="1"/>
        <v>0</v>
      </c>
    </row>
    <row r="35">
      <c r="A35" s="211" t="str">
        <f>IFERROR(__xludf.DUMMYFUNCTION("""COMPUTED_VALUE"""),"Met them in preperation to assign charge LD, assigned charge with a side of tears and teenage angst.")</f>
        <v>Met them in preperation to assign charge LD, assigned charge with a side of tears and teenage angst.</v>
      </c>
      <c r="D35" s="182"/>
      <c r="F35" s="218" t="str">
        <f>if(Arden_Import!B50=true,"Yes!","No")</f>
        <v>No</v>
      </c>
      <c r="G35" s="219" t="s">
        <v>292</v>
      </c>
      <c r="H35" s="220" t="s">
        <v>306</v>
      </c>
      <c r="I35" s="221" t="s">
        <v>209</v>
      </c>
      <c r="J35" s="172">
        <f t="shared" si="1"/>
        <v>0</v>
      </c>
    </row>
    <row r="36">
      <c r="A36" s="211" t="str">
        <f>IFERROR(__xludf.DUMMYFUNCTION("""COMPUTED_VALUE"""),"Did not directly approach but sat next to them at lunch and was told they already fully understood charge from overhearing Angelica and Geneva fight and not to clue hammer any more ")</f>
        <v>Did not directly approach but sat next to them at lunch and was told they already fully understood charge from overhearing Angelica and Geneva fight and not to clue hammer any more </v>
      </c>
      <c r="D36" s="182"/>
      <c r="F36" s="218" t="str">
        <f>if(Arden_Import!B51=true,"Yes!","No")</f>
        <v>No</v>
      </c>
      <c r="G36" s="219" t="s">
        <v>241</v>
      </c>
      <c r="H36" s="220" t="s">
        <v>307</v>
      </c>
      <c r="I36" s="221" t="s">
        <v>209</v>
      </c>
      <c r="J36" s="172">
        <f t="shared" si="1"/>
        <v>0</v>
      </c>
    </row>
    <row r="37">
      <c r="A37" s="211" t="str">
        <f>IFERROR(__xludf.DUMMYFUNCTION("""COMPUTED_VALUE"""),"Was told they already had info they needed, not to clue hammer them")</f>
        <v>Was told they already had info they needed, not to clue hammer them</v>
      </c>
      <c r="D37" s="182"/>
      <c r="F37" s="218" t="str">
        <f>if(Arden_Import!B52=true,"Yes!","No")</f>
        <v>No</v>
      </c>
      <c r="G37" s="219" t="s">
        <v>308</v>
      </c>
      <c r="H37" s="220" t="s">
        <v>309</v>
      </c>
      <c r="I37" s="221" t="s">
        <v>209</v>
      </c>
      <c r="J37" s="172">
        <f t="shared" si="1"/>
        <v>0</v>
      </c>
    </row>
    <row r="38">
      <c r="A38" s="211" t="str">
        <f>IFERROR(__xludf.DUMMYFUNCTION("""COMPUTED_VALUE"""),"Talked to woman in light green shirt. Two others listened.")</f>
        <v>Talked to woman in light green shirt. Two others listened.</v>
      </c>
      <c r="D38" s="182"/>
      <c r="F38" s="223"/>
      <c r="G38" s="32"/>
      <c r="H38" s="32"/>
      <c r="I38" s="156"/>
      <c r="J38" s="172"/>
    </row>
    <row r="39">
      <c r="A39" s="211" t="str">
        <f>IFERROR(__xludf.DUMMYFUNCTION("""COMPUTED_VALUE"""),"Sat night during apple crisp. They asked about a Black Lamp secret society, I said I didn't know anything about that.")</f>
        <v>Sat night during apple crisp. They asked about a Black Lamp secret society, I said I didn't know anything about that.</v>
      </c>
      <c r="D39" s="182"/>
      <c r="F39" s="153"/>
      <c r="G39" s="224"/>
      <c r="H39" s="175"/>
      <c r="I39" s="156"/>
      <c r="J39" s="172"/>
    </row>
    <row r="40">
      <c r="A40" s="211" t="str">
        <f>IFERROR(__xludf.DUMMYFUNCTION("""COMPUTED_VALUE"""),"Slipped the info in as a natural aside at breakfast to two participants on the periphery just after they spoke with Samuelson about Angelica, and before Bartleby came over to them. Very interested. ")</f>
        <v>Slipped the info in as a natural aside at breakfast to two participants on the periphery just after they spoke with Samuelson about Angelica, and before Bartleby came over to them. Very interested. </v>
      </c>
      <c r="D40" s="182"/>
      <c r="F40" s="153"/>
      <c r="G40" s="224"/>
      <c r="H40" s="175"/>
      <c r="I40" s="156"/>
      <c r="J40" s="172"/>
    </row>
    <row r="41">
      <c r="A41" s="211" t="str">
        <f>IFERROR(__xludf.DUMMYFUNCTION("""COMPUTED_VALUE"""),"3 of the party members were very focused on the info and then tried to teach Karla the magic of giving to help her better understand Bracken")</f>
        <v>3 of the party members were very focused on the info and then tried to teach Karla the magic of giving to help her better understand Bracken</v>
      </c>
      <c r="D41" s="182"/>
      <c r="F41" s="225"/>
      <c r="G41" s="224"/>
      <c r="H41" s="175"/>
      <c r="I41" s="156"/>
      <c r="J41" s="172"/>
    </row>
    <row r="42">
      <c r="A42" s="211" t="str">
        <f>IFERROR(__xludf.DUMMYFUNCTION("""COMPUTED_VALUE"""),"Got asked about Bracken after ritual")</f>
        <v>Got asked about Bracken after ritual</v>
      </c>
      <c r="D42" s="182"/>
      <c r="F42" s="225"/>
      <c r="G42" s="224"/>
      <c r="H42" s="175"/>
      <c r="I42" s="156"/>
      <c r="J42" s="172"/>
    </row>
    <row r="43">
      <c r="A43" s="226" t="str">
        <f>IFERROR(__xludf.DUMMYFUNCTION("""COMPUTED_VALUE"""),"Gave them the location spell listing and they wrote all the ppl on it.   They crushed the illiterate challenge.   Invested in all parts of Otherworld already.   Seemed like a great crew. Update, gave them charge info at 12:15")</f>
        <v>Gave them the location spell listing and they wrote all the ppl on it.   They crushed the illiterate challenge.   Invested in all parts of Otherworld already.   Seemed like a great crew. Update, gave them charge info at 12:15</v>
      </c>
      <c r="D43" s="182"/>
      <c r="E43" s="157"/>
    </row>
    <row r="44">
      <c r="A44" s="226" t="str">
        <f>IFERROR(__xludf.DUMMYFUNCTION("""COMPUTED_VALUE"""),"Gave clue info re: St Mora crown &amp; SWV's return to Mistal; they were interested &amp; wrote a few things down; Saturday late morning - MO")</f>
        <v>Gave clue info re: St Mora crown &amp; SWV's return to Mistal; they were interested &amp; wrote a few things down; Saturday late morning - MO</v>
      </c>
      <c r="D44" s="182"/>
      <c r="E44" s="157"/>
      <c r="F44" s="12"/>
      <c r="G44" s="158"/>
    </row>
    <row r="45">
      <c r="A45" s="226" t="str">
        <f>IFERROR(__xludf.DUMMYFUNCTION("""COMPUTED_VALUE"""),"I told one woman who seemed to be listening intently.  (before lunch)  -TO'")</f>
        <v>I told one woman who seemed to be listening intently.  (before lunch)  -TO'</v>
      </c>
      <c r="D45" s="182"/>
      <c r="E45" s="157"/>
      <c r="F45" s="12"/>
      <c r="G45" s="158"/>
    </row>
    <row r="46">
      <c r="A46" s="226" t="str">
        <f>IFERROR(__xludf.DUMMYFUNCTION("""COMPUTED_VALUE"""),"Gave the charge information to the Traveler.  She asked proactively after the Crown and has been tracking Bracken and Angelica")</f>
        <v>Gave the charge information to the Traveler.  She asked proactively after the Crown and has been tracking Bracken and Angelica</v>
      </c>
      <c r="D46" s="182"/>
      <c r="E46" s="157"/>
      <c r="F46" s="12"/>
      <c r="G46" s="158"/>
    </row>
    <row r="47">
      <c r="A47" s="226" t="str">
        <f>IFERROR(__xludf.DUMMYFUNCTION("""COMPUTED_VALUE"""),"Seemed to know about St. Mora and be putting together with other clues. RCY. ")</f>
        <v>Seemed to know about St. Mora and be putting together with other clues. RCY. </v>
      </c>
      <c r="D47" s="182"/>
      <c r="E47" s="157"/>
      <c r="F47" s="12"/>
      <c r="G47" s="158"/>
    </row>
    <row r="48">
      <c r="A48" s="226" t="str">
        <f>IFERROR(__xludf.DUMMYFUNCTION("""COMPUTED_VALUE"""),"At least a few seem to be hard committed to helping Angelica and involved, but as far as I can tell no real knowledge of the charge or what it might mean --RS")</f>
        <v>At least a few seem to be hard committed to helping Angelica and involved, but as far as I can tell no real knowledge of the charge or what it might mean --RS</v>
      </c>
      <c r="D48" s="182"/>
      <c r="E48" s="157"/>
      <c r="F48" s="12"/>
      <c r="G48" s="158"/>
    </row>
    <row r="49">
      <c r="A49" s="226" t="str">
        <f>IFERROR(__xludf.DUMMYFUNCTION("""COMPUTED_VALUE"""),"Told 2 memebers about the dragon seemed interested right after lunch -TB")</f>
        <v>Told 2 memebers about the dragon seemed interested right after lunch -TB</v>
      </c>
      <c r="D49" s="182"/>
      <c r="E49" s="157"/>
      <c r="F49" s="12"/>
      <c r="G49" s="158"/>
    </row>
    <row r="50">
      <c r="A50" s="226" t="str">
        <f>IFERROR(__xludf.DUMMYFUNCTION("""COMPUTED_VALUE"""),"Two paying attention, no initial recognition of Brackens name, seemed to know at the end of the interaction. CL 10:30am")</f>
        <v>Two paying attention, no initial recognition of Brackens name, seemed to know at the end of the interaction. CL 10:30am</v>
      </c>
      <c r="D50" s="182"/>
      <c r="E50" s="157"/>
      <c r="F50" s="12"/>
      <c r="G50" s="158"/>
    </row>
    <row r="51">
      <c r="A51" s="226" t="str">
        <f>IFERROR(__xludf.DUMMYFUNCTION("""COMPUTED_VALUE"""),"Coasters delivered.  Made sure seveal heard my little speech.  They did look to try and see the printing..")</f>
        <v>Coasters delivered.  Made sure seveal heard my little speech.  They did look to try and see the printing..</v>
      </c>
      <c r="D51" s="182"/>
      <c r="E51" s="157"/>
      <c r="F51" s="12"/>
      <c r="G51" s="158"/>
    </row>
    <row r="52">
      <c r="A52" s="226" t="str">
        <f>IFERROR(__xludf.DUMMYFUNCTION("""COMPUTED_VALUE"""),"Gave paper in Tavern before they went to Soul Speaking. Party is very interested in helping Bracken and started trying to read the black paper under a flashlight almost right away. MG")</f>
        <v>Gave paper in Tavern before they went to Soul Speaking. Party is very interested in helping Bracken and started trying to read the black paper under a flashlight almost right away. MG</v>
      </c>
      <c r="D52" s="182"/>
      <c r="E52" s="157"/>
      <c r="F52" s="12"/>
      <c r="G52" s="158"/>
    </row>
    <row r="53">
      <c r="A53" s="226" t="str">
        <f>IFERROR(__xludf.DUMMYFUNCTION("""COMPUTED_VALUE"""),"party photo taken -Mirin")</f>
        <v>party photo taken -Mirin</v>
      </c>
      <c r="D53" s="182"/>
      <c r="E53" s="157"/>
      <c r="F53" s="12"/>
      <c r="G53" s="158"/>
    </row>
    <row r="54">
      <c r="A54" s="226" t="str">
        <f>IFERROR(__xludf.DUMMYFUNCTION("""COMPUTED_VALUE"""),"1 almost died battling skeevers, keeper used heal all hits pray")</f>
        <v>1 almost died battling skeevers, keeper used heal all hits pray</v>
      </c>
      <c r="D54" s="182"/>
      <c r="E54" s="157"/>
      <c r="F54" s="12"/>
      <c r="G54" s="158"/>
    </row>
    <row r="55">
      <c r="A55" s="226" t="str">
        <f>IFERROR(__xludf.DUMMYFUNCTION("""COMPUTED_VALUE"""),"Told Arden about Golden Letter for Samuelson. -Mike S.")</f>
        <v>Told Arden about Golden Letter for Samuelson. -Mike S.</v>
      </c>
      <c r="D55" s="182"/>
      <c r="E55" s="157"/>
      <c r="F55" s="12"/>
      <c r="G55" s="158"/>
    </row>
    <row r="56">
      <c r="A56" s="226" t="str">
        <f>IFERROR(__xludf.DUMMYFUNCTION("""COMPUTED_VALUE"""),"They mentioned they hadn't found a chest yet and wanted to, I gave them some advice on where to find them. - ZT")</f>
        <v>They mentioned they hadn't found a chest yet and wanted to, I gave them some advice on where to find them. - ZT</v>
      </c>
      <c r="D56" s="182"/>
      <c r="E56" s="157"/>
      <c r="F56" s="12"/>
      <c r="G56" s="158"/>
    </row>
    <row r="57">
      <c r="A57" s="226" t="str">
        <f>IFERROR(__xludf.DUMMYFUNCTION("""COMPUTED_VALUE"""),"Kim told me (Ariel) that Arden found the basket of Wolven slaying (but Lance says it wont be a problem)")</f>
        <v>Kim told me (Ariel) that Arden found the basket of Wolven slaying (but Lance says it wont be a problem)</v>
      </c>
      <c r="D57" s="182"/>
      <c r="E57" s="157"/>
      <c r="F57" s="12"/>
      <c r="G57" s="158"/>
    </row>
    <row r="58">
      <c r="A58" s="226" t="str">
        <f>IFERROR(__xludf.DUMMYFUNCTION("""COMPUTED_VALUE"""),"The woman with the short blond hair is collecting leaves and other examples of the local fauna to bring back to Arden for study. She gave me (Baroness Adina) a leaf from Arden to remind me of my home. She is awesome!")</f>
        <v>The woman with the short blond hair is collecting leaves and other examples of the local fauna to bring back to Arden for study. She gave me (Baroness Adina) a leaf from Arden to remind me of my home. She is awesome!</v>
      </c>
      <c r="D58" s="182"/>
      <c r="E58" s="157"/>
      <c r="F58" s="12"/>
      <c r="G58" s="158"/>
    </row>
    <row r="59">
      <c r="A59" s="226" t="str">
        <f>IFERROR(__xludf.DUMMYFUNCTION("""COMPUTED_VALUE"""),"very good fighters, good coordination ")</f>
        <v>very good fighters, good coordination </v>
      </c>
      <c r="D59" s="182"/>
      <c r="E59" s="157"/>
      <c r="F59" s="12"/>
      <c r="G59" s="158"/>
    </row>
    <row r="60">
      <c r="A60" s="226" t="str">
        <f>IFERROR(__xludf.DUMMYFUNCTION("""COMPUTED_VALUE"""),"Maker is a really strong individual fighter; overall group combat is strong - Neal D.  1pm Sat")</f>
        <v>Maker is a really strong individual fighter; overall group combat is strong - Neal D.  1pm Sat</v>
      </c>
      <c r="D60" s="182"/>
      <c r="E60" s="157"/>
      <c r="F60" s="12"/>
      <c r="G60" s="158"/>
    </row>
    <row r="61">
      <c r="A61" s="227" t="str">
        <f>IFERROR(__xludf.DUMMYFUNCTION("""COMPUTED_VALUE"""),"Backing off trial drama, companion told Rowan who told me (Lane) that they are completly trial locked in and not to item focused.  1:44 pm")</f>
        <v>Backing off trial drama, companion told Rowan who told me (Lane) that they are completly trial locked in and not to item focused.  1:44 pm</v>
      </c>
      <c r="B61" s="228"/>
      <c r="C61" s="228"/>
      <c r="D61" s="189"/>
      <c r="E61" s="157"/>
      <c r="F61" s="12"/>
      <c r="G61" s="158"/>
    </row>
    <row r="62">
      <c r="A62" s="138" t="str">
        <f>IFERROR(__xludf.DUMMYFUNCTION("""COMPUTED_VALUE"""),"Have golden page info re: Obsidian-Abigail")</f>
        <v>Have golden page info re: Obsidian-Abigail</v>
      </c>
      <c r="B62" s="138"/>
      <c r="C62" s="138"/>
      <c r="D62" s="138"/>
      <c r="E62" s="157"/>
      <c r="F62" s="12"/>
      <c r="G62" s="158"/>
    </row>
    <row r="63">
      <c r="A63" s="138"/>
      <c r="B63" s="138"/>
      <c r="C63" s="138"/>
      <c r="D63" s="138"/>
      <c r="E63" s="157"/>
      <c r="F63" s="12"/>
      <c r="G63" s="158"/>
    </row>
    <row r="64">
      <c r="A64" s="153"/>
      <c r="B64" s="229"/>
      <c r="C64" s="230"/>
      <c r="D64" s="231"/>
      <c r="E64" s="157"/>
      <c r="F64" s="12"/>
      <c r="G64" s="158"/>
    </row>
    <row r="65">
      <c r="A65" s="153"/>
      <c r="B65" s="229"/>
      <c r="C65" s="230"/>
      <c r="D65" s="231"/>
      <c r="E65" s="157"/>
      <c r="F65" s="12"/>
      <c r="G65" s="158"/>
    </row>
    <row r="66">
      <c r="A66" s="153"/>
      <c r="B66" s="229"/>
      <c r="C66" s="230"/>
      <c r="D66" s="231"/>
      <c r="E66" s="157"/>
      <c r="F66" s="12"/>
      <c r="G66" s="158"/>
    </row>
    <row r="67">
      <c r="A67" s="153"/>
      <c r="B67" s="229"/>
      <c r="C67" s="230"/>
      <c r="D67" s="231"/>
      <c r="E67" s="157"/>
      <c r="F67" s="12"/>
      <c r="G67" s="158"/>
    </row>
    <row r="68">
      <c r="A68" s="153"/>
      <c r="B68" s="229"/>
      <c r="C68" s="230"/>
      <c r="D68" s="231"/>
      <c r="E68" s="157"/>
      <c r="F68" s="12"/>
      <c r="G68" s="158"/>
    </row>
    <row r="69">
      <c r="A69" s="153"/>
      <c r="B69" s="229"/>
      <c r="C69" s="230"/>
      <c r="D69" s="231"/>
      <c r="E69" s="157"/>
      <c r="F69" s="12"/>
      <c r="G69" s="158"/>
    </row>
    <row r="70">
      <c r="A70" s="153"/>
      <c r="B70" s="229"/>
      <c r="C70" s="230"/>
      <c r="D70" s="231"/>
      <c r="E70" s="157"/>
      <c r="F70" s="12"/>
      <c r="G70" s="158"/>
    </row>
    <row r="71">
      <c r="A71" s="153"/>
      <c r="B71" s="229"/>
      <c r="C71" s="230"/>
      <c r="D71" s="231"/>
      <c r="E71" s="157"/>
      <c r="F71" s="12"/>
      <c r="G71" s="158"/>
    </row>
    <row r="72">
      <c r="A72" s="153"/>
      <c r="B72" s="229"/>
      <c r="C72" s="230"/>
      <c r="D72" s="231"/>
      <c r="E72" s="157"/>
      <c r="F72" s="12"/>
      <c r="G72" s="158"/>
    </row>
    <row r="73">
      <c r="A73" s="153"/>
      <c r="B73" s="229"/>
      <c r="C73" s="230"/>
      <c r="D73" s="231"/>
      <c r="E73" s="157"/>
      <c r="F73" s="12"/>
      <c r="G73" s="158"/>
    </row>
    <row r="74">
      <c r="A74" s="153"/>
      <c r="B74" s="229"/>
      <c r="C74" s="230"/>
      <c r="D74" s="231"/>
      <c r="E74" s="157"/>
      <c r="F74" s="12"/>
      <c r="G74" s="158"/>
    </row>
    <row r="75">
      <c r="A75" s="153"/>
      <c r="B75" s="229"/>
      <c r="C75" s="230"/>
      <c r="D75" s="231"/>
      <c r="E75" s="157"/>
      <c r="F75" s="12"/>
      <c r="G75" s="158"/>
    </row>
    <row r="76">
      <c r="A76" s="153"/>
      <c r="B76" s="229"/>
      <c r="C76" s="230"/>
      <c r="D76" s="231"/>
      <c r="E76" s="157"/>
      <c r="F76" s="12"/>
      <c r="G76" s="158"/>
    </row>
    <row r="77">
      <c r="A77" s="153"/>
      <c r="B77" s="229"/>
      <c r="C77" s="230"/>
      <c r="D77" s="231"/>
      <c r="E77" s="157"/>
      <c r="F77" s="12"/>
      <c r="G77" s="158"/>
    </row>
    <row r="78">
      <c r="A78" s="153"/>
      <c r="B78" s="229"/>
      <c r="C78" s="230"/>
      <c r="D78" s="231"/>
      <c r="E78" s="157"/>
      <c r="F78" s="12"/>
      <c r="G78" s="158"/>
    </row>
    <row r="79">
      <c r="A79" s="153"/>
      <c r="B79" s="229"/>
      <c r="C79" s="230"/>
      <c r="D79" s="231"/>
      <c r="E79" s="157"/>
      <c r="F79" s="12"/>
      <c r="G79" s="158"/>
    </row>
    <row r="80">
      <c r="A80" s="153"/>
      <c r="B80" s="229"/>
      <c r="C80" s="230"/>
      <c r="D80" s="231"/>
      <c r="E80" s="157"/>
      <c r="F80" s="12"/>
      <c r="G80" s="158"/>
    </row>
    <row r="81">
      <c r="A81" s="153"/>
      <c r="B81" s="229"/>
      <c r="C81" s="230"/>
      <c r="D81" s="231"/>
      <c r="E81" s="157"/>
      <c r="F81" s="12"/>
      <c r="G81" s="158"/>
    </row>
    <row r="82">
      <c r="A82" s="153"/>
      <c r="B82" s="229"/>
      <c r="C82" s="230"/>
      <c r="D82" s="231"/>
      <c r="E82" s="157"/>
      <c r="F82" s="12"/>
      <c r="G82" s="158"/>
    </row>
    <row r="83">
      <c r="A83" s="153"/>
      <c r="B83" s="229"/>
      <c r="C83" s="230"/>
      <c r="D83" s="231"/>
      <c r="E83" s="157"/>
      <c r="F83" s="12"/>
      <c r="G83" s="158"/>
    </row>
    <row r="84">
      <c r="A84" s="153"/>
      <c r="B84" s="229"/>
      <c r="C84" s="230"/>
      <c r="D84" s="231"/>
      <c r="E84" s="157"/>
      <c r="F84" s="12"/>
      <c r="G84" s="158"/>
    </row>
    <row r="85">
      <c r="A85" s="153"/>
      <c r="B85" s="229"/>
      <c r="C85" s="230"/>
      <c r="D85" s="231"/>
      <c r="E85" s="157"/>
      <c r="F85" s="12"/>
      <c r="G85" s="158"/>
    </row>
    <row r="86">
      <c r="A86" s="153"/>
      <c r="B86" s="229"/>
      <c r="C86" s="230"/>
      <c r="D86" s="231"/>
      <c r="E86" s="157"/>
      <c r="F86" s="12"/>
      <c r="G86" s="158"/>
    </row>
    <row r="87">
      <c r="A87" s="153"/>
      <c r="B87" s="229"/>
      <c r="C87" s="230"/>
      <c r="D87" s="231"/>
      <c r="E87" s="157"/>
      <c r="F87" s="12"/>
      <c r="G87" s="158"/>
    </row>
    <row r="88">
      <c r="A88" s="153"/>
      <c r="B88" s="229"/>
      <c r="C88" s="230"/>
      <c r="D88" s="231"/>
      <c r="E88" s="157"/>
      <c r="F88" s="12"/>
      <c r="G88" s="158"/>
    </row>
    <row r="89">
      <c r="A89" s="153"/>
      <c r="B89" s="229"/>
      <c r="C89" s="230"/>
      <c r="D89" s="231"/>
      <c r="E89" s="157"/>
      <c r="F89" s="12"/>
      <c r="G89" s="158"/>
    </row>
    <row r="90">
      <c r="A90" s="153"/>
      <c r="B90" s="229"/>
      <c r="C90" s="230"/>
      <c r="D90" s="231"/>
      <c r="E90" s="157"/>
      <c r="F90" s="12"/>
      <c r="G90" s="158"/>
    </row>
    <row r="91">
      <c r="A91" s="153"/>
      <c r="B91" s="229"/>
      <c r="C91" s="230"/>
      <c r="D91" s="231"/>
      <c r="E91" s="157"/>
      <c r="F91" s="12"/>
      <c r="G91" s="158"/>
    </row>
    <row r="92">
      <c r="A92" s="153"/>
      <c r="B92" s="229"/>
      <c r="C92" s="230"/>
      <c r="D92" s="231"/>
      <c r="E92" s="157"/>
      <c r="F92" s="12"/>
      <c r="G92" s="158"/>
    </row>
    <row r="93">
      <c r="A93" s="153"/>
      <c r="B93" s="229"/>
      <c r="C93" s="230"/>
      <c r="D93" s="231"/>
      <c r="E93" s="157"/>
      <c r="F93" s="12"/>
      <c r="G93" s="158"/>
    </row>
    <row r="94">
      <c r="A94" s="153"/>
      <c r="B94" s="229"/>
      <c r="C94" s="230"/>
      <c r="D94" s="231"/>
      <c r="E94" s="157"/>
      <c r="F94" s="12"/>
      <c r="G94" s="158"/>
    </row>
    <row r="95">
      <c r="A95" s="153"/>
      <c r="B95" s="229"/>
      <c r="C95" s="230"/>
      <c r="D95" s="231"/>
      <c r="E95" s="157"/>
      <c r="F95" s="12"/>
      <c r="G95" s="158"/>
    </row>
    <row r="96">
      <c r="A96" s="153"/>
      <c r="B96" s="229"/>
      <c r="C96" s="230"/>
      <c r="D96" s="231"/>
      <c r="E96" s="157"/>
      <c r="F96" s="12"/>
      <c r="G96" s="158"/>
    </row>
    <row r="97">
      <c r="A97" s="153"/>
      <c r="B97" s="229"/>
      <c r="C97" s="230"/>
      <c r="D97" s="231"/>
      <c r="E97" s="157"/>
      <c r="F97" s="12"/>
      <c r="G97" s="158"/>
    </row>
    <row r="98">
      <c r="A98" s="153"/>
      <c r="B98" s="229"/>
      <c r="C98" s="230"/>
      <c r="D98" s="231"/>
      <c r="E98" s="157"/>
      <c r="F98" s="12"/>
      <c r="G98" s="158"/>
    </row>
    <row r="99">
      <c r="A99" s="153"/>
      <c r="B99" s="229"/>
      <c r="C99" s="230"/>
      <c r="D99" s="231"/>
      <c r="E99" s="157"/>
      <c r="F99" s="12"/>
      <c r="G99" s="158"/>
    </row>
    <row r="100">
      <c r="A100" s="153"/>
      <c r="B100" s="229"/>
      <c r="C100" s="230"/>
      <c r="D100" s="231"/>
      <c r="E100" s="157"/>
      <c r="F100" s="12"/>
      <c r="G100" s="158"/>
    </row>
    <row r="101">
      <c r="A101" s="153"/>
      <c r="B101" s="229"/>
      <c r="C101" s="230"/>
      <c r="D101" s="231"/>
      <c r="E101" s="157"/>
      <c r="F101" s="12"/>
      <c r="G101" s="158"/>
    </row>
    <row r="102">
      <c r="A102" s="153"/>
      <c r="B102" s="229"/>
      <c r="C102" s="230"/>
      <c r="D102" s="231"/>
      <c r="E102" s="157"/>
      <c r="F102" s="12"/>
      <c r="G102" s="158"/>
    </row>
    <row r="103">
      <c r="A103" s="153"/>
      <c r="B103" s="229"/>
      <c r="C103" s="230"/>
      <c r="D103" s="231"/>
      <c r="E103" s="157"/>
      <c r="F103" s="12"/>
      <c r="G103" s="158"/>
    </row>
    <row r="104">
      <c r="A104" s="153"/>
      <c r="B104" s="229"/>
      <c r="C104" s="230"/>
      <c r="D104" s="231"/>
      <c r="E104" s="157"/>
      <c r="F104" s="12"/>
      <c r="G104" s="158"/>
    </row>
    <row r="105">
      <c r="A105" s="153"/>
      <c r="B105" s="229"/>
      <c r="C105" s="230"/>
      <c r="D105" s="231"/>
      <c r="E105" s="157"/>
      <c r="F105" s="12"/>
      <c r="G105" s="158"/>
    </row>
    <row r="106">
      <c r="A106" s="153"/>
      <c r="B106" s="229"/>
      <c r="C106" s="230"/>
      <c r="D106" s="231"/>
      <c r="E106" s="157"/>
      <c r="F106" s="12"/>
      <c r="G106" s="158"/>
    </row>
    <row r="107">
      <c r="A107" s="153"/>
      <c r="B107" s="229"/>
      <c r="C107" s="230"/>
      <c r="D107" s="231"/>
      <c r="E107" s="157"/>
      <c r="F107" s="12"/>
      <c r="G107" s="158"/>
    </row>
    <row r="108">
      <c r="A108" s="153"/>
      <c r="B108" s="229"/>
      <c r="C108" s="230"/>
      <c r="D108" s="231"/>
      <c r="E108" s="157"/>
      <c r="F108" s="12"/>
      <c r="G108" s="158"/>
    </row>
    <row r="109">
      <c r="A109" s="153"/>
      <c r="B109" s="229"/>
      <c r="C109" s="230"/>
      <c r="D109" s="231"/>
      <c r="E109" s="157"/>
      <c r="F109" s="12"/>
      <c r="G109" s="158"/>
    </row>
    <row r="110">
      <c r="A110" s="153"/>
      <c r="B110" s="229"/>
      <c r="C110" s="230"/>
      <c r="D110" s="231"/>
      <c r="E110" s="157"/>
      <c r="F110" s="12"/>
      <c r="G110" s="158"/>
    </row>
    <row r="111">
      <c r="A111" s="153"/>
      <c r="B111" s="229"/>
      <c r="C111" s="230"/>
      <c r="D111" s="231"/>
      <c r="E111" s="157"/>
      <c r="F111" s="12"/>
      <c r="G111" s="158"/>
    </row>
    <row r="112">
      <c r="A112" s="153"/>
      <c r="B112" s="229"/>
      <c r="C112" s="230"/>
      <c r="D112" s="231"/>
      <c r="E112" s="157"/>
      <c r="F112" s="12"/>
      <c r="G112" s="158"/>
    </row>
    <row r="113">
      <c r="A113" s="153"/>
      <c r="B113" s="229"/>
      <c r="C113" s="230"/>
      <c r="D113" s="231"/>
      <c r="E113" s="157"/>
      <c r="F113" s="12"/>
      <c r="G113" s="158"/>
    </row>
    <row r="114">
      <c r="A114" s="153"/>
      <c r="B114" s="229"/>
      <c r="C114" s="230"/>
      <c r="D114" s="231"/>
      <c r="E114" s="157"/>
      <c r="F114" s="12"/>
      <c r="G114" s="158"/>
    </row>
    <row r="115">
      <c r="A115" s="153"/>
      <c r="B115" s="229"/>
      <c r="C115" s="230"/>
      <c r="D115" s="231"/>
      <c r="E115" s="157"/>
      <c r="F115" s="12"/>
      <c r="G115" s="158"/>
    </row>
    <row r="116">
      <c r="A116" s="153"/>
      <c r="B116" s="229"/>
      <c r="C116" s="230"/>
      <c r="D116" s="231"/>
      <c r="E116" s="157"/>
      <c r="F116" s="12"/>
      <c r="G116" s="158"/>
    </row>
    <row r="117">
      <c r="A117" s="153"/>
      <c r="B117" s="229"/>
      <c r="C117" s="230"/>
      <c r="D117" s="231"/>
      <c r="E117" s="157"/>
      <c r="F117" s="12"/>
      <c r="G117" s="158"/>
    </row>
    <row r="118">
      <c r="A118" s="153"/>
      <c r="B118" s="229"/>
      <c r="C118" s="230"/>
      <c r="D118" s="231"/>
      <c r="E118" s="157"/>
      <c r="F118" s="12"/>
      <c r="G118" s="158"/>
    </row>
    <row r="119">
      <c r="A119" s="153"/>
      <c r="B119" s="229"/>
      <c r="C119" s="230"/>
      <c r="D119" s="231"/>
      <c r="E119" s="157"/>
      <c r="F119" s="12"/>
      <c r="G119" s="158"/>
    </row>
    <row r="120">
      <c r="A120" s="153"/>
      <c r="B120" s="229"/>
      <c r="C120" s="230"/>
      <c r="D120" s="231"/>
      <c r="E120" s="157"/>
      <c r="F120" s="12"/>
      <c r="G120" s="158"/>
    </row>
    <row r="121">
      <c r="A121" s="153"/>
      <c r="B121" s="229"/>
      <c r="C121" s="230"/>
      <c r="D121" s="231"/>
      <c r="E121" s="157"/>
      <c r="F121" s="12"/>
      <c r="G121" s="158"/>
    </row>
    <row r="122">
      <c r="A122" s="153"/>
      <c r="B122" s="229"/>
      <c r="C122" s="230"/>
      <c r="D122" s="231"/>
      <c r="E122" s="157"/>
      <c r="F122" s="12"/>
      <c r="G122" s="158"/>
    </row>
    <row r="123">
      <c r="A123" s="153"/>
      <c r="B123" s="229"/>
      <c r="C123" s="230"/>
      <c r="D123" s="231"/>
      <c r="E123" s="157"/>
      <c r="F123" s="12"/>
      <c r="G123" s="158"/>
    </row>
    <row r="124">
      <c r="A124" s="153"/>
      <c r="B124" s="229"/>
      <c r="C124" s="230"/>
      <c r="D124" s="231"/>
      <c r="E124" s="157"/>
      <c r="F124" s="12"/>
      <c r="G124" s="158"/>
    </row>
    <row r="125">
      <c r="A125" s="153"/>
      <c r="B125" s="229"/>
      <c r="C125" s="230"/>
      <c r="D125" s="231"/>
      <c r="E125" s="157"/>
      <c r="F125" s="12"/>
      <c r="G125" s="158"/>
    </row>
    <row r="126">
      <c r="A126" s="153"/>
      <c r="B126" s="229"/>
      <c r="C126" s="230"/>
      <c r="D126" s="231"/>
      <c r="E126" s="157"/>
      <c r="F126" s="12"/>
      <c r="G126" s="158"/>
    </row>
    <row r="127">
      <c r="A127" s="153"/>
      <c r="B127" s="229"/>
      <c r="C127" s="230"/>
      <c r="D127" s="231"/>
      <c r="E127" s="157"/>
      <c r="F127" s="12"/>
      <c r="G127" s="158"/>
    </row>
    <row r="128">
      <c r="A128" s="153"/>
      <c r="B128" s="229"/>
      <c r="C128" s="230"/>
      <c r="D128" s="231"/>
      <c r="E128" s="157"/>
      <c r="F128" s="12"/>
      <c r="G128" s="158"/>
    </row>
    <row r="129">
      <c r="A129" s="153"/>
      <c r="B129" s="229"/>
      <c r="C129" s="230"/>
      <c r="D129" s="231"/>
      <c r="E129" s="157"/>
      <c r="F129" s="12"/>
      <c r="G129" s="158"/>
    </row>
    <row r="130">
      <c r="A130" s="153"/>
      <c r="B130" s="229"/>
      <c r="C130" s="230"/>
      <c r="D130" s="231"/>
      <c r="E130" s="157"/>
      <c r="F130" s="12"/>
      <c r="G130" s="158"/>
    </row>
    <row r="131">
      <c r="A131" s="153"/>
      <c r="B131" s="229"/>
      <c r="C131" s="230"/>
      <c r="D131" s="231"/>
      <c r="E131" s="157"/>
      <c r="F131" s="12"/>
      <c r="G131" s="158"/>
    </row>
    <row r="132">
      <c r="A132" s="153"/>
      <c r="B132" s="229"/>
      <c r="C132" s="230"/>
      <c r="D132" s="231"/>
      <c r="E132" s="157"/>
      <c r="F132" s="12"/>
      <c r="G132" s="158"/>
    </row>
    <row r="133">
      <c r="A133" s="153"/>
      <c r="B133" s="229"/>
      <c r="C133" s="230"/>
      <c r="D133" s="231"/>
      <c r="E133" s="157"/>
      <c r="F133" s="12"/>
      <c r="G133" s="158"/>
    </row>
    <row r="134">
      <c r="A134" s="153"/>
      <c r="B134" s="229"/>
      <c r="C134" s="230"/>
      <c r="D134" s="231"/>
      <c r="E134" s="157"/>
      <c r="F134" s="12"/>
      <c r="G134" s="158"/>
    </row>
    <row r="135">
      <c r="A135" s="153"/>
      <c r="B135" s="229"/>
      <c r="C135" s="230"/>
      <c r="D135" s="231"/>
      <c r="E135" s="157"/>
      <c r="F135" s="12"/>
      <c r="G135" s="158"/>
    </row>
    <row r="136">
      <c r="A136" s="153"/>
      <c r="B136" s="229"/>
      <c r="C136" s="230"/>
      <c r="D136" s="231"/>
      <c r="E136" s="157"/>
      <c r="F136" s="12"/>
      <c r="G136" s="158"/>
    </row>
    <row r="137">
      <c r="A137" s="153"/>
      <c r="B137" s="229"/>
      <c r="C137" s="230"/>
      <c r="D137" s="231"/>
      <c r="E137" s="157"/>
      <c r="F137" s="12"/>
      <c r="G137" s="158"/>
    </row>
    <row r="138">
      <c r="A138" s="153"/>
      <c r="B138" s="229"/>
      <c r="C138" s="230"/>
      <c r="D138" s="231"/>
      <c r="E138" s="157"/>
      <c r="F138" s="12"/>
      <c r="G138" s="158"/>
    </row>
    <row r="139">
      <c r="A139" s="153"/>
      <c r="B139" s="229"/>
      <c r="C139" s="230"/>
      <c r="D139" s="231"/>
      <c r="E139" s="157"/>
      <c r="F139" s="12"/>
      <c r="G139" s="158"/>
    </row>
    <row r="140">
      <c r="A140" s="153"/>
      <c r="B140" s="229"/>
      <c r="C140" s="230"/>
      <c r="D140" s="231"/>
      <c r="E140" s="157"/>
      <c r="F140" s="12"/>
      <c r="G140" s="158"/>
    </row>
    <row r="141">
      <c r="A141" s="153"/>
      <c r="B141" s="229"/>
      <c r="C141" s="230"/>
      <c r="D141" s="231"/>
      <c r="E141" s="157"/>
      <c r="F141" s="12"/>
      <c r="G141" s="158"/>
    </row>
    <row r="142">
      <c r="A142" s="153"/>
      <c r="B142" s="229"/>
      <c r="C142" s="230"/>
      <c r="D142" s="231"/>
      <c r="E142" s="157"/>
      <c r="F142" s="12"/>
      <c r="G142" s="158"/>
    </row>
    <row r="143">
      <c r="A143" s="153"/>
      <c r="B143" s="229"/>
      <c r="C143" s="230"/>
      <c r="D143" s="231"/>
      <c r="E143" s="157"/>
      <c r="F143" s="12"/>
      <c r="G143" s="158"/>
    </row>
    <row r="144">
      <c r="A144" s="153"/>
      <c r="B144" s="229"/>
      <c r="C144" s="230"/>
      <c r="D144" s="231"/>
      <c r="E144" s="157"/>
      <c r="F144" s="12"/>
      <c r="G144" s="158"/>
    </row>
    <row r="145">
      <c r="A145" s="153"/>
      <c r="B145" s="229"/>
      <c r="C145" s="230"/>
      <c r="D145" s="231"/>
      <c r="E145" s="157"/>
      <c r="F145" s="12"/>
      <c r="G145" s="158"/>
    </row>
    <row r="146">
      <c r="A146" s="153"/>
      <c r="B146" s="229"/>
      <c r="C146" s="230"/>
      <c r="D146" s="231"/>
      <c r="E146" s="157"/>
      <c r="F146" s="12"/>
      <c r="G146" s="158"/>
    </row>
    <row r="147">
      <c r="A147" s="153"/>
      <c r="B147" s="229"/>
      <c r="C147" s="230"/>
      <c r="D147" s="231"/>
      <c r="E147" s="157"/>
      <c r="F147" s="12"/>
      <c r="G147" s="158"/>
    </row>
    <row r="148">
      <c r="A148" s="153"/>
      <c r="B148" s="229"/>
      <c r="C148" s="230"/>
      <c r="D148" s="231"/>
      <c r="E148" s="157"/>
      <c r="F148" s="12"/>
      <c r="G148" s="158"/>
    </row>
    <row r="149">
      <c r="A149" s="153"/>
      <c r="B149" s="229"/>
      <c r="C149" s="230"/>
      <c r="D149" s="231"/>
      <c r="E149" s="157"/>
      <c r="F149" s="12"/>
      <c r="G149" s="158"/>
    </row>
    <row r="150">
      <c r="A150" s="153"/>
      <c r="B150" s="229"/>
      <c r="C150" s="230"/>
      <c r="D150" s="231"/>
      <c r="E150" s="157"/>
      <c r="F150" s="12"/>
      <c r="G150" s="158"/>
    </row>
    <row r="151">
      <c r="A151" s="153"/>
      <c r="B151" s="229"/>
      <c r="C151" s="230"/>
      <c r="D151" s="231"/>
      <c r="E151" s="157"/>
      <c r="F151" s="12"/>
      <c r="G151" s="158"/>
    </row>
    <row r="152">
      <c r="A152" s="153"/>
      <c r="B152" s="229"/>
      <c r="C152" s="230"/>
      <c r="D152" s="231"/>
      <c r="E152" s="157"/>
      <c r="F152" s="12"/>
      <c r="G152" s="158"/>
    </row>
    <row r="153">
      <c r="A153" s="153"/>
      <c r="B153" s="229"/>
      <c r="C153" s="230"/>
      <c r="D153" s="231"/>
      <c r="E153" s="157"/>
      <c r="F153" s="12"/>
      <c r="G153" s="158"/>
    </row>
    <row r="154">
      <c r="A154" s="153"/>
      <c r="B154" s="229"/>
      <c r="C154" s="230"/>
      <c r="D154" s="231"/>
      <c r="E154" s="157"/>
      <c r="F154" s="12"/>
      <c r="G154" s="158"/>
    </row>
    <row r="155">
      <c r="A155" s="153"/>
      <c r="B155" s="229"/>
      <c r="C155" s="230"/>
      <c r="D155" s="231"/>
      <c r="E155" s="157"/>
      <c r="F155" s="12"/>
      <c r="G155" s="158"/>
    </row>
    <row r="156">
      <c r="A156" s="153"/>
      <c r="B156" s="229"/>
      <c r="C156" s="230"/>
      <c r="D156" s="231"/>
      <c r="E156" s="157"/>
      <c r="F156" s="12"/>
      <c r="G156" s="158"/>
    </row>
    <row r="157">
      <c r="A157" s="153"/>
      <c r="B157" s="229"/>
      <c r="C157" s="230"/>
      <c r="D157" s="231"/>
      <c r="E157" s="157"/>
      <c r="F157" s="12"/>
      <c r="G157" s="158"/>
    </row>
    <row r="158">
      <c r="A158" s="153"/>
      <c r="B158" s="229"/>
      <c r="C158" s="230"/>
      <c r="D158" s="231"/>
      <c r="E158" s="157"/>
      <c r="F158" s="12"/>
      <c r="G158" s="158"/>
    </row>
    <row r="159">
      <c r="A159" s="153"/>
      <c r="B159" s="229"/>
      <c r="C159" s="230"/>
      <c r="D159" s="231"/>
      <c r="E159" s="157"/>
      <c r="F159" s="12"/>
      <c r="G159" s="158"/>
    </row>
    <row r="160">
      <c r="A160" s="153"/>
      <c r="B160" s="229"/>
      <c r="C160" s="230"/>
      <c r="D160" s="231"/>
      <c r="E160" s="157"/>
      <c r="F160" s="12"/>
      <c r="G160" s="158"/>
    </row>
    <row r="161">
      <c r="A161" s="153"/>
      <c r="B161" s="229"/>
      <c r="C161" s="230"/>
      <c r="D161" s="231"/>
      <c r="E161" s="157"/>
      <c r="F161" s="12"/>
      <c r="G161" s="158"/>
    </row>
    <row r="162">
      <c r="A162" s="153"/>
      <c r="B162" s="229"/>
      <c r="C162" s="230"/>
      <c r="D162" s="231"/>
      <c r="E162" s="157"/>
      <c r="F162" s="12"/>
      <c r="G162" s="158"/>
    </row>
    <row r="163">
      <c r="A163" s="153"/>
      <c r="B163" s="229"/>
      <c r="C163" s="230"/>
      <c r="D163" s="231"/>
      <c r="E163" s="157"/>
      <c r="F163" s="12"/>
      <c r="G163" s="158"/>
    </row>
    <row r="164">
      <c r="A164" s="153"/>
      <c r="B164" s="229"/>
      <c r="C164" s="230"/>
      <c r="D164" s="231"/>
      <c r="E164" s="157"/>
      <c r="F164" s="12"/>
      <c r="G164" s="158"/>
    </row>
    <row r="165">
      <c r="A165" s="153"/>
      <c r="B165" s="229"/>
      <c r="C165" s="230"/>
      <c r="D165" s="231"/>
      <c r="E165" s="157"/>
      <c r="F165" s="12"/>
      <c r="G165" s="158"/>
    </row>
    <row r="166">
      <c r="A166" s="153"/>
      <c r="B166" s="229"/>
      <c r="C166" s="230"/>
      <c r="D166" s="231"/>
      <c r="E166" s="157"/>
      <c r="F166" s="12"/>
      <c r="G166" s="158"/>
    </row>
    <row r="167">
      <c r="A167" s="153"/>
      <c r="B167" s="229"/>
      <c r="C167" s="230"/>
      <c r="D167" s="231"/>
      <c r="E167" s="157"/>
      <c r="F167" s="12"/>
      <c r="G167" s="158"/>
    </row>
    <row r="168">
      <c r="A168" s="153"/>
      <c r="B168" s="229"/>
      <c r="C168" s="230"/>
      <c r="D168" s="231"/>
      <c r="E168" s="157"/>
      <c r="F168" s="12"/>
      <c r="G168" s="158"/>
    </row>
    <row r="169">
      <c r="A169" s="153"/>
      <c r="B169" s="229"/>
      <c r="C169" s="230"/>
      <c r="D169" s="231"/>
      <c r="E169" s="157"/>
      <c r="F169" s="12"/>
      <c r="G169" s="158"/>
    </row>
    <row r="170">
      <c r="A170" s="153"/>
      <c r="B170" s="229"/>
      <c r="C170" s="230"/>
      <c r="D170" s="231"/>
      <c r="E170" s="157"/>
      <c r="F170" s="12"/>
      <c r="G170" s="158"/>
    </row>
    <row r="171">
      <c r="A171" s="153"/>
      <c r="B171" s="229"/>
      <c r="C171" s="230"/>
      <c r="D171" s="231"/>
      <c r="E171" s="157"/>
      <c r="F171" s="12"/>
      <c r="G171" s="158"/>
    </row>
    <row r="172">
      <c r="A172" s="153"/>
      <c r="B172" s="229"/>
      <c r="C172" s="230"/>
      <c r="D172" s="231"/>
      <c r="E172" s="157"/>
      <c r="F172" s="12"/>
      <c r="G172" s="158"/>
    </row>
    <row r="173">
      <c r="A173" s="153"/>
      <c r="B173" s="229"/>
      <c r="C173" s="230"/>
      <c r="D173" s="231"/>
      <c r="E173" s="157"/>
      <c r="F173" s="12"/>
      <c r="G173" s="158"/>
    </row>
    <row r="174">
      <c r="A174" s="153"/>
      <c r="B174" s="229"/>
      <c r="C174" s="230"/>
      <c r="D174" s="231"/>
      <c r="E174" s="157"/>
      <c r="F174" s="12"/>
      <c r="G174" s="158"/>
    </row>
    <row r="175">
      <c r="A175" s="153"/>
      <c r="B175" s="229"/>
      <c r="C175" s="230"/>
      <c r="D175" s="231"/>
      <c r="E175" s="157"/>
      <c r="F175" s="12"/>
      <c r="G175" s="158"/>
    </row>
    <row r="176">
      <c r="A176" s="153"/>
      <c r="B176" s="229"/>
      <c r="C176" s="230"/>
      <c r="D176" s="231"/>
      <c r="E176" s="157"/>
      <c r="F176" s="12"/>
      <c r="G176" s="158"/>
    </row>
    <row r="177">
      <c r="A177" s="153"/>
      <c r="B177" s="229"/>
      <c r="C177" s="230"/>
      <c r="D177" s="231"/>
      <c r="E177" s="157"/>
      <c r="F177" s="12"/>
      <c r="G177" s="158"/>
    </row>
    <row r="178">
      <c r="A178" s="153"/>
      <c r="B178" s="229"/>
      <c r="C178" s="230"/>
      <c r="D178" s="231"/>
      <c r="E178" s="157"/>
      <c r="F178" s="12"/>
      <c r="G178" s="158"/>
    </row>
    <row r="179">
      <c r="A179" s="153"/>
      <c r="B179" s="229"/>
      <c r="C179" s="230"/>
      <c r="D179" s="231"/>
      <c r="E179" s="157"/>
      <c r="F179" s="12"/>
      <c r="G179" s="158"/>
    </row>
    <row r="180">
      <c r="A180" s="153"/>
      <c r="B180" s="229"/>
      <c r="C180" s="230"/>
      <c r="D180" s="231"/>
      <c r="E180" s="157"/>
      <c r="F180" s="12"/>
      <c r="G180" s="158"/>
    </row>
    <row r="181">
      <c r="A181" s="153"/>
      <c r="B181" s="229"/>
      <c r="C181" s="230"/>
      <c r="D181" s="231"/>
      <c r="E181" s="157"/>
      <c r="F181" s="12"/>
      <c r="G181" s="158"/>
    </row>
    <row r="182">
      <c r="A182" s="153"/>
      <c r="B182" s="229"/>
      <c r="C182" s="230"/>
      <c r="D182" s="231"/>
      <c r="E182" s="157"/>
      <c r="F182" s="12"/>
      <c r="G182" s="158"/>
    </row>
    <row r="183">
      <c r="A183" s="153"/>
      <c r="B183" s="229"/>
      <c r="C183" s="230"/>
      <c r="D183" s="231"/>
      <c r="E183" s="157"/>
      <c r="F183" s="12"/>
      <c r="G183" s="158"/>
    </row>
    <row r="184">
      <c r="A184" s="153"/>
      <c r="B184" s="229"/>
      <c r="C184" s="230"/>
      <c r="D184" s="231"/>
      <c r="E184" s="157"/>
      <c r="F184" s="12"/>
      <c r="G184" s="158"/>
    </row>
    <row r="185">
      <c r="A185" s="153"/>
      <c r="B185" s="229"/>
      <c r="C185" s="230"/>
      <c r="D185" s="231"/>
      <c r="E185" s="157"/>
      <c r="F185" s="12"/>
      <c r="G185" s="158"/>
    </row>
    <row r="186">
      <c r="A186" s="153"/>
      <c r="B186" s="229"/>
      <c r="C186" s="230"/>
      <c r="D186" s="231"/>
      <c r="E186" s="157"/>
      <c r="F186" s="12"/>
      <c r="G186" s="158"/>
    </row>
    <row r="187">
      <c r="A187" s="153"/>
      <c r="B187" s="229"/>
      <c r="C187" s="230"/>
      <c r="D187" s="231"/>
      <c r="E187" s="157"/>
      <c r="F187" s="12"/>
      <c r="G187" s="158"/>
    </row>
    <row r="188">
      <c r="A188" s="153"/>
      <c r="B188" s="229"/>
      <c r="C188" s="230"/>
      <c r="D188" s="231"/>
      <c r="E188" s="157"/>
      <c r="F188" s="12"/>
      <c r="G188" s="158"/>
    </row>
    <row r="189">
      <c r="A189" s="153"/>
      <c r="B189" s="229"/>
      <c r="C189" s="230"/>
      <c r="D189" s="231"/>
      <c r="E189" s="157"/>
      <c r="F189" s="12"/>
      <c r="G189" s="158"/>
    </row>
    <row r="190">
      <c r="A190" s="153"/>
      <c r="B190" s="229"/>
      <c r="C190" s="230"/>
      <c r="D190" s="231"/>
      <c r="E190" s="157"/>
      <c r="F190" s="12"/>
      <c r="G190" s="158"/>
    </row>
    <row r="191">
      <c r="A191" s="153"/>
      <c r="B191" s="229"/>
      <c r="C191" s="230"/>
      <c r="D191" s="231"/>
      <c r="E191" s="157"/>
      <c r="F191" s="12"/>
      <c r="G191" s="158"/>
    </row>
    <row r="192">
      <c r="A192" s="153"/>
      <c r="B192" s="229"/>
      <c r="C192" s="230"/>
      <c r="D192" s="231"/>
      <c r="E192" s="157"/>
      <c r="F192" s="12"/>
      <c r="G192" s="158"/>
    </row>
    <row r="193">
      <c r="A193" s="153"/>
      <c r="B193" s="229"/>
      <c r="C193" s="230"/>
      <c r="D193" s="231"/>
      <c r="E193" s="157"/>
      <c r="F193" s="12"/>
      <c r="G193" s="158"/>
    </row>
    <row r="194">
      <c r="A194" s="153"/>
      <c r="B194" s="229"/>
      <c r="C194" s="230"/>
      <c r="D194" s="231"/>
      <c r="E194" s="157"/>
      <c r="F194" s="12"/>
      <c r="G194" s="158"/>
    </row>
    <row r="195">
      <c r="A195" s="153"/>
      <c r="B195" s="229"/>
      <c r="C195" s="230"/>
      <c r="D195" s="231"/>
      <c r="E195" s="157"/>
      <c r="F195" s="12"/>
      <c r="G195" s="158"/>
    </row>
    <row r="196">
      <c r="A196" s="153"/>
      <c r="B196" s="229"/>
      <c r="C196" s="230"/>
      <c r="D196" s="231"/>
      <c r="E196" s="157"/>
      <c r="F196" s="12"/>
      <c r="G196" s="158"/>
    </row>
    <row r="197">
      <c r="A197" s="153"/>
      <c r="B197" s="229"/>
      <c r="C197" s="230"/>
      <c r="D197" s="231"/>
      <c r="E197" s="157"/>
      <c r="F197" s="12"/>
      <c r="G197" s="158"/>
    </row>
    <row r="198">
      <c r="A198" s="153"/>
      <c r="B198" s="229"/>
      <c r="C198" s="230"/>
      <c r="D198" s="231"/>
      <c r="E198" s="157"/>
      <c r="F198" s="12"/>
      <c r="G198" s="158"/>
    </row>
    <row r="199">
      <c r="A199" s="153"/>
      <c r="B199" s="229"/>
      <c r="C199" s="230"/>
      <c r="D199" s="231"/>
      <c r="E199" s="157"/>
      <c r="F199" s="12"/>
      <c r="G199" s="158"/>
    </row>
    <row r="200">
      <c r="A200" s="153"/>
      <c r="B200" s="229"/>
      <c r="C200" s="230"/>
      <c r="D200" s="231"/>
      <c r="E200" s="157"/>
      <c r="F200" s="12"/>
      <c r="G200" s="158"/>
    </row>
    <row r="201">
      <c r="A201" s="153"/>
      <c r="B201" s="229"/>
      <c r="C201" s="230"/>
      <c r="D201" s="231"/>
      <c r="E201" s="157"/>
      <c r="F201" s="12"/>
      <c r="G201" s="158"/>
    </row>
    <row r="202">
      <c r="A202" s="153"/>
      <c r="B202" s="229"/>
      <c r="C202" s="230"/>
      <c r="D202" s="231"/>
      <c r="E202" s="157"/>
      <c r="F202" s="12"/>
      <c r="G202" s="158"/>
    </row>
    <row r="203">
      <c r="A203" s="153"/>
      <c r="B203" s="229"/>
      <c r="C203" s="230"/>
      <c r="D203" s="231"/>
      <c r="E203" s="157"/>
      <c r="F203" s="12"/>
      <c r="G203" s="158"/>
    </row>
    <row r="204">
      <c r="A204" s="153"/>
      <c r="B204" s="229"/>
      <c r="C204" s="230"/>
      <c r="D204" s="231"/>
      <c r="E204" s="157"/>
      <c r="F204" s="12"/>
      <c r="G204" s="158"/>
    </row>
    <row r="205">
      <c r="A205" s="153"/>
      <c r="B205" s="229"/>
      <c r="C205" s="230"/>
      <c r="D205" s="231"/>
      <c r="E205" s="157"/>
      <c r="F205" s="12"/>
      <c r="G205" s="158"/>
    </row>
    <row r="206">
      <c r="A206" s="153"/>
      <c r="B206" s="229"/>
      <c r="C206" s="230"/>
      <c r="D206" s="231"/>
      <c r="E206" s="157"/>
      <c r="F206" s="12"/>
      <c r="G206" s="158"/>
    </row>
    <row r="207">
      <c r="A207" s="153"/>
      <c r="B207" s="229"/>
      <c r="C207" s="230"/>
      <c r="D207" s="231"/>
      <c r="E207" s="157"/>
      <c r="F207" s="12"/>
      <c r="G207" s="158"/>
    </row>
    <row r="208">
      <c r="A208" s="153"/>
      <c r="B208" s="229"/>
      <c r="C208" s="230"/>
      <c r="D208" s="231"/>
      <c r="E208" s="157"/>
      <c r="F208" s="12"/>
      <c r="G208" s="158"/>
    </row>
    <row r="209">
      <c r="A209" s="153"/>
      <c r="B209" s="229"/>
      <c r="C209" s="230"/>
      <c r="D209" s="231"/>
      <c r="E209" s="157"/>
      <c r="F209" s="12"/>
      <c r="G209" s="158"/>
    </row>
    <row r="210">
      <c r="A210" s="153"/>
      <c r="B210" s="229"/>
      <c r="C210" s="230"/>
      <c r="D210" s="231"/>
      <c r="E210" s="157"/>
      <c r="F210" s="12"/>
      <c r="G210" s="158"/>
    </row>
    <row r="211">
      <c r="A211" s="153"/>
      <c r="B211" s="229"/>
      <c r="C211" s="230"/>
      <c r="D211" s="231"/>
      <c r="E211" s="157"/>
      <c r="F211" s="12"/>
      <c r="G211" s="158"/>
    </row>
    <row r="212">
      <c r="A212" s="153"/>
      <c r="B212" s="229"/>
      <c r="C212" s="230"/>
      <c r="D212" s="231"/>
      <c r="E212" s="157"/>
      <c r="F212" s="12"/>
      <c r="G212" s="158"/>
    </row>
    <row r="213">
      <c r="A213" s="153"/>
      <c r="B213" s="229"/>
      <c r="C213" s="230"/>
      <c r="D213" s="231"/>
      <c r="E213" s="157"/>
      <c r="F213" s="12"/>
      <c r="G213" s="158"/>
    </row>
    <row r="214">
      <c r="A214" s="153"/>
      <c r="B214" s="229"/>
      <c r="C214" s="230"/>
      <c r="D214" s="231"/>
      <c r="E214" s="157"/>
      <c r="F214" s="12"/>
      <c r="G214" s="158"/>
    </row>
    <row r="215">
      <c r="A215" s="153"/>
      <c r="B215" s="229"/>
      <c r="C215" s="230"/>
      <c r="D215" s="231"/>
      <c r="E215" s="157"/>
      <c r="F215" s="12"/>
      <c r="G215" s="158"/>
    </row>
    <row r="216">
      <c r="A216" s="153"/>
      <c r="B216" s="229"/>
      <c r="C216" s="230"/>
      <c r="D216" s="231"/>
      <c r="E216" s="157"/>
      <c r="F216" s="12"/>
      <c r="G216" s="158"/>
    </row>
    <row r="217">
      <c r="A217" s="153"/>
      <c r="B217" s="229"/>
      <c r="C217" s="230"/>
      <c r="D217" s="231"/>
      <c r="E217" s="157"/>
      <c r="F217" s="12"/>
      <c r="G217" s="158"/>
    </row>
    <row r="218">
      <c r="A218" s="153"/>
      <c r="B218" s="229"/>
      <c r="C218" s="230"/>
      <c r="D218" s="231"/>
      <c r="E218" s="157"/>
      <c r="F218" s="12"/>
      <c r="G218" s="158"/>
    </row>
    <row r="219">
      <c r="A219" s="153"/>
      <c r="B219" s="229"/>
      <c r="C219" s="230"/>
      <c r="D219" s="231"/>
      <c r="E219" s="157"/>
      <c r="F219" s="12"/>
      <c r="G219" s="158"/>
    </row>
    <row r="220">
      <c r="A220" s="153"/>
      <c r="B220" s="229"/>
      <c r="C220" s="230"/>
      <c r="D220" s="231"/>
      <c r="E220" s="157"/>
      <c r="F220" s="12"/>
      <c r="G220" s="158"/>
    </row>
    <row r="221">
      <c r="A221" s="153"/>
      <c r="B221" s="229"/>
      <c r="C221" s="230"/>
      <c r="D221" s="231"/>
      <c r="E221" s="157"/>
      <c r="F221" s="12"/>
      <c r="G221" s="158"/>
    </row>
    <row r="222">
      <c r="A222" s="153"/>
      <c r="B222" s="229"/>
      <c r="C222" s="230"/>
      <c r="D222" s="231"/>
      <c r="E222" s="157"/>
      <c r="F222" s="12"/>
      <c r="G222" s="158"/>
    </row>
    <row r="223">
      <c r="A223" s="153"/>
      <c r="B223" s="229"/>
      <c r="C223" s="230"/>
      <c r="D223" s="231"/>
      <c r="E223" s="157"/>
      <c r="F223" s="12"/>
      <c r="G223" s="158"/>
    </row>
    <row r="224">
      <c r="A224" s="153"/>
      <c r="B224" s="229"/>
      <c r="C224" s="230"/>
      <c r="D224" s="231"/>
      <c r="E224" s="157"/>
      <c r="F224" s="12"/>
      <c r="G224" s="158"/>
    </row>
    <row r="225">
      <c r="A225" s="153"/>
      <c r="B225" s="229"/>
      <c r="C225" s="230"/>
      <c r="D225" s="231"/>
      <c r="E225" s="157"/>
      <c r="F225" s="12"/>
      <c r="G225" s="158"/>
    </row>
    <row r="226">
      <c r="A226" s="153"/>
      <c r="B226" s="229"/>
      <c r="C226" s="230"/>
      <c r="D226" s="231"/>
      <c r="E226" s="157"/>
      <c r="F226" s="12"/>
      <c r="G226" s="158"/>
    </row>
    <row r="227">
      <c r="A227" s="153"/>
      <c r="B227" s="229"/>
      <c r="C227" s="230"/>
      <c r="D227" s="231"/>
      <c r="E227" s="157"/>
      <c r="F227" s="12"/>
      <c r="G227" s="158"/>
    </row>
    <row r="228">
      <c r="A228" s="153"/>
      <c r="B228" s="229"/>
      <c r="C228" s="230"/>
      <c r="D228" s="231"/>
      <c r="E228" s="157"/>
      <c r="F228" s="12"/>
      <c r="G228" s="158"/>
    </row>
    <row r="229">
      <c r="A229" s="153"/>
      <c r="B229" s="229"/>
      <c r="C229" s="230"/>
      <c r="D229" s="231"/>
      <c r="E229" s="157"/>
      <c r="F229" s="12"/>
      <c r="G229" s="158"/>
    </row>
    <row r="230">
      <c r="A230" s="153"/>
      <c r="B230" s="229"/>
      <c r="C230" s="230"/>
      <c r="D230" s="231"/>
      <c r="E230" s="157"/>
      <c r="F230" s="12"/>
      <c r="G230" s="158"/>
    </row>
    <row r="231">
      <c r="A231" s="153"/>
      <c r="B231" s="229"/>
      <c r="C231" s="230"/>
      <c r="D231" s="231"/>
      <c r="E231" s="157"/>
      <c r="F231" s="12"/>
      <c r="G231" s="158"/>
    </row>
    <row r="232">
      <c r="A232" s="153"/>
      <c r="B232" s="229"/>
      <c r="C232" s="230"/>
      <c r="D232" s="231"/>
      <c r="E232" s="157"/>
      <c r="F232" s="12"/>
      <c r="G232" s="158"/>
    </row>
    <row r="233">
      <c r="A233" s="153"/>
      <c r="B233" s="229"/>
      <c r="C233" s="230"/>
      <c r="D233" s="231"/>
      <c r="E233" s="157"/>
      <c r="F233" s="12"/>
      <c r="G233" s="158"/>
    </row>
    <row r="234">
      <c r="A234" s="153"/>
      <c r="B234" s="229"/>
      <c r="C234" s="230"/>
      <c r="D234" s="231"/>
      <c r="E234" s="157"/>
      <c r="F234" s="12"/>
      <c r="G234" s="158"/>
    </row>
    <row r="235">
      <c r="A235" s="153"/>
      <c r="B235" s="229"/>
      <c r="C235" s="230"/>
      <c r="D235" s="231"/>
      <c r="E235" s="157"/>
      <c r="F235" s="12"/>
      <c r="G235" s="158"/>
    </row>
    <row r="236">
      <c r="A236" s="153"/>
      <c r="B236" s="229"/>
      <c r="C236" s="230"/>
      <c r="D236" s="231"/>
      <c r="E236" s="157"/>
      <c r="F236" s="12"/>
      <c r="G236" s="158"/>
    </row>
    <row r="237">
      <c r="A237" s="153"/>
      <c r="B237" s="229"/>
      <c r="C237" s="230"/>
      <c r="D237" s="231"/>
      <c r="E237" s="157"/>
      <c r="F237" s="12"/>
      <c r="G237" s="158"/>
    </row>
    <row r="238">
      <c r="A238" s="153"/>
      <c r="B238" s="229"/>
      <c r="C238" s="230"/>
      <c r="D238" s="231"/>
      <c r="E238" s="157"/>
      <c r="F238" s="12"/>
      <c r="G238" s="158"/>
    </row>
    <row r="239">
      <c r="A239" s="153"/>
      <c r="B239" s="229"/>
      <c r="C239" s="230"/>
      <c r="D239" s="231"/>
      <c r="E239" s="157"/>
      <c r="F239" s="12"/>
      <c r="G239" s="158"/>
    </row>
    <row r="240">
      <c r="A240" s="153"/>
      <c r="B240" s="229"/>
      <c r="C240" s="230"/>
      <c r="D240" s="231"/>
      <c r="E240" s="157"/>
      <c r="F240" s="12"/>
      <c r="G240" s="158"/>
    </row>
    <row r="241">
      <c r="A241" s="153"/>
      <c r="B241" s="229"/>
      <c r="C241" s="230"/>
      <c r="D241" s="231"/>
      <c r="E241" s="157"/>
      <c r="F241" s="12"/>
      <c r="G241" s="158"/>
    </row>
    <row r="242">
      <c r="A242" s="153"/>
      <c r="B242" s="229"/>
      <c r="C242" s="230"/>
      <c r="D242" s="231"/>
      <c r="E242" s="157"/>
      <c r="F242" s="12"/>
      <c r="G242" s="158"/>
    </row>
    <row r="243">
      <c r="A243" s="153"/>
      <c r="B243" s="229"/>
      <c r="C243" s="230"/>
      <c r="D243" s="231"/>
      <c r="E243" s="157"/>
      <c r="F243" s="12"/>
      <c r="G243" s="158"/>
    </row>
    <row r="244">
      <c r="A244" s="153"/>
      <c r="B244" s="229"/>
      <c r="C244" s="230"/>
      <c r="D244" s="231"/>
      <c r="E244" s="157"/>
      <c r="F244" s="12"/>
      <c r="G244" s="158"/>
    </row>
    <row r="245">
      <c r="A245" s="153"/>
      <c r="B245" s="229"/>
      <c r="C245" s="230"/>
      <c r="D245" s="231"/>
      <c r="E245" s="157"/>
      <c r="F245" s="12"/>
      <c r="G245" s="158"/>
    </row>
    <row r="246">
      <c r="A246" s="153"/>
      <c r="B246" s="229"/>
      <c r="C246" s="230"/>
      <c r="D246" s="231"/>
      <c r="E246" s="157"/>
      <c r="F246" s="12"/>
      <c r="G246" s="158"/>
    </row>
    <row r="247">
      <c r="A247" s="153"/>
      <c r="B247" s="229"/>
      <c r="C247" s="230"/>
      <c r="D247" s="231"/>
      <c r="E247" s="157"/>
      <c r="F247" s="12"/>
      <c r="G247" s="158"/>
    </row>
    <row r="248">
      <c r="A248" s="153"/>
      <c r="B248" s="229"/>
      <c r="C248" s="230"/>
      <c r="D248" s="231"/>
      <c r="E248" s="157"/>
      <c r="F248" s="12"/>
      <c r="G248" s="158"/>
    </row>
    <row r="249">
      <c r="A249" s="153"/>
      <c r="B249" s="229"/>
      <c r="C249" s="230"/>
      <c r="D249" s="231"/>
      <c r="E249" s="157"/>
      <c r="F249" s="12"/>
      <c r="G249" s="158"/>
    </row>
    <row r="250">
      <c r="A250" s="153"/>
      <c r="B250" s="229"/>
      <c r="C250" s="230"/>
      <c r="D250" s="231"/>
      <c r="E250" s="157"/>
      <c r="F250" s="12"/>
      <c r="G250" s="158"/>
    </row>
    <row r="251">
      <c r="A251" s="153"/>
      <c r="B251" s="229"/>
      <c r="C251" s="230"/>
      <c r="D251" s="231"/>
      <c r="E251" s="157"/>
      <c r="F251" s="12"/>
      <c r="G251" s="158"/>
    </row>
    <row r="252">
      <c r="A252" s="153"/>
      <c r="B252" s="229"/>
      <c r="C252" s="230"/>
      <c r="D252" s="231"/>
      <c r="E252" s="157"/>
      <c r="F252" s="12"/>
      <c r="G252" s="158"/>
    </row>
    <row r="253">
      <c r="A253" s="153"/>
      <c r="B253" s="229"/>
      <c r="C253" s="230"/>
      <c r="D253" s="231"/>
      <c r="E253" s="157"/>
      <c r="F253" s="12"/>
      <c r="G253" s="158"/>
    </row>
    <row r="254">
      <c r="A254" s="153"/>
      <c r="B254" s="229"/>
      <c r="C254" s="230"/>
      <c r="D254" s="231"/>
      <c r="E254" s="157"/>
      <c r="F254" s="12"/>
      <c r="G254" s="158"/>
    </row>
    <row r="255">
      <c r="A255" s="153"/>
      <c r="B255" s="229"/>
      <c r="C255" s="230"/>
      <c r="D255" s="231"/>
      <c r="E255" s="157"/>
      <c r="F255" s="12"/>
      <c r="G255" s="158"/>
    </row>
    <row r="256">
      <c r="A256" s="153"/>
      <c r="B256" s="229"/>
      <c r="C256" s="230"/>
      <c r="D256" s="231"/>
      <c r="E256" s="157"/>
      <c r="F256" s="12"/>
      <c r="G256" s="158"/>
    </row>
    <row r="257">
      <c r="A257" s="153"/>
      <c r="B257" s="229"/>
      <c r="C257" s="230"/>
      <c r="D257" s="231"/>
      <c r="E257" s="157"/>
      <c r="F257" s="12"/>
      <c r="G257" s="158"/>
    </row>
    <row r="258">
      <c r="A258" s="153"/>
      <c r="B258" s="229"/>
      <c r="C258" s="230"/>
      <c r="D258" s="231"/>
      <c r="E258" s="157"/>
      <c r="F258" s="12"/>
      <c r="G258" s="158"/>
    </row>
    <row r="259">
      <c r="A259" s="153"/>
      <c r="B259" s="229"/>
      <c r="C259" s="230"/>
      <c r="D259" s="231"/>
      <c r="E259" s="157"/>
      <c r="F259" s="12"/>
      <c r="G259" s="158"/>
    </row>
    <row r="260">
      <c r="A260" s="153"/>
      <c r="B260" s="229"/>
      <c r="C260" s="230"/>
      <c r="D260" s="231"/>
      <c r="E260" s="157"/>
      <c r="F260" s="12"/>
      <c r="G260" s="158"/>
    </row>
    <row r="261">
      <c r="A261" s="153"/>
      <c r="B261" s="229"/>
      <c r="C261" s="230"/>
      <c r="D261" s="231"/>
      <c r="E261" s="157"/>
      <c r="F261" s="12"/>
      <c r="G261" s="158"/>
    </row>
    <row r="262">
      <c r="A262" s="153"/>
      <c r="B262" s="229"/>
      <c r="C262" s="230"/>
      <c r="D262" s="231"/>
      <c r="E262" s="157"/>
      <c r="F262" s="12"/>
      <c r="G262" s="158"/>
    </row>
    <row r="263">
      <c r="A263" s="153"/>
      <c r="B263" s="229"/>
      <c r="C263" s="230"/>
      <c r="D263" s="231"/>
      <c r="E263" s="157"/>
      <c r="F263" s="12"/>
      <c r="G263" s="158"/>
    </row>
    <row r="264">
      <c r="A264" s="153"/>
      <c r="B264" s="229"/>
      <c r="C264" s="230"/>
      <c r="D264" s="231"/>
      <c r="E264" s="157"/>
      <c r="F264" s="12"/>
      <c r="G264" s="158"/>
    </row>
    <row r="265">
      <c r="A265" s="153"/>
      <c r="B265" s="229"/>
      <c r="C265" s="230"/>
      <c r="D265" s="231"/>
      <c r="E265" s="157"/>
      <c r="F265" s="12"/>
      <c r="G265" s="158"/>
    </row>
    <row r="266">
      <c r="A266" s="153"/>
      <c r="B266" s="229"/>
      <c r="C266" s="230"/>
      <c r="D266" s="231"/>
      <c r="E266" s="157"/>
      <c r="F266" s="12"/>
      <c r="G266" s="158"/>
    </row>
    <row r="267">
      <c r="A267" s="153"/>
      <c r="B267" s="229"/>
      <c r="C267" s="230"/>
      <c r="D267" s="231"/>
      <c r="E267" s="157"/>
      <c r="F267" s="12"/>
      <c r="G267" s="158"/>
    </row>
    <row r="268">
      <c r="A268" s="153"/>
      <c r="B268" s="229"/>
      <c r="C268" s="230"/>
      <c r="D268" s="231"/>
      <c r="E268" s="157"/>
      <c r="F268" s="12"/>
      <c r="G268" s="158"/>
    </row>
    <row r="269">
      <c r="A269" s="153"/>
      <c r="B269" s="229"/>
      <c r="C269" s="230"/>
      <c r="D269" s="231"/>
      <c r="E269" s="157"/>
      <c r="F269" s="12"/>
      <c r="G269" s="158"/>
    </row>
    <row r="270">
      <c r="A270" s="153"/>
      <c r="B270" s="229"/>
      <c r="C270" s="230"/>
      <c r="D270" s="231"/>
      <c r="E270" s="157"/>
      <c r="F270" s="12"/>
      <c r="G270" s="158"/>
    </row>
    <row r="271">
      <c r="A271" s="153"/>
      <c r="B271" s="229"/>
      <c r="C271" s="230"/>
      <c r="D271" s="231"/>
      <c r="E271" s="157"/>
      <c r="F271" s="12"/>
      <c r="G271" s="158"/>
    </row>
    <row r="272">
      <c r="A272" s="153"/>
      <c r="B272" s="229"/>
      <c r="C272" s="230"/>
      <c r="D272" s="231"/>
      <c r="E272" s="157"/>
      <c r="F272" s="12"/>
      <c r="G272" s="158"/>
    </row>
    <row r="273">
      <c r="A273" s="153"/>
      <c r="B273" s="229"/>
      <c r="C273" s="230"/>
      <c r="D273" s="231"/>
      <c r="E273" s="157"/>
      <c r="F273" s="12"/>
      <c r="G273" s="158"/>
    </row>
    <row r="274">
      <c r="A274" s="153"/>
      <c r="B274" s="229"/>
      <c r="C274" s="230"/>
      <c r="D274" s="231"/>
      <c r="E274" s="157"/>
      <c r="F274" s="12"/>
      <c r="G274" s="158"/>
    </row>
    <row r="275">
      <c r="A275" s="153"/>
      <c r="B275" s="229"/>
      <c r="C275" s="230"/>
      <c r="D275" s="231"/>
      <c r="E275" s="157"/>
      <c r="F275" s="12"/>
      <c r="G275" s="158"/>
    </row>
    <row r="276">
      <c r="A276" s="153"/>
      <c r="B276" s="229"/>
      <c r="C276" s="230"/>
      <c r="D276" s="231"/>
      <c r="E276" s="157"/>
      <c r="F276" s="12"/>
      <c r="G276" s="158"/>
    </row>
    <row r="277">
      <c r="A277" s="153"/>
      <c r="B277" s="229"/>
      <c r="C277" s="230"/>
      <c r="D277" s="231"/>
      <c r="E277" s="157"/>
      <c r="F277" s="12"/>
      <c r="G277" s="158"/>
    </row>
    <row r="278">
      <c r="A278" s="153"/>
      <c r="B278" s="229"/>
      <c r="C278" s="230"/>
      <c r="D278" s="231"/>
      <c r="E278" s="157"/>
      <c r="F278" s="12"/>
      <c r="G278" s="158"/>
    </row>
    <row r="279">
      <c r="A279" s="153"/>
      <c r="B279" s="229"/>
      <c r="C279" s="230"/>
      <c r="D279" s="231"/>
      <c r="E279" s="157"/>
      <c r="F279" s="12"/>
      <c r="G279" s="158"/>
    </row>
    <row r="280">
      <c r="A280" s="153"/>
      <c r="B280" s="229"/>
      <c r="C280" s="230"/>
      <c r="D280" s="231"/>
      <c r="E280" s="157"/>
      <c r="F280" s="12"/>
      <c r="G280" s="158"/>
    </row>
    <row r="281">
      <c r="A281" s="153"/>
      <c r="B281" s="229"/>
      <c r="C281" s="230"/>
      <c r="D281" s="231"/>
      <c r="E281" s="157"/>
      <c r="F281" s="12"/>
      <c r="G281" s="158"/>
    </row>
    <row r="282">
      <c r="A282" s="153"/>
      <c r="B282" s="229"/>
      <c r="C282" s="230"/>
      <c r="D282" s="231"/>
      <c r="E282" s="157"/>
      <c r="F282" s="12"/>
      <c r="G282" s="158"/>
    </row>
    <row r="283">
      <c r="A283" s="153"/>
      <c r="B283" s="229"/>
      <c r="C283" s="230"/>
      <c r="D283" s="231"/>
      <c r="E283" s="157"/>
      <c r="F283" s="12"/>
      <c r="G283" s="158"/>
    </row>
    <row r="284">
      <c r="A284" s="153"/>
      <c r="B284" s="229"/>
      <c r="C284" s="230"/>
      <c r="D284" s="231"/>
      <c r="E284" s="157"/>
      <c r="F284" s="12"/>
      <c r="G284" s="158"/>
    </row>
    <row r="285">
      <c r="A285" s="153"/>
      <c r="B285" s="229"/>
      <c r="C285" s="230"/>
      <c r="D285" s="231"/>
      <c r="E285" s="157"/>
      <c r="F285" s="12"/>
      <c r="G285" s="158"/>
    </row>
    <row r="286">
      <c r="A286" s="153"/>
      <c r="B286" s="229"/>
      <c r="C286" s="230"/>
      <c r="D286" s="231"/>
      <c r="E286" s="157"/>
      <c r="F286" s="12"/>
      <c r="G286" s="158"/>
    </row>
    <row r="287">
      <c r="A287" s="153"/>
      <c r="B287" s="229"/>
      <c r="C287" s="230"/>
      <c r="D287" s="231"/>
      <c r="E287" s="157"/>
      <c r="F287" s="12"/>
      <c r="G287" s="158"/>
    </row>
    <row r="288">
      <c r="A288" s="153"/>
      <c r="B288" s="229"/>
      <c r="C288" s="230"/>
      <c r="D288" s="231"/>
      <c r="E288" s="157"/>
      <c r="F288" s="12"/>
      <c r="G288" s="158"/>
    </row>
    <row r="289">
      <c r="A289" s="153"/>
      <c r="B289" s="229"/>
      <c r="C289" s="230"/>
      <c r="D289" s="231"/>
      <c r="E289" s="157"/>
      <c r="F289" s="12"/>
      <c r="G289" s="158"/>
    </row>
    <row r="290">
      <c r="A290" s="153"/>
      <c r="B290" s="229"/>
      <c r="C290" s="230"/>
      <c r="D290" s="231"/>
      <c r="E290" s="157"/>
      <c r="F290" s="12"/>
      <c r="G290" s="158"/>
    </row>
    <row r="291">
      <c r="A291" s="153"/>
      <c r="B291" s="229"/>
      <c r="C291" s="230"/>
      <c r="D291" s="231"/>
      <c r="E291" s="157"/>
      <c r="F291" s="12"/>
      <c r="G291" s="158"/>
    </row>
    <row r="292">
      <c r="A292" s="153"/>
      <c r="B292" s="229"/>
      <c r="C292" s="230"/>
      <c r="D292" s="231"/>
      <c r="E292" s="157"/>
      <c r="F292" s="12"/>
      <c r="G292" s="158"/>
    </row>
    <row r="293">
      <c r="A293" s="153"/>
      <c r="B293" s="229"/>
      <c r="C293" s="230"/>
      <c r="D293" s="231"/>
      <c r="E293" s="157"/>
      <c r="F293" s="12"/>
      <c r="G293" s="158"/>
    </row>
    <row r="294">
      <c r="A294" s="153"/>
      <c r="B294" s="229"/>
      <c r="C294" s="230"/>
      <c r="D294" s="231"/>
      <c r="E294" s="157"/>
      <c r="F294" s="12"/>
      <c r="G294" s="158"/>
    </row>
    <row r="295">
      <c r="A295" s="153"/>
      <c r="B295" s="229"/>
      <c r="C295" s="230"/>
      <c r="D295" s="231"/>
      <c r="E295" s="157"/>
      <c r="F295" s="12"/>
      <c r="G295" s="158"/>
    </row>
    <row r="296">
      <c r="A296" s="153"/>
      <c r="B296" s="229"/>
      <c r="C296" s="230"/>
      <c r="D296" s="231"/>
      <c r="E296" s="157"/>
      <c r="F296" s="12"/>
      <c r="G296" s="158"/>
    </row>
    <row r="297">
      <c r="A297" s="153"/>
      <c r="B297" s="229"/>
      <c r="C297" s="230"/>
      <c r="D297" s="231"/>
      <c r="E297" s="157"/>
      <c r="F297" s="12"/>
      <c r="G297" s="158"/>
    </row>
    <row r="298">
      <c r="A298" s="153"/>
      <c r="B298" s="229"/>
      <c r="C298" s="230"/>
      <c r="D298" s="231"/>
      <c r="E298" s="157"/>
      <c r="F298" s="12"/>
      <c r="G298" s="158"/>
    </row>
    <row r="299">
      <c r="A299" s="153"/>
      <c r="B299" s="229"/>
      <c r="C299" s="230"/>
      <c r="D299" s="231"/>
      <c r="E299" s="157"/>
      <c r="F299" s="12"/>
      <c r="G299" s="158"/>
    </row>
    <row r="300">
      <c r="A300" s="153"/>
      <c r="B300" s="229"/>
      <c r="C300" s="230"/>
      <c r="D300" s="231"/>
      <c r="E300" s="157"/>
      <c r="F300" s="12"/>
      <c r="G300" s="158"/>
    </row>
    <row r="301">
      <c r="A301" s="153"/>
      <c r="B301" s="229"/>
      <c r="C301" s="230"/>
      <c r="D301" s="231"/>
      <c r="E301" s="157"/>
      <c r="F301" s="12"/>
      <c r="G301" s="158"/>
    </row>
    <row r="302">
      <c r="A302" s="153"/>
      <c r="B302" s="229"/>
      <c r="C302" s="230"/>
      <c r="D302" s="231"/>
      <c r="E302" s="157"/>
      <c r="F302" s="12"/>
      <c r="G302" s="158"/>
    </row>
    <row r="303">
      <c r="A303" s="153"/>
      <c r="B303" s="229"/>
      <c r="C303" s="230"/>
      <c r="D303" s="231"/>
      <c r="E303" s="157"/>
      <c r="F303" s="12"/>
      <c r="G303" s="158"/>
    </row>
    <row r="304">
      <c r="A304" s="153"/>
      <c r="B304" s="229"/>
      <c r="C304" s="230"/>
      <c r="D304" s="231"/>
      <c r="E304" s="157"/>
      <c r="F304" s="12"/>
      <c r="G304" s="158"/>
    </row>
    <row r="305">
      <c r="A305" s="153"/>
      <c r="B305" s="229"/>
      <c r="C305" s="230"/>
      <c r="D305" s="231"/>
      <c r="E305" s="157"/>
      <c r="F305" s="12"/>
      <c r="G305" s="158"/>
    </row>
    <row r="306">
      <c r="A306" s="153"/>
      <c r="B306" s="229"/>
      <c r="C306" s="230"/>
      <c r="D306" s="231"/>
      <c r="E306" s="157"/>
      <c r="F306" s="12"/>
      <c r="G306" s="158"/>
    </row>
    <row r="307">
      <c r="A307" s="153"/>
      <c r="B307" s="229"/>
      <c r="C307" s="230"/>
      <c r="D307" s="231"/>
      <c r="E307" s="157"/>
      <c r="F307" s="12"/>
      <c r="G307" s="158"/>
    </row>
    <row r="308">
      <c r="A308" s="153"/>
      <c r="B308" s="229"/>
      <c r="C308" s="230"/>
      <c r="D308" s="231"/>
      <c r="E308" s="157"/>
      <c r="F308" s="12"/>
      <c r="G308" s="158"/>
    </row>
    <row r="309">
      <c r="A309" s="153"/>
      <c r="B309" s="229"/>
      <c r="C309" s="230"/>
      <c r="D309" s="231"/>
      <c r="E309" s="157"/>
      <c r="F309" s="12"/>
      <c r="G309" s="158"/>
    </row>
    <row r="310">
      <c r="A310" s="153"/>
      <c r="B310" s="229"/>
      <c r="C310" s="230"/>
      <c r="D310" s="231"/>
      <c r="E310" s="157"/>
      <c r="F310" s="12"/>
      <c r="G310" s="158"/>
    </row>
    <row r="311">
      <c r="A311" s="153"/>
      <c r="B311" s="229"/>
      <c r="C311" s="230"/>
      <c r="D311" s="231"/>
      <c r="E311" s="157"/>
      <c r="F311" s="12"/>
      <c r="G311" s="158"/>
    </row>
    <row r="312">
      <c r="A312" s="153"/>
      <c r="B312" s="229"/>
      <c r="C312" s="230"/>
      <c r="D312" s="231"/>
      <c r="E312" s="157"/>
      <c r="F312" s="12"/>
      <c r="G312" s="158"/>
    </row>
    <row r="313">
      <c r="A313" s="153"/>
      <c r="B313" s="229"/>
      <c r="C313" s="230"/>
      <c r="D313" s="231"/>
      <c r="E313" s="157"/>
      <c r="F313" s="12"/>
      <c r="G313" s="158"/>
    </row>
    <row r="314">
      <c r="A314" s="153"/>
      <c r="B314" s="229"/>
      <c r="C314" s="230"/>
      <c r="D314" s="231"/>
      <c r="E314" s="157"/>
      <c r="F314" s="12"/>
      <c r="G314" s="158"/>
    </row>
    <row r="315">
      <c r="A315" s="153"/>
      <c r="B315" s="229"/>
      <c r="C315" s="230"/>
      <c r="D315" s="231"/>
      <c r="E315" s="157"/>
      <c r="F315" s="12"/>
      <c r="G315" s="158"/>
    </row>
    <row r="316">
      <c r="A316" s="153"/>
      <c r="B316" s="229"/>
      <c r="C316" s="230"/>
      <c r="D316" s="231"/>
      <c r="E316" s="157"/>
      <c r="F316" s="12"/>
      <c r="G316" s="158"/>
    </row>
    <row r="317">
      <c r="A317" s="153"/>
      <c r="B317" s="229"/>
      <c r="C317" s="230"/>
      <c r="D317" s="231"/>
      <c r="E317" s="157"/>
      <c r="F317" s="12"/>
      <c r="G317" s="158"/>
    </row>
    <row r="318">
      <c r="A318" s="153"/>
      <c r="B318" s="229"/>
      <c r="C318" s="230"/>
      <c r="D318" s="231"/>
      <c r="E318" s="157"/>
      <c r="F318" s="12"/>
      <c r="G318" s="158"/>
    </row>
    <row r="319">
      <c r="A319" s="153"/>
      <c r="B319" s="229"/>
      <c r="C319" s="230"/>
      <c r="D319" s="231"/>
      <c r="E319" s="157"/>
      <c r="F319" s="12"/>
      <c r="G319" s="158"/>
    </row>
    <row r="320">
      <c r="A320" s="153"/>
      <c r="B320" s="229"/>
      <c r="C320" s="230"/>
      <c r="D320" s="231"/>
      <c r="E320" s="157"/>
      <c r="F320" s="12"/>
      <c r="G320" s="158"/>
    </row>
    <row r="321">
      <c r="A321" s="153"/>
      <c r="B321" s="229"/>
      <c r="C321" s="230"/>
      <c r="D321" s="231"/>
      <c r="E321" s="157"/>
      <c r="F321" s="12"/>
      <c r="G321" s="158"/>
    </row>
    <row r="322">
      <c r="A322" s="153"/>
      <c r="B322" s="229"/>
      <c r="C322" s="230"/>
      <c r="D322" s="231"/>
      <c r="E322" s="157"/>
      <c r="F322" s="12"/>
      <c r="G322" s="158"/>
    </row>
    <row r="323">
      <c r="A323" s="153"/>
      <c r="B323" s="229"/>
      <c r="C323" s="230"/>
      <c r="D323" s="231"/>
      <c r="E323" s="157"/>
      <c r="F323" s="12"/>
      <c r="G323" s="158"/>
    </row>
    <row r="324">
      <c r="A324" s="153"/>
      <c r="B324" s="229"/>
      <c r="C324" s="230"/>
      <c r="D324" s="231"/>
      <c r="E324" s="157"/>
      <c r="F324" s="12"/>
      <c r="G324" s="158"/>
    </row>
    <row r="325">
      <c r="A325" s="153"/>
      <c r="B325" s="229"/>
      <c r="C325" s="230"/>
      <c r="D325" s="231"/>
      <c r="E325" s="157"/>
      <c r="F325" s="12"/>
      <c r="G325" s="158"/>
    </row>
    <row r="326">
      <c r="A326" s="153"/>
      <c r="B326" s="229"/>
      <c r="C326" s="230"/>
      <c r="D326" s="231"/>
      <c r="E326" s="157"/>
      <c r="F326" s="12"/>
      <c r="G326" s="158"/>
    </row>
    <row r="327">
      <c r="A327" s="153"/>
      <c r="B327" s="229"/>
      <c r="C327" s="230"/>
      <c r="D327" s="231"/>
      <c r="E327" s="157"/>
      <c r="F327" s="12"/>
      <c r="G327" s="158"/>
    </row>
    <row r="328">
      <c r="A328" s="153"/>
      <c r="B328" s="229"/>
      <c r="C328" s="230"/>
      <c r="D328" s="231"/>
      <c r="E328" s="157"/>
      <c r="F328" s="12"/>
      <c r="G328" s="158"/>
    </row>
    <row r="329">
      <c r="A329" s="153"/>
      <c r="B329" s="229"/>
      <c r="C329" s="230"/>
      <c r="D329" s="231"/>
      <c r="E329" s="157"/>
      <c r="F329" s="12"/>
      <c r="G329" s="158"/>
    </row>
    <row r="330">
      <c r="A330" s="153"/>
      <c r="B330" s="229"/>
      <c r="C330" s="230"/>
      <c r="D330" s="231"/>
      <c r="E330" s="157"/>
      <c r="F330" s="12"/>
      <c r="G330" s="158"/>
    </row>
    <row r="331">
      <c r="A331" s="153"/>
      <c r="B331" s="229"/>
      <c r="C331" s="230"/>
      <c r="D331" s="231"/>
      <c r="E331" s="157"/>
      <c r="F331" s="12"/>
      <c r="G331" s="158"/>
    </row>
    <row r="332">
      <c r="A332" s="153"/>
      <c r="B332" s="229"/>
      <c r="C332" s="230"/>
      <c r="D332" s="231"/>
      <c r="E332" s="157"/>
      <c r="F332" s="12"/>
      <c r="G332" s="158"/>
    </row>
    <row r="333">
      <c r="A333" s="153"/>
      <c r="B333" s="229"/>
      <c r="C333" s="230"/>
      <c r="D333" s="231"/>
      <c r="E333" s="157"/>
      <c r="F333" s="12"/>
      <c r="G333" s="158"/>
    </row>
    <row r="334">
      <c r="A334" s="153"/>
      <c r="B334" s="229"/>
      <c r="C334" s="230"/>
      <c r="D334" s="231"/>
      <c r="E334" s="157"/>
      <c r="F334" s="12"/>
      <c r="G334" s="158"/>
    </row>
    <row r="335">
      <c r="A335" s="153"/>
      <c r="B335" s="229"/>
      <c r="C335" s="230"/>
      <c r="D335" s="231"/>
      <c r="E335" s="157"/>
      <c r="F335" s="12"/>
      <c r="G335" s="158"/>
    </row>
    <row r="336">
      <c r="A336" s="153"/>
      <c r="B336" s="229"/>
      <c r="C336" s="230"/>
      <c r="D336" s="231"/>
      <c r="E336" s="157"/>
      <c r="F336" s="12"/>
      <c r="G336" s="158"/>
    </row>
    <row r="337">
      <c r="A337" s="153"/>
      <c r="B337" s="229"/>
      <c r="C337" s="230"/>
      <c r="D337" s="231"/>
      <c r="E337" s="157"/>
      <c r="F337" s="12"/>
      <c r="G337" s="158"/>
    </row>
    <row r="338">
      <c r="A338" s="153"/>
      <c r="B338" s="229"/>
      <c r="C338" s="230"/>
      <c r="D338" s="231"/>
      <c r="E338" s="157"/>
      <c r="F338" s="12"/>
      <c r="G338" s="158"/>
    </row>
    <row r="339">
      <c r="A339" s="153"/>
      <c r="B339" s="229"/>
      <c r="C339" s="230"/>
      <c r="D339" s="231"/>
      <c r="E339" s="157"/>
      <c r="F339" s="12"/>
      <c r="G339" s="158"/>
    </row>
    <row r="340">
      <c r="A340" s="153"/>
      <c r="B340" s="229"/>
      <c r="C340" s="230"/>
      <c r="D340" s="231"/>
      <c r="E340" s="157"/>
      <c r="F340" s="12"/>
      <c r="G340" s="158"/>
    </row>
    <row r="341">
      <c r="A341" s="153"/>
      <c r="B341" s="229"/>
      <c r="C341" s="230"/>
      <c r="D341" s="231"/>
      <c r="E341" s="157"/>
      <c r="F341" s="12"/>
      <c r="G341" s="158"/>
    </row>
    <row r="342">
      <c r="A342" s="153"/>
      <c r="B342" s="229"/>
      <c r="C342" s="230"/>
      <c r="D342" s="231"/>
      <c r="E342" s="157"/>
      <c r="F342" s="12"/>
      <c r="G342" s="158"/>
    </row>
    <row r="343">
      <c r="A343" s="153"/>
      <c r="B343" s="229"/>
      <c r="C343" s="230"/>
      <c r="D343" s="231"/>
      <c r="E343" s="157"/>
      <c r="F343" s="12"/>
      <c r="G343" s="158"/>
    </row>
    <row r="344">
      <c r="A344" s="153"/>
      <c r="B344" s="229"/>
      <c r="C344" s="230"/>
      <c r="D344" s="231"/>
      <c r="E344" s="157"/>
      <c r="F344" s="12"/>
      <c r="G344" s="158"/>
    </row>
    <row r="345">
      <c r="A345" s="153"/>
      <c r="B345" s="229"/>
      <c r="C345" s="230"/>
      <c r="D345" s="231"/>
      <c r="E345" s="157"/>
      <c r="F345" s="12"/>
      <c r="G345" s="158"/>
    </row>
    <row r="346">
      <c r="A346" s="153"/>
      <c r="B346" s="229"/>
      <c r="C346" s="230"/>
      <c r="D346" s="231"/>
      <c r="E346" s="157"/>
      <c r="F346" s="12"/>
      <c r="G346" s="158"/>
    </row>
    <row r="347">
      <c r="A347" s="153"/>
      <c r="B347" s="229"/>
      <c r="C347" s="230"/>
      <c r="D347" s="231"/>
      <c r="E347" s="157"/>
      <c r="F347" s="12"/>
      <c r="G347" s="158"/>
    </row>
    <row r="348">
      <c r="A348" s="153"/>
      <c r="B348" s="229"/>
      <c r="C348" s="230"/>
      <c r="D348" s="231"/>
      <c r="E348" s="157"/>
      <c r="F348" s="12"/>
      <c r="G348" s="158"/>
    </row>
    <row r="349">
      <c r="A349" s="153"/>
      <c r="B349" s="229"/>
      <c r="C349" s="230"/>
      <c r="D349" s="231"/>
      <c r="E349" s="157"/>
      <c r="F349" s="12"/>
      <c r="G349" s="158"/>
    </row>
    <row r="350">
      <c r="A350" s="153"/>
      <c r="B350" s="229"/>
      <c r="C350" s="230"/>
      <c r="D350" s="231"/>
      <c r="E350" s="157"/>
      <c r="F350" s="12"/>
      <c r="G350" s="158"/>
    </row>
    <row r="351">
      <c r="A351" s="153"/>
      <c r="B351" s="229"/>
      <c r="C351" s="230"/>
      <c r="D351" s="231"/>
      <c r="E351" s="157"/>
      <c r="F351" s="12"/>
      <c r="G351" s="158"/>
    </row>
    <row r="352">
      <c r="A352" s="153"/>
      <c r="B352" s="229"/>
      <c r="C352" s="230"/>
      <c r="D352" s="231"/>
      <c r="E352" s="157"/>
      <c r="F352" s="12"/>
      <c r="G352" s="158"/>
    </row>
    <row r="353">
      <c r="A353" s="153"/>
      <c r="B353" s="229"/>
      <c r="C353" s="230"/>
      <c r="D353" s="231"/>
      <c r="E353" s="157"/>
      <c r="F353" s="12"/>
      <c r="G353" s="158"/>
    </row>
    <row r="354">
      <c r="A354" s="153"/>
      <c r="B354" s="229"/>
      <c r="C354" s="230"/>
      <c r="D354" s="231"/>
      <c r="E354" s="157"/>
      <c r="F354" s="12"/>
      <c r="G354" s="158"/>
    </row>
    <row r="355">
      <c r="A355" s="153"/>
      <c r="B355" s="229"/>
      <c r="C355" s="230"/>
      <c r="D355" s="231"/>
      <c r="E355" s="157"/>
      <c r="F355" s="12"/>
      <c r="G355" s="158"/>
    </row>
    <row r="356">
      <c r="A356" s="153"/>
      <c r="B356" s="229"/>
      <c r="C356" s="230"/>
      <c r="D356" s="231"/>
      <c r="E356" s="157"/>
      <c r="F356" s="12"/>
      <c r="G356" s="158"/>
    </row>
    <row r="357">
      <c r="A357" s="153"/>
      <c r="B357" s="229"/>
      <c r="C357" s="230"/>
      <c r="D357" s="231"/>
      <c r="E357" s="157"/>
      <c r="F357" s="12"/>
      <c r="G357" s="158"/>
    </row>
    <row r="358">
      <c r="A358" s="153"/>
      <c r="B358" s="229"/>
      <c r="C358" s="230"/>
      <c r="D358" s="231"/>
      <c r="E358" s="157"/>
      <c r="F358" s="12"/>
      <c r="G358" s="158"/>
    </row>
    <row r="359">
      <c r="A359" s="153"/>
      <c r="B359" s="229"/>
      <c r="C359" s="230"/>
      <c r="D359" s="231"/>
      <c r="E359" s="157"/>
      <c r="F359" s="12"/>
      <c r="G359" s="158"/>
    </row>
    <row r="360">
      <c r="A360" s="153"/>
      <c r="B360" s="229"/>
      <c r="C360" s="230"/>
      <c r="D360" s="231"/>
      <c r="E360" s="157"/>
      <c r="F360" s="12"/>
      <c r="G360" s="158"/>
    </row>
    <row r="361">
      <c r="A361" s="153"/>
      <c r="B361" s="229"/>
      <c r="C361" s="230"/>
      <c r="D361" s="231"/>
      <c r="E361" s="157"/>
      <c r="F361" s="12"/>
      <c r="G361" s="158"/>
    </row>
    <row r="362">
      <c r="A362" s="153"/>
      <c r="B362" s="229"/>
      <c r="C362" s="230"/>
      <c r="D362" s="231"/>
      <c r="E362" s="157"/>
      <c r="F362" s="12"/>
      <c r="G362" s="158"/>
    </row>
    <row r="363">
      <c r="A363" s="153"/>
      <c r="B363" s="229"/>
      <c r="C363" s="230"/>
      <c r="D363" s="231"/>
      <c r="E363" s="157"/>
      <c r="F363" s="12"/>
      <c r="G363" s="158"/>
    </row>
    <row r="364">
      <c r="A364" s="153"/>
      <c r="B364" s="229"/>
      <c r="C364" s="230"/>
      <c r="D364" s="231"/>
      <c r="E364" s="157"/>
      <c r="F364" s="12"/>
      <c r="G364" s="158"/>
    </row>
    <row r="365">
      <c r="A365" s="153"/>
      <c r="B365" s="229"/>
      <c r="C365" s="230"/>
      <c r="D365" s="231"/>
      <c r="E365" s="157"/>
      <c r="F365" s="12"/>
      <c r="G365" s="158"/>
    </row>
    <row r="366">
      <c r="A366" s="153"/>
      <c r="B366" s="229"/>
      <c r="C366" s="230"/>
      <c r="D366" s="231"/>
      <c r="E366" s="157"/>
      <c r="F366" s="12"/>
      <c r="G366" s="158"/>
    </row>
    <row r="367">
      <c r="A367" s="153"/>
      <c r="B367" s="229"/>
      <c r="C367" s="230"/>
      <c r="D367" s="231"/>
      <c r="E367" s="157"/>
      <c r="F367" s="12"/>
      <c r="G367" s="158"/>
    </row>
    <row r="368">
      <c r="A368" s="153"/>
      <c r="B368" s="229"/>
      <c r="C368" s="230"/>
      <c r="D368" s="231"/>
      <c r="E368" s="157"/>
      <c r="F368" s="12"/>
      <c r="G368" s="158"/>
    </row>
    <row r="369">
      <c r="A369" s="153"/>
      <c r="B369" s="229"/>
      <c r="C369" s="230"/>
      <c r="D369" s="231"/>
      <c r="E369" s="157"/>
      <c r="F369" s="12"/>
      <c r="G369" s="158"/>
    </row>
    <row r="370">
      <c r="A370" s="153"/>
      <c r="B370" s="229"/>
      <c r="C370" s="230"/>
      <c r="D370" s="231"/>
      <c r="E370" s="157"/>
      <c r="F370" s="12"/>
      <c r="G370" s="158"/>
    </row>
    <row r="371">
      <c r="A371" s="153"/>
      <c r="B371" s="229"/>
      <c r="C371" s="230"/>
      <c r="D371" s="231"/>
      <c r="E371" s="157"/>
      <c r="F371" s="12"/>
      <c r="G371" s="158"/>
    </row>
    <row r="372">
      <c r="A372" s="153"/>
      <c r="B372" s="229"/>
      <c r="C372" s="230"/>
      <c r="D372" s="231"/>
      <c r="E372" s="157"/>
      <c r="F372" s="12"/>
      <c r="G372" s="158"/>
    </row>
    <row r="373">
      <c r="A373" s="153"/>
      <c r="B373" s="229"/>
      <c r="C373" s="230"/>
      <c r="D373" s="231"/>
      <c r="E373" s="157"/>
      <c r="F373" s="12"/>
      <c r="G373" s="158"/>
    </row>
    <row r="374">
      <c r="A374" s="153"/>
      <c r="B374" s="229"/>
      <c r="C374" s="230"/>
      <c r="D374" s="231"/>
      <c r="E374" s="157"/>
      <c r="F374" s="12"/>
      <c r="G374" s="158"/>
    </row>
    <row r="375">
      <c r="A375" s="153"/>
      <c r="B375" s="229"/>
      <c r="C375" s="230"/>
      <c r="D375" s="231"/>
      <c r="E375" s="157"/>
      <c r="F375" s="12"/>
      <c r="G375" s="158"/>
    </row>
    <row r="376">
      <c r="A376" s="153"/>
      <c r="B376" s="229"/>
      <c r="C376" s="230"/>
      <c r="D376" s="231"/>
      <c r="E376" s="157"/>
      <c r="F376" s="12"/>
      <c r="G376" s="158"/>
    </row>
    <row r="377">
      <c r="A377" s="153"/>
      <c r="B377" s="229"/>
      <c r="C377" s="230"/>
      <c r="D377" s="231"/>
      <c r="E377" s="157"/>
      <c r="F377" s="12"/>
      <c r="G377" s="158"/>
    </row>
    <row r="378">
      <c r="A378" s="153"/>
      <c r="B378" s="229"/>
      <c r="C378" s="230"/>
      <c r="D378" s="231"/>
      <c r="E378" s="157"/>
      <c r="F378" s="12"/>
      <c r="G378" s="158"/>
    </row>
    <row r="379">
      <c r="A379" s="153"/>
      <c r="B379" s="229"/>
      <c r="C379" s="230"/>
      <c r="D379" s="231"/>
      <c r="E379" s="157"/>
      <c r="F379" s="12"/>
      <c r="G379" s="158"/>
    </row>
    <row r="380">
      <c r="A380" s="153"/>
      <c r="B380" s="229"/>
      <c r="C380" s="230"/>
      <c r="D380" s="231"/>
      <c r="E380" s="157"/>
      <c r="F380" s="12"/>
      <c r="G380" s="158"/>
    </row>
    <row r="381">
      <c r="A381" s="153"/>
      <c r="B381" s="229"/>
      <c r="C381" s="230"/>
      <c r="D381" s="231"/>
      <c r="E381" s="157"/>
      <c r="F381" s="12"/>
      <c r="G381" s="158"/>
    </row>
    <row r="382">
      <c r="A382" s="153"/>
      <c r="B382" s="229"/>
      <c r="C382" s="230"/>
      <c r="D382" s="231"/>
      <c r="E382" s="157"/>
      <c r="F382" s="12"/>
      <c r="G382" s="158"/>
    </row>
    <row r="383">
      <c r="A383" s="153"/>
      <c r="B383" s="229"/>
      <c r="C383" s="230"/>
      <c r="D383" s="231"/>
      <c r="E383" s="157"/>
      <c r="F383" s="12"/>
      <c r="G383" s="158"/>
    </row>
    <row r="384">
      <c r="A384" s="153"/>
      <c r="B384" s="229"/>
      <c r="C384" s="230"/>
      <c r="D384" s="231"/>
      <c r="E384" s="157"/>
      <c r="F384" s="12"/>
      <c r="G384" s="158"/>
    </row>
    <row r="385">
      <c r="A385" s="153"/>
      <c r="B385" s="229"/>
      <c r="C385" s="230"/>
      <c r="D385" s="231"/>
      <c r="E385" s="157"/>
      <c r="F385" s="12"/>
      <c r="G385" s="158"/>
    </row>
    <row r="386">
      <c r="A386" s="153"/>
      <c r="B386" s="229"/>
      <c r="C386" s="230"/>
      <c r="D386" s="231"/>
      <c r="E386" s="157"/>
      <c r="F386" s="12"/>
      <c r="G386" s="158"/>
    </row>
    <row r="387">
      <c r="A387" s="153"/>
      <c r="B387" s="229"/>
      <c r="C387" s="230"/>
      <c r="D387" s="231"/>
      <c r="E387" s="157"/>
      <c r="F387" s="12"/>
      <c r="G387" s="158"/>
    </row>
    <row r="388">
      <c r="A388" s="153"/>
      <c r="B388" s="229"/>
      <c r="C388" s="230"/>
      <c r="D388" s="231"/>
      <c r="E388" s="157"/>
      <c r="F388" s="12"/>
      <c r="G388" s="158"/>
    </row>
    <row r="389">
      <c r="A389" s="153"/>
      <c r="B389" s="229"/>
      <c r="C389" s="230"/>
      <c r="D389" s="231"/>
      <c r="E389" s="157"/>
      <c r="F389" s="12"/>
      <c r="G389" s="158"/>
    </row>
    <row r="390">
      <c r="A390" s="153"/>
      <c r="B390" s="229"/>
      <c r="C390" s="230"/>
      <c r="D390" s="231"/>
      <c r="E390" s="157"/>
      <c r="F390" s="12"/>
      <c r="G390" s="158"/>
    </row>
    <row r="391">
      <c r="A391" s="153"/>
      <c r="B391" s="229"/>
      <c r="C391" s="230"/>
      <c r="D391" s="231"/>
      <c r="E391" s="157"/>
      <c r="F391" s="12"/>
      <c r="G391" s="158"/>
    </row>
    <row r="392">
      <c r="A392" s="153"/>
      <c r="B392" s="229"/>
      <c r="C392" s="230"/>
      <c r="D392" s="231"/>
      <c r="E392" s="157"/>
      <c r="F392" s="12"/>
      <c r="G392" s="158"/>
    </row>
    <row r="393">
      <c r="A393" s="153"/>
      <c r="B393" s="229"/>
      <c r="C393" s="230"/>
      <c r="D393" s="231"/>
      <c r="E393" s="157"/>
      <c r="F393" s="12"/>
      <c r="G393" s="158"/>
    </row>
    <row r="394">
      <c r="A394" s="153"/>
      <c r="B394" s="229"/>
      <c r="C394" s="230"/>
      <c r="D394" s="231"/>
      <c r="E394" s="157"/>
      <c r="F394" s="12"/>
      <c r="G394" s="158"/>
    </row>
    <row r="395">
      <c r="A395" s="153"/>
      <c r="B395" s="229"/>
      <c r="C395" s="230"/>
      <c r="D395" s="231"/>
      <c r="E395" s="157"/>
      <c r="F395" s="12"/>
      <c r="G395" s="158"/>
    </row>
    <row r="396">
      <c r="A396" s="153"/>
      <c r="B396" s="229"/>
      <c r="C396" s="230"/>
      <c r="D396" s="231"/>
      <c r="E396" s="157"/>
      <c r="F396" s="12"/>
      <c r="G396" s="158"/>
    </row>
    <row r="397">
      <c r="A397" s="153"/>
      <c r="B397" s="229"/>
      <c r="C397" s="230"/>
      <c r="D397" s="231"/>
      <c r="E397" s="157"/>
      <c r="F397" s="12"/>
      <c r="G397" s="158"/>
    </row>
    <row r="398">
      <c r="A398" s="153"/>
      <c r="B398" s="229"/>
      <c r="C398" s="230"/>
      <c r="D398" s="231"/>
      <c r="E398" s="157"/>
      <c r="F398" s="12"/>
      <c r="G398" s="158"/>
    </row>
    <row r="399">
      <c r="A399" s="153"/>
      <c r="B399" s="229"/>
      <c r="C399" s="230"/>
      <c r="D399" s="231"/>
      <c r="E399" s="157"/>
      <c r="F399" s="12"/>
      <c r="G399" s="158"/>
    </row>
    <row r="400">
      <c r="A400" s="153"/>
      <c r="B400" s="229"/>
      <c r="C400" s="230"/>
      <c r="D400" s="231"/>
      <c r="E400" s="157"/>
      <c r="F400" s="12"/>
      <c r="G400" s="158"/>
    </row>
    <row r="401">
      <c r="A401" s="153"/>
      <c r="B401" s="229"/>
      <c r="C401" s="230"/>
      <c r="D401" s="231"/>
      <c r="E401" s="157"/>
      <c r="F401" s="12"/>
      <c r="G401" s="158"/>
    </row>
    <row r="402">
      <c r="A402" s="153"/>
      <c r="B402" s="229"/>
      <c r="C402" s="230"/>
      <c r="D402" s="231"/>
      <c r="E402" s="157"/>
      <c r="F402" s="12"/>
      <c r="G402" s="158"/>
    </row>
    <row r="403">
      <c r="A403" s="153"/>
      <c r="B403" s="229"/>
      <c r="C403" s="230"/>
      <c r="D403" s="231"/>
      <c r="E403" s="157"/>
      <c r="F403" s="12"/>
      <c r="G403" s="158"/>
    </row>
    <row r="404">
      <c r="A404" s="153"/>
      <c r="B404" s="229"/>
      <c r="C404" s="230"/>
      <c r="D404" s="231"/>
      <c r="E404" s="157"/>
      <c r="F404" s="12"/>
      <c r="G404" s="158"/>
    </row>
    <row r="405">
      <c r="A405" s="153"/>
      <c r="B405" s="229"/>
      <c r="C405" s="230"/>
      <c r="D405" s="231"/>
      <c r="E405" s="157"/>
      <c r="F405" s="12"/>
      <c r="G405" s="158"/>
    </row>
    <row r="406">
      <c r="A406" s="153"/>
      <c r="B406" s="229"/>
      <c r="C406" s="230"/>
      <c r="D406" s="231"/>
      <c r="E406" s="157"/>
      <c r="F406" s="12"/>
      <c r="G406" s="158"/>
    </row>
    <row r="407">
      <c r="A407" s="153"/>
      <c r="B407" s="229"/>
      <c r="C407" s="230"/>
      <c r="D407" s="231"/>
      <c r="E407" s="157"/>
      <c r="F407" s="12"/>
      <c r="G407" s="158"/>
    </row>
    <row r="408">
      <c r="A408" s="153"/>
      <c r="B408" s="229"/>
      <c r="C408" s="230"/>
      <c r="D408" s="231"/>
      <c r="E408" s="157"/>
      <c r="F408" s="12"/>
      <c r="G408" s="158"/>
    </row>
    <row r="409">
      <c r="A409" s="153"/>
      <c r="B409" s="229"/>
      <c r="C409" s="230"/>
      <c r="D409" s="231"/>
      <c r="E409" s="157"/>
      <c r="F409" s="12"/>
      <c r="G409" s="158"/>
    </row>
    <row r="410">
      <c r="A410" s="153"/>
      <c r="B410" s="229"/>
      <c r="C410" s="230"/>
      <c r="D410" s="231"/>
      <c r="E410" s="157"/>
      <c r="F410" s="12"/>
      <c r="G410" s="158"/>
    </row>
    <row r="411">
      <c r="A411" s="153"/>
      <c r="B411" s="229"/>
      <c r="C411" s="230"/>
      <c r="D411" s="231"/>
      <c r="E411" s="157"/>
      <c r="F411" s="12"/>
      <c r="G411" s="158"/>
    </row>
    <row r="412">
      <c r="A412" s="153"/>
      <c r="B412" s="229"/>
      <c r="C412" s="230"/>
      <c r="D412" s="231"/>
      <c r="E412" s="157"/>
      <c r="F412" s="12"/>
      <c r="G412" s="158"/>
    </row>
    <row r="413">
      <c r="A413" s="153"/>
      <c r="B413" s="229"/>
      <c r="C413" s="230"/>
      <c r="D413" s="231"/>
      <c r="E413" s="157"/>
      <c r="F413" s="12"/>
      <c r="G413" s="158"/>
    </row>
    <row r="414">
      <c r="A414" s="153"/>
      <c r="B414" s="229"/>
      <c r="C414" s="230"/>
      <c r="D414" s="231"/>
      <c r="E414" s="157"/>
      <c r="F414" s="12"/>
      <c r="G414" s="158"/>
    </row>
    <row r="415">
      <c r="A415" s="153"/>
      <c r="B415" s="229"/>
      <c r="C415" s="230"/>
      <c r="D415" s="231"/>
      <c r="E415" s="157"/>
      <c r="F415" s="12"/>
      <c r="G415" s="158"/>
    </row>
    <row r="416">
      <c r="A416" s="153"/>
      <c r="B416" s="229"/>
      <c r="C416" s="230"/>
      <c r="D416" s="231"/>
      <c r="E416" s="157"/>
      <c r="F416" s="12"/>
      <c r="G416" s="158"/>
    </row>
    <row r="417">
      <c r="A417" s="153"/>
      <c r="B417" s="229"/>
      <c r="C417" s="230"/>
      <c r="D417" s="231"/>
      <c r="E417" s="157"/>
      <c r="F417" s="12"/>
      <c r="G417" s="158"/>
    </row>
    <row r="418">
      <c r="A418" s="153"/>
      <c r="B418" s="229"/>
      <c r="C418" s="230"/>
      <c r="D418" s="231"/>
      <c r="E418" s="157"/>
      <c r="F418" s="12"/>
      <c r="G418" s="158"/>
    </row>
    <row r="419">
      <c r="A419" s="153"/>
      <c r="B419" s="229"/>
      <c r="C419" s="230"/>
      <c r="D419" s="231"/>
      <c r="E419" s="157"/>
      <c r="F419" s="12"/>
      <c r="G419" s="158"/>
    </row>
    <row r="420">
      <c r="A420" s="153"/>
      <c r="B420" s="229"/>
      <c r="C420" s="230"/>
      <c r="D420" s="231"/>
      <c r="E420" s="157"/>
      <c r="F420" s="12"/>
      <c r="G420" s="158"/>
    </row>
    <row r="421">
      <c r="A421" s="153"/>
      <c r="B421" s="229"/>
      <c r="C421" s="230"/>
      <c r="D421" s="231"/>
      <c r="E421" s="157"/>
      <c r="F421" s="12"/>
      <c r="G421" s="158"/>
    </row>
    <row r="422">
      <c r="A422" s="153"/>
      <c r="B422" s="229"/>
      <c r="C422" s="230"/>
      <c r="D422" s="231"/>
      <c r="E422" s="157"/>
      <c r="F422" s="12"/>
      <c r="G422" s="158"/>
    </row>
    <row r="423">
      <c r="A423" s="153"/>
      <c r="B423" s="229"/>
      <c r="C423" s="230"/>
      <c r="D423" s="231"/>
      <c r="E423" s="157"/>
      <c r="F423" s="12"/>
      <c r="G423" s="158"/>
    </row>
    <row r="424">
      <c r="A424" s="153"/>
      <c r="B424" s="229"/>
      <c r="C424" s="230"/>
      <c r="D424" s="231"/>
      <c r="E424" s="157"/>
      <c r="F424" s="12"/>
      <c r="G424" s="158"/>
    </row>
    <row r="425">
      <c r="A425" s="153"/>
      <c r="B425" s="229"/>
      <c r="C425" s="230"/>
      <c r="D425" s="231"/>
      <c r="E425" s="157"/>
      <c r="F425" s="12"/>
      <c r="G425" s="158"/>
    </row>
    <row r="426">
      <c r="A426" s="153"/>
      <c r="B426" s="229"/>
      <c r="C426" s="230"/>
      <c r="D426" s="231"/>
      <c r="E426" s="157"/>
      <c r="F426" s="12"/>
      <c r="G426" s="158"/>
    </row>
    <row r="427">
      <c r="A427" s="153"/>
      <c r="B427" s="229"/>
      <c r="C427" s="230"/>
      <c r="D427" s="231"/>
      <c r="E427" s="157"/>
      <c r="F427" s="12"/>
      <c r="G427" s="158"/>
    </row>
    <row r="428">
      <c r="A428" s="153"/>
      <c r="B428" s="229"/>
      <c r="C428" s="230"/>
      <c r="D428" s="231"/>
      <c r="E428" s="157"/>
      <c r="F428" s="12"/>
      <c r="G428" s="158"/>
    </row>
    <row r="429">
      <c r="A429" s="153"/>
      <c r="B429" s="229"/>
      <c r="C429" s="230"/>
      <c r="D429" s="231"/>
      <c r="E429" s="157"/>
      <c r="F429" s="12"/>
      <c r="G429" s="158"/>
    </row>
    <row r="430">
      <c r="A430" s="153"/>
      <c r="B430" s="229"/>
      <c r="C430" s="230"/>
      <c r="D430" s="231"/>
      <c r="E430" s="157"/>
      <c r="F430" s="12"/>
      <c r="G430" s="158"/>
    </row>
    <row r="431">
      <c r="A431" s="153"/>
      <c r="B431" s="229"/>
      <c r="C431" s="230"/>
      <c r="D431" s="231"/>
      <c r="E431" s="157"/>
      <c r="F431" s="12"/>
      <c r="G431" s="158"/>
    </row>
    <row r="432">
      <c r="A432" s="153"/>
      <c r="B432" s="229"/>
      <c r="C432" s="230"/>
      <c r="D432" s="231"/>
      <c r="E432" s="157"/>
      <c r="F432" s="12"/>
      <c r="G432" s="158"/>
    </row>
    <row r="433">
      <c r="A433" s="153"/>
      <c r="B433" s="229"/>
      <c r="C433" s="230"/>
      <c r="D433" s="231"/>
      <c r="E433" s="157"/>
      <c r="F433" s="12"/>
      <c r="G433" s="158"/>
    </row>
    <row r="434">
      <c r="A434" s="153"/>
      <c r="B434" s="229"/>
      <c r="C434" s="230"/>
      <c r="D434" s="231"/>
      <c r="E434" s="157"/>
      <c r="F434" s="12"/>
      <c r="G434" s="158"/>
    </row>
    <row r="435">
      <c r="A435" s="153"/>
      <c r="B435" s="229"/>
      <c r="C435" s="230"/>
      <c r="D435" s="231"/>
      <c r="E435" s="157"/>
      <c r="F435" s="12"/>
      <c r="G435" s="158"/>
    </row>
    <row r="436">
      <c r="A436" s="153"/>
      <c r="B436" s="229"/>
      <c r="C436" s="230"/>
      <c r="D436" s="231"/>
      <c r="E436" s="157"/>
      <c r="F436" s="12"/>
      <c r="G436" s="158"/>
    </row>
    <row r="437">
      <c r="A437" s="153"/>
      <c r="B437" s="229"/>
      <c r="C437" s="230"/>
      <c r="D437" s="231"/>
      <c r="E437" s="157"/>
      <c r="F437" s="12"/>
      <c r="G437" s="158"/>
    </row>
    <row r="438">
      <c r="A438" s="153"/>
      <c r="B438" s="229"/>
      <c r="C438" s="230"/>
      <c r="D438" s="231"/>
      <c r="E438" s="157"/>
      <c r="F438" s="12"/>
      <c r="G438" s="158"/>
    </row>
    <row r="439">
      <c r="A439" s="153"/>
      <c r="B439" s="229"/>
      <c r="C439" s="230"/>
      <c r="D439" s="231"/>
      <c r="E439" s="157"/>
      <c r="F439" s="12"/>
      <c r="G439" s="158"/>
    </row>
    <row r="440">
      <c r="A440" s="153"/>
      <c r="B440" s="229"/>
      <c r="C440" s="230"/>
      <c r="D440" s="231"/>
      <c r="E440" s="157"/>
      <c r="F440" s="12"/>
      <c r="G440" s="158"/>
    </row>
    <row r="441">
      <c r="A441" s="153"/>
      <c r="B441" s="229"/>
      <c r="C441" s="230"/>
      <c r="D441" s="231"/>
      <c r="E441" s="157"/>
      <c r="F441" s="12"/>
      <c r="G441" s="158"/>
    </row>
    <row r="442">
      <c r="A442" s="153"/>
      <c r="B442" s="229"/>
      <c r="C442" s="230"/>
      <c r="D442" s="231"/>
      <c r="E442" s="157"/>
      <c r="F442" s="12"/>
      <c r="G442" s="158"/>
    </row>
    <row r="443">
      <c r="A443" s="153"/>
      <c r="B443" s="229"/>
      <c r="C443" s="230"/>
      <c r="D443" s="231"/>
      <c r="E443" s="157"/>
      <c r="F443" s="12"/>
      <c r="G443" s="158"/>
    </row>
    <row r="444">
      <c r="A444" s="153"/>
      <c r="B444" s="229"/>
      <c r="C444" s="230"/>
      <c r="D444" s="231"/>
      <c r="E444" s="157"/>
      <c r="F444" s="12"/>
      <c r="G444" s="158"/>
    </row>
    <row r="445">
      <c r="A445" s="153"/>
      <c r="B445" s="229"/>
      <c r="C445" s="230"/>
      <c r="D445" s="231"/>
      <c r="E445" s="157"/>
      <c r="F445" s="12"/>
      <c r="G445" s="158"/>
    </row>
    <row r="446">
      <c r="A446" s="153"/>
      <c r="B446" s="229"/>
      <c r="C446" s="230"/>
      <c r="D446" s="231"/>
      <c r="E446" s="157"/>
      <c r="F446" s="12"/>
      <c r="G446" s="158"/>
    </row>
    <row r="447">
      <c r="A447" s="153"/>
      <c r="B447" s="229"/>
      <c r="C447" s="230"/>
      <c r="D447" s="231"/>
      <c r="E447" s="157"/>
      <c r="F447" s="12"/>
      <c r="G447" s="158"/>
    </row>
    <row r="448">
      <c r="A448" s="153"/>
      <c r="B448" s="229"/>
      <c r="C448" s="230"/>
      <c r="D448" s="231"/>
      <c r="E448" s="157"/>
      <c r="F448" s="12"/>
      <c r="G448" s="158"/>
    </row>
    <row r="449">
      <c r="A449" s="153"/>
      <c r="B449" s="229"/>
      <c r="C449" s="230"/>
      <c r="D449" s="231"/>
      <c r="E449" s="157"/>
      <c r="F449" s="12"/>
      <c r="G449" s="158"/>
    </row>
    <row r="450">
      <c r="A450" s="153"/>
      <c r="B450" s="229"/>
      <c r="C450" s="230"/>
      <c r="D450" s="231"/>
      <c r="E450" s="157"/>
      <c r="F450" s="12"/>
      <c r="G450" s="158"/>
    </row>
    <row r="451">
      <c r="A451" s="153"/>
      <c r="B451" s="229"/>
      <c r="C451" s="230"/>
      <c r="D451" s="231"/>
      <c r="E451" s="157"/>
      <c r="F451" s="12"/>
      <c r="G451" s="158"/>
    </row>
    <row r="452">
      <c r="A452" s="153"/>
      <c r="B452" s="229"/>
      <c r="C452" s="230"/>
      <c r="D452" s="231"/>
      <c r="E452" s="157"/>
      <c r="F452" s="12"/>
      <c r="G452" s="158"/>
    </row>
    <row r="453">
      <c r="A453" s="153"/>
      <c r="B453" s="229"/>
      <c r="C453" s="230"/>
      <c r="D453" s="231"/>
      <c r="E453" s="157"/>
      <c r="F453" s="12"/>
      <c r="G453" s="158"/>
    </row>
    <row r="454">
      <c r="A454" s="153"/>
      <c r="B454" s="229"/>
      <c r="C454" s="230"/>
      <c r="D454" s="231"/>
      <c r="E454" s="157"/>
      <c r="F454" s="12"/>
      <c r="G454" s="158"/>
    </row>
    <row r="455">
      <c r="A455" s="153"/>
      <c r="B455" s="229"/>
      <c r="C455" s="230"/>
      <c r="D455" s="231"/>
      <c r="E455" s="157"/>
      <c r="F455" s="12"/>
      <c r="G455" s="158"/>
    </row>
    <row r="456">
      <c r="A456" s="153"/>
      <c r="B456" s="229"/>
      <c r="C456" s="230"/>
      <c r="D456" s="231"/>
      <c r="E456" s="157"/>
      <c r="F456" s="12"/>
      <c r="G456" s="158"/>
    </row>
    <row r="457">
      <c r="A457" s="153"/>
      <c r="B457" s="229"/>
      <c r="C457" s="230"/>
      <c r="D457" s="231"/>
      <c r="E457" s="157"/>
      <c r="F457" s="12"/>
      <c r="G457" s="158"/>
    </row>
    <row r="458">
      <c r="A458" s="153"/>
      <c r="B458" s="229"/>
      <c r="C458" s="230"/>
      <c r="D458" s="231"/>
      <c r="E458" s="157"/>
      <c r="F458" s="12"/>
      <c r="G458" s="158"/>
    </row>
    <row r="459">
      <c r="A459" s="153"/>
      <c r="B459" s="229"/>
      <c r="C459" s="230"/>
      <c r="D459" s="231"/>
      <c r="E459" s="157"/>
      <c r="F459" s="12"/>
      <c r="G459" s="158"/>
    </row>
    <row r="460">
      <c r="A460" s="153"/>
      <c r="B460" s="229"/>
      <c r="C460" s="230"/>
      <c r="D460" s="231"/>
      <c r="E460" s="157"/>
      <c r="F460" s="12"/>
      <c r="G460" s="158"/>
    </row>
    <row r="461">
      <c r="A461" s="153"/>
      <c r="B461" s="229"/>
      <c r="C461" s="230"/>
      <c r="D461" s="231"/>
      <c r="E461" s="157"/>
      <c r="F461" s="12"/>
      <c r="G461" s="158"/>
    </row>
    <row r="462">
      <c r="A462" s="153"/>
      <c r="B462" s="229"/>
      <c r="C462" s="230"/>
      <c r="D462" s="231"/>
      <c r="E462" s="157"/>
      <c r="F462" s="12"/>
      <c r="G462" s="158"/>
    </row>
    <row r="463">
      <c r="A463" s="153"/>
      <c r="B463" s="229"/>
      <c r="C463" s="230"/>
      <c r="D463" s="231"/>
      <c r="E463" s="157"/>
      <c r="F463" s="12"/>
      <c r="G463" s="158"/>
    </row>
    <row r="464">
      <c r="A464" s="153"/>
      <c r="B464" s="229"/>
      <c r="C464" s="230"/>
      <c r="D464" s="231"/>
      <c r="E464" s="157"/>
      <c r="F464" s="12"/>
      <c r="G464" s="158"/>
    </row>
    <row r="465">
      <c r="A465" s="153"/>
      <c r="B465" s="229"/>
      <c r="C465" s="230"/>
      <c r="D465" s="231"/>
      <c r="E465" s="157"/>
      <c r="F465" s="12"/>
      <c r="G465" s="158"/>
    </row>
    <row r="466">
      <c r="A466" s="153"/>
      <c r="B466" s="229"/>
      <c r="C466" s="230"/>
      <c r="D466" s="231"/>
      <c r="E466" s="157"/>
      <c r="F466" s="12"/>
      <c r="G466" s="158"/>
    </row>
    <row r="467">
      <c r="A467" s="153"/>
      <c r="B467" s="229"/>
      <c r="C467" s="230"/>
      <c r="D467" s="231"/>
      <c r="E467" s="157"/>
      <c r="F467" s="12"/>
      <c r="G467" s="158"/>
    </row>
    <row r="468">
      <c r="A468" s="153"/>
      <c r="B468" s="229"/>
      <c r="C468" s="230"/>
      <c r="D468" s="231"/>
      <c r="E468" s="157"/>
      <c r="F468" s="12"/>
      <c r="G468" s="158"/>
    </row>
    <row r="469">
      <c r="A469" s="153"/>
      <c r="B469" s="229"/>
      <c r="C469" s="230"/>
      <c r="D469" s="231"/>
      <c r="E469" s="157"/>
      <c r="F469" s="12"/>
      <c r="G469" s="158"/>
    </row>
    <row r="470">
      <c r="A470" s="153"/>
      <c r="B470" s="229"/>
      <c r="C470" s="230"/>
      <c r="D470" s="231"/>
      <c r="E470" s="157"/>
      <c r="F470" s="12"/>
      <c r="G470" s="158"/>
    </row>
    <row r="471">
      <c r="A471" s="153"/>
      <c r="B471" s="229"/>
      <c r="C471" s="230"/>
      <c r="D471" s="231"/>
      <c r="E471" s="157"/>
      <c r="F471" s="12"/>
      <c r="G471" s="158"/>
    </row>
    <row r="472">
      <c r="A472" s="153"/>
      <c r="B472" s="229"/>
      <c r="C472" s="230"/>
      <c r="D472" s="231"/>
      <c r="E472" s="157"/>
      <c r="F472" s="12"/>
      <c r="G472" s="158"/>
    </row>
    <row r="473">
      <c r="A473" s="153"/>
      <c r="B473" s="229"/>
      <c r="C473" s="230"/>
      <c r="D473" s="231"/>
      <c r="E473" s="157"/>
      <c r="F473" s="12"/>
      <c r="G473" s="158"/>
    </row>
    <row r="474">
      <c r="A474" s="153"/>
      <c r="B474" s="229"/>
      <c r="C474" s="230"/>
      <c r="D474" s="231"/>
      <c r="E474" s="157"/>
      <c r="F474" s="12"/>
      <c r="G474" s="158"/>
    </row>
    <row r="475">
      <c r="A475" s="153"/>
      <c r="B475" s="229"/>
      <c r="C475" s="230"/>
      <c r="D475" s="231"/>
      <c r="E475" s="157"/>
      <c r="F475" s="12"/>
      <c r="G475" s="158"/>
    </row>
    <row r="476">
      <c r="A476" s="153"/>
      <c r="B476" s="229"/>
      <c r="C476" s="230"/>
      <c r="D476" s="231"/>
      <c r="E476" s="157"/>
      <c r="F476" s="12"/>
      <c r="G476" s="158"/>
    </row>
    <row r="477">
      <c r="A477" s="153"/>
      <c r="B477" s="229"/>
      <c r="C477" s="230"/>
      <c r="D477" s="231"/>
      <c r="E477" s="157"/>
      <c r="F477" s="12"/>
      <c r="G477" s="158"/>
    </row>
    <row r="478">
      <c r="A478" s="153"/>
      <c r="B478" s="229"/>
      <c r="C478" s="230"/>
      <c r="D478" s="231"/>
      <c r="E478" s="157"/>
      <c r="F478" s="12"/>
      <c r="G478" s="158"/>
    </row>
    <row r="479">
      <c r="A479" s="153"/>
      <c r="B479" s="229"/>
      <c r="C479" s="230"/>
      <c r="D479" s="231"/>
      <c r="E479" s="157"/>
      <c r="F479" s="12"/>
      <c r="G479" s="158"/>
    </row>
    <row r="480">
      <c r="A480" s="153"/>
      <c r="B480" s="229"/>
      <c r="C480" s="230"/>
      <c r="D480" s="231"/>
      <c r="E480" s="157"/>
      <c r="F480" s="12"/>
      <c r="G480" s="158"/>
    </row>
    <row r="481">
      <c r="A481" s="153"/>
      <c r="B481" s="229"/>
      <c r="C481" s="230"/>
      <c r="D481" s="231"/>
      <c r="E481" s="157"/>
      <c r="F481" s="12"/>
      <c r="G481" s="158"/>
    </row>
    <row r="482">
      <c r="A482" s="153"/>
      <c r="B482" s="229"/>
      <c r="C482" s="230"/>
      <c r="D482" s="231"/>
      <c r="E482" s="157"/>
      <c r="F482" s="12"/>
      <c r="G482" s="158"/>
    </row>
    <row r="483">
      <c r="A483" s="153"/>
      <c r="B483" s="229"/>
      <c r="C483" s="230"/>
      <c r="D483" s="231"/>
      <c r="E483" s="157"/>
      <c r="F483" s="12"/>
      <c r="G483" s="158"/>
    </row>
    <row r="484">
      <c r="A484" s="153"/>
      <c r="B484" s="229"/>
      <c r="C484" s="230"/>
      <c r="D484" s="231"/>
      <c r="E484" s="157"/>
      <c r="F484" s="12"/>
      <c r="G484" s="158"/>
    </row>
    <row r="485">
      <c r="A485" s="153"/>
      <c r="B485" s="229"/>
      <c r="C485" s="230"/>
      <c r="D485" s="231"/>
      <c r="E485" s="157"/>
      <c r="F485" s="12"/>
      <c r="G485" s="158"/>
    </row>
    <row r="486">
      <c r="A486" s="153"/>
      <c r="B486" s="229"/>
      <c r="C486" s="230"/>
      <c r="D486" s="231"/>
      <c r="E486" s="157"/>
      <c r="F486" s="12"/>
      <c r="G486" s="158"/>
    </row>
    <row r="487">
      <c r="A487" s="153"/>
      <c r="B487" s="229"/>
      <c r="C487" s="230"/>
      <c r="D487" s="231"/>
      <c r="E487" s="157"/>
      <c r="F487" s="12"/>
      <c r="G487" s="158"/>
    </row>
    <row r="488">
      <c r="A488" s="153"/>
      <c r="B488" s="229"/>
      <c r="C488" s="230"/>
      <c r="D488" s="231"/>
      <c r="E488" s="157"/>
      <c r="F488" s="12"/>
      <c r="G488" s="158"/>
    </row>
    <row r="489">
      <c r="A489" s="153"/>
      <c r="B489" s="229"/>
      <c r="C489" s="230"/>
      <c r="D489" s="231"/>
      <c r="E489" s="157"/>
      <c r="F489" s="12"/>
      <c r="G489" s="158"/>
    </row>
    <row r="490">
      <c r="A490" s="153"/>
      <c r="B490" s="229"/>
      <c r="C490" s="230"/>
      <c r="D490" s="231"/>
      <c r="E490" s="157"/>
      <c r="F490" s="12"/>
      <c r="G490" s="158"/>
    </row>
    <row r="491">
      <c r="A491" s="153"/>
      <c r="B491" s="229"/>
      <c r="C491" s="230"/>
      <c r="D491" s="231"/>
      <c r="E491" s="157"/>
      <c r="F491" s="12"/>
      <c r="G491" s="158"/>
    </row>
    <row r="492">
      <c r="A492" s="153"/>
      <c r="B492" s="229"/>
      <c r="C492" s="230"/>
      <c r="D492" s="231"/>
      <c r="E492" s="157"/>
      <c r="F492" s="12"/>
      <c r="G492" s="158"/>
    </row>
    <row r="493">
      <c r="A493" s="153"/>
      <c r="B493" s="229"/>
      <c r="C493" s="230"/>
      <c r="D493" s="231"/>
      <c r="E493" s="157"/>
      <c r="F493" s="12"/>
      <c r="G493" s="158"/>
    </row>
    <row r="494">
      <c r="A494" s="153"/>
      <c r="B494" s="229"/>
      <c r="C494" s="230"/>
      <c r="D494" s="231"/>
      <c r="E494" s="157"/>
      <c r="F494" s="12"/>
      <c r="G494" s="158"/>
    </row>
    <row r="495">
      <c r="A495" s="153"/>
      <c r="B495" s="229"/>
      <c r="C495" s="230"/>
      <c r="D495" s="231"/>
      <c r="E495" s="157"/>
      <c r="F495" s="12"/>
      <c r="G495" s="158"/>
    </row>
    <row r="496">
      <c r="A496" s="153"/>
      <c r="B496" s="229"/>
      <c r="C496" s="230"/>
      <c r="D496" s="231"/>
      <c r="E496" s="157"/>
      <c r="F496" s="12"/>
      <c r="G496" s="158"/>
    </row>
    <row r="497">
      <c r="A497" s="153"/>
      <c r="B497" s="229"/>
      <c r="C497" s="230"/>
      <c r="D497" s="231"/>
      <c r="E497" s="157"/>
      <c r="F497" s="12"/>
      <c r="G497" s="158"/>
    </row>
    <row r="498">
      <c r="A498" s="153"/>
      <c r="B498" s="229"/>
      <c r="C498" s="230"/>
      <c r="D498" s="231"/>
      <c r="E498" s="157"/>
      <c r="F498" s="12"/>
      <c r="G498" s="158"/>
    </row>
    <row r="499">
      <c r="A499" s="153"/>
      <c r="B499" s="229"/>
      <c r="C499" s="230"/>
      <c r="D499" s="231"/>
      <c r="E499" s="157"/>
      <c r="F499" s="12"/>
      <c r="G499" s="158"/>
    </row>
    <row r="500">
      <c r="A500" s="153"/>
      <c r="B500" s="229"/>
      <c r="C500" s="230"/>
      <c r="D500" s="231"/>
      <c r="E500" s="157"/>
      <c r="F500" s="12"/>
      <c r="G500" s="158"/>
    </row>
    <row r="501">
      <c r="A501" s="153"/>
      <c r="B501" s="229"/>
      <c r="C501" s="230"/>
      <c r="D501" s="231"/>
      <c r="E501" s="157"/>
      <c r="F501" s="12"/>
      <c r="G501" s="158"/>
    </row>
    <row r="502">
      <c r="A502" s="153"/>
      <c r="B502" s="229"/>
      <c r="C502" s="230"/>
      <c r="D502" s="231"/>
      <c r="E502" s="157"/>
      <c r="F502" s="12"/>
      <c r="G502" s="158"/>
    </row>
    <row r="503">
      <c r="A503" s="153"/>
      <c r="B503" s="229"/>
      <c r="C503" s="230"/>
      <c r="D503" s="231"/>
      <c r="E503" s="157"/>
      <c r="F503" s="12"/>
      <c r="G503" s="158"/>
    </row>
    <row r="504">
      <c r="A504" s="153"/>
      <c r="B504" s="229"/>
      <c r="C504" s="230"/>
      <c r="D504" s="231"/>
      <c r="E504" s="157"/>
      <c r="F504" s="12"/>
      <c r="G504" s="158"/>
    </row>
    <row r="505">
      <c r="A505" s="153"/>
      <c r="B505" s="229"/>
      <c r="C505" s="230"/>
      <c r="D505" s="231"/>
      <c r="E505" s="157"/>
      <c r="F505" s="12"/>
      <c r="G505" s="158"/>
    </row>
    <row r="506">
      <c r="A506" s="153"/>
      <c r="B506" s="229"/>
      <c r="C506" s="230"/>
      <c r="D506" s="231"/>
      <c r="E506" s="157"/>
      <c r="F506" s="12"/>
      <c r="G506" s="158"/>
    </row>
    <row r="507">
      <c r="A507" s="153"/>
      <c r="B507" s="229"/>
      <c r="C507" s="230"/>
      <c r="D507" s="231"/>
      <c r="E507" s="157"/>
      <c r="F507" s="12"/>
      <c r="G507" s="158"/>
    </row>
    <row r="508">
      <c r="A508" s="153"/>
      <c r="B508" s="229"/>
      <c r="C508" s="230"/>
      <c r="D508" s="231"/>
      <c r="E508" s="157"/>
      <c r="F508" s="12"/>
      <c r="G508" s="158"/>
    </row>
    <row r="509">
      <c r="A509" s="153"/>
      <c r="B509" s="229"/>
      <c r="C509" s="230"/>
      <c r="D509" s="231"/>
      <c r="E509" s="157"/>
      <c r="F509" s="12"/>
      <c r="G509" s="158"/>
    </row>
    <row r="510">
      <c r="A510" s="153"/>
      <c r="B510" s="229"/>
      <c r="C510" s="230"/>
      <c r="D510" s="231"/>
      <c r="E510" s="157"/>
      <c r="F510" s="12"/>
      <c r="G510" s="158"/>
    </row>
    <row r="511">
      <c r="A511" s="153"/>
      <c r="B511" s="229"/>
      <c r="C511" s="230"/>
      <c r="D511" s="231"/>
      <c r="E511" s="157"/>
      <c r="F511" s="12"/>
      <c r="G511" s="158"/>
    </row>
    <row r="512">
      <c r="A512" s="153"/>
      <c r="B512" s="229"/>
      <c r="C512" s="230"/>
      <c r="D512" s="231"/>
      <c r="E512" s="157"/>
      <c r="F512" s="12"/>
      <c r="G512" s="158"/>
    </row>
    <row r="513">
      <c r="A513" s="153"/>
      <c r="B513" s="229"/>
      <c r="C513" s="230"/>
      <c r="D513" s="231"/>
      <c r="E513" s="157"/>
      <c r="F513" s="12"/>
      <c r="G513" s="158"/>
    </row>
    <row r="514">
      <c r="A514" s="153"/>
      <c r="B514" s="229"/>
      <c r="C514" s="230"/>
      <c r="D514" s="231"/>
      <c r="E514" s="157"/>
      <c r="F514" s="12"/>
      <c r="G514" s="158"/>
    </row>
    <row r="515">
      <c r="A515" s="153"/>
      <c r="B515" s="229"/>
      <c r="C515" s="230"/>
      <c r="D515" s="231"/>
      <c r="E515" s="157"/>
      <c r="F515" s="12"/>
      <c r="G515" s="158"/>
    </row>
    <row r="516">
      <c r="A516" s="153"/>
      <c r="B516" s="229"/>
      <c r="C516" s="230"/>
      <c r="D516" s="231"/>
      <c r="E516" s="157"/>
      <c r="F516" s="12"/>
      <c r="G516" s="158"/>
    </row>
    <row r="517">
      <c r="A517" s="153"/>
      <c r="B517" s="229"/>
      <c r="C517" s="230"/>
      <c r="D517" s="231"/>
      <c r="E517" s="157"/>
      <c r="F517" s="12"/>
      <c r="G517" s="158"/>
    </row>
    <row r="518">
      <c r="A518" s="153"/>
      <c r="B518" s="229"/>
      <c r="C518" s="230"/>
      <c r="D518" s="231"/>
      <c r="E518" s="157"/>
      <c r="F518" s="12"/>
      <c r="G518" s="158"/>
    </row>
    <row r="519">
      <c r="A519" s="153"/>
      <c r="B519" s="229"/>
      <c r="C519" s="230"/>
      <c r="D519" s="231"/>
      <c r="E519" s="157"/>
      <c r="F519" s="12"/>
      <c r="G519" s="158"/>
    </row>
    <row r="520">
      <c r="A520" s="153"/>
      <c r="B520" s="229"/>
      <c r="C520" s="230"/>
      <c r="D520" s="231"/>
      <c r="E520" s="157"/>
      <c r="F520" s="12"/>
      <c r="G520" s="158"/>
    </row>
    <row r="521">
      <c r="A521" s="153"/>
      <c r="B521" s="229"/>
      <c r="C521" s="230"/>
      <c r="D521" s="231"/>
      <c r="E521" s="157"/>
      <c r="F521" s="12"/>
      <c r="G521" s="158"/>
    </row>
    <row r="522">
      <c r="A522" s="153"/>
      <c r="B522" s="229"/>
      <c r="C522" s="230"/>
      <c r="D522" s="231"/>
      <c r="E522" s="157"/>
      <c r="F522" s="12"/>
      <c r="G522" s="158"/>
    </row>
    <row r="523">
      <c r="A523" s="153"/>
      <c r="B523" s="229"/>
      <c r="C523" s="230"/>
      <c r="D523" s="231"/>
      <c r="E523" s="157"/>
      <c r="F523" s="12"/>
      <c r="G523" s="158"/>
    </row>
    <row r="524">
      <c r="A524" s="153"/>
      <c r="B524" s="229"/>
      <c r="C524" s="230"/>
      <c r="D524" s="231"/>
      <c r="E524" s="157"/>
      <c r="F524" s="12"/>
      <c r="G524" s="158"/>
    </row>
    <row r="525">
      <c r="A525" s="153"/>
      <c r="B525" s="229"/>
      <c r="C525" s="230"/>
      <c r="D525" s="231"/>
      <c r="E525" s="157"/>
      <c r="F525" s="12"/>
      <c r="G525" s="158"/>
    </row>
    <row r="526">
      <c r="A526" s="153"/>
      <c r="B526" s="229"/>
      <c r="C526" s="230"/>
      <c r="D526" s="231"/>
      <c r="E526" s="157"/>
      <c r="F526" s="12"/>
      <c r="G526" s="158"/>
    </row>
    <row r="527">
      <c r="A527" s="153"/>
      <c r="B527" s="229"/>
      <c r="C527" s="230"/>
      <c r="D527" s="231"/>
      <c r="E527" s="157"/>
      <c r="F527" s="12"/>
      <c r="G527" s="158"/>
    </row>
    <row r="528">
      <c r="A528" s="153"/>
      <c r="B528" s="229"/>
      <c r="C528" s="230"/>
      <c r="D528" s="231"/>
      <c r="E528" s="157"/>
      <c r="F528" s="12"/>
      <c r="G528" s="158"/>
    </row>
    <row r="529">
      <c r="A529" s="153"/>
      <c r="B529" s="229"/>
      <c r="C529" s="230"/>
      <c r="D529" s="231"/>
      <c r="E529" s="157"/>
      <c r="F529" s="12"/>
      <c r="G529" s="158"/>
    </row>
    <row r="530">
      <c r="A530" s="153"/>
      <c r="B530" s="229"/>
      <c r="C530" s="230"/>
      <c r="D530" s="231"/>
      <c r="E530" s="157"/>
      <c r="F530" s="12"/>
      <c r="G530" s="158"/>
    </row>
    <row r="531">
      <c r="A531" s="153"/>
      <c r="B531" s="229"/>
      <c r="C531" s="230"/>
      <c r="D531" s="231"/>
      <c r="E531" s="157"/>
      <c r="F531" s="12"/>
      <c r="G531" s="158"/>
    </row>
    <row r="532">
      <c r="A532" s="153"/>
      <c r="B532" s="229"/>
      <c r="C532" s="230"/>
      <c r="D532" s="231"/>
      <c r="E532" s="157"/>
      <c r="F532" s="12"/>
      <c r="G532" s="158"/>
    </row>
    <row r="533">
      <c r="A533" s="153"/>
      <c r="B533" s="229"/>
      <c r="C533" s="230"/>
      <c r="D533" s="231"/>
      <c r="E533" s="157"/>
      <c r="F533" s="12"/>
      <c r="G533" s="158"/>
    </row>
    <row r="534">
      <c r="A534" s="153"/>
      <c r="B534" s="229"/>
      <c r="C534" s="230"/>
      <c r="D534" s="231"/>
      <c r="E534" s="157"/>
      <c r="F534" s="12"/>
      <c r="G534" s="158"/>
    </row>
    <row r="535">
      <c r="A535" s="153"/>
      <c r="B535" s="229"/>
      <c r="C535" s="230"/>
      <c r="D535" s="231"/>
      <c r="E535" s="157"/>
      <c r="F535" s="12"/>
      <c r="G535" s="158"/>
    </row>
    <row r="536">
      <c r="A536" s="153"/>
      <c r="B536" s="229"/>
      <c r="C536" s="230"/>
      <c r="D536" s="231"/>
      <c r="E536" s="157"/>
      <c r="F536" s="12"/>
      <c r="G536" s="158"/>
    </row>
    <row r="537">
      <c r="A537" s="153"/>
      <c r="B537" s="229"/>
      <c r="C537" s="230"/>
      <c r="D537" s="231"/>
      <c r="E537" s="157"/>
      <c r="F537" s="12"/>
      <c r="G537" s="158"/>
    </row>
    <row r="538">
      <c r="A538" s="153"/>
      <c r="B538" s="229"/>
      <c r="C538" s="230"/>
      <c r="D538" s="231"/>
      <c r="E538" s="157"/>
      <c r="F538" s="12"/>
      <c r="G538" s="158"/>
    </row>
    <row r="539">
      <c r="A539" s="153"/>
      <c r="B539" s="229"/>
      <c r="C539" s="230"/>
      <c r="D539" s="231"/>
      <c r="E539" s="157"/>
      <c r="F539" s="12"/>
      <c r="G539" s="158"/>
    </row>
    <row r="540">
      <c r="A540" s="153"/>
      <c r="B540" s="229"/>
      <c r="C540" s="230"/>
      <c r="D540" s="231"/>
      <c r="E540" s="157"/>
      <c r="F540" s="12"/>
      <c r="G540" s="158"/>
    </row>
    <row r="541">
      <c r="A541" s="153"/>
      <c r="B541" s="229"/>
      <c r="C541" s="230"/>
      <c r="D541" s="231"/>
      <c r="E541" s="157"/>
      <c r="F541" s="12"/>
      <c r="G541" s="158"/>
    </row>
    <row r="542">
      <c r="A542" s="153"/>
      <c r="B542" s="229"/>
      <c r="C542" s="230"/>
      <c r="D542" s="231"/>
      <c r="E542" s="157"/>
      <c r="F542" s="12"/>
      <c r="G542" s="158"/>
    </row>
    <row r="543">
      <c r="A543" s="153"/>
      <c r="B543" s="229"/>
      <c r="C543" s="230"/>
      <c r="D543" s="231"/>
      <c r="E543" s="157"/>
      <c r="F543" s="12"/>
      <c r="G543" s="158"/>
    </row>
    <row r="544">
      <c r="A544" s="153"/>
      <c r="B544" s="229"/>
      <c r="C544" s="230"/>
      <c r="D544" s="231"/>
      <c r="E544" s="157"/>
      <c r="F544" s="12"/>
      <c r="G544" s="158"/>
    </row>
    <row r="545">
      <c r="A545" s="153"/>
      <c r="B545" s="229"/>
      <c r="C545" s="230"/>
      <c r="D545" s="231"/>
      <c r="E545" s="157"/>
      <c r="F545" s="12"/>
      <c r="G545" s="158"/>
    </row>
    <row r="546">
      <c r="A546" s="153"/>
      <c r="B546" s="229"/>
      <c r="C546" s="230"/>
      <c r="D546" s="231"/>
      <c r="E546" s="157"/>
      <c r="F546" s="12"/>
      <c r="G546" s="158"/>
    </row>
    <row r="547">
      <c r="A547" s="153"/>
      <c r="B547" s="229"/>
      <c r="C547" s="230"/>
      <c r="D547" s="231"/>
      <c r="E547" s="157"/>
      <c r="F547" s="12"/>
      <c r="G547" s="158"/>
    </row>
    <row r="548">
      <c r="A548" s="153"/>
      <c r="B548" s="229"/>
      <c r="C548" s="230"/>
      <c r="D548" s="231"/>
      <c r="E548" s="157"/>
      <c r="F548" s="12"/>
      <c r="G548" s="158"/>
    </row>
    <row r="549">
      <c r="A549" s="153"/>
      <c r="B549" s="229"/>
      <c r="C549" s="230"/>
      <c r="D549" s="231"/>
      <c r="E549" s="157"/>
      <c r="F549" s="12"/>
      <c r="G549" s="158"/>
    </row>
    <row r="550">
      <c r="A550" s="153"/>
      <c r="B550" s="229"/>
      <c r="C550" s="230"/>
      <c r="D550" s="231"/>
      <c r="E550" s="157"/>
      <c r="F550" s="12"/>
      <c r="G550" s="158"/>
    </row>
    <row r="551">
      <c r="A551" s="153"/>
      <c r="B551" s="229"/>
      <c r="C551" s="230"/>
      <c r="D551" s="231"/>
      <c r="E551" s="157"/>
      <c r="F551" s="12"/>
      <c r="G551" s="158"/>
    </row>
    <row r="552">
      <c r="A552" s="153"/>
      <c r="B552" s="229"/>
      <c r="C552" s="230"/>
      <c r="D552" s="231"/>
      <c r="E552" s="157"/>
      <c r="F552" s="12"/>
      <c r="G552" s="158"/>
    </row>
    <row r="553">
      <c r="A553" s="153"/>
      <c r="B553" s="229"/>
      <c r="C553" s="230"/>
      <c r="D553" s="231"/>
      <c r="E553" s="157"/>
      <c r="F553" s="12"/>
      <c r="G553" s="158"/>
    </row>
    <row r="554">
      <c r="A554" s="153"/>
      <c r="B554" s="229"/>
      <c r="C554" s="230"/>
      <c r="D554" s="231"/>
      <c r="E554" s="157"/>
      <c r="F554" s="12"/>
      <c r="G554" s="158"/>
    </row>
    <row r="555">
      <c r="A555" s="153"/>
      <c r="B555" s="229"/>
      <c r="C555" s="230"/>
      <c r="D555" s="231"/>
      <c r="E555" s="157"/>
      <c r="F555" s="12"/>
      <c r="G555" s="158"/>
    </row>
    <row r="556">
      <c r="A556" s="153"/>
      <c r="B556" s="229"/>
      <c r="C556" s="230"/>
      <c r="D556" s="231"/>
      <c r="E556" s="157"/>
      <c r="F556" s="12"/>
      <c r="G556" s="158"/>
    </row>
    <row r="557">
      <c r="A557" s="153"/>
      <c r="B557" s="229"/>
      <c r="C557" s="230"/>
      <c r="D557" s="231"/>
      <c r="E557" s="157"/>
      <c r="F557" s="12"/>
      <c r="G557" s="158"/>
    </row>
    <row r="558">
      <c r="A558" s="153"/>
      <c r="B558" s="229"/>
      <c r="C558" s="230"/>
      <c r="D558" s="231"/>
      <c r="E558" s="157"/>
      <c r="F558" s="12"/>
      <c r="G558" s="158"/>
    </row>
    <row r="559">
      <c r="A559" s="153"/>
      <c r="B559" s="229"/>
      <c r="C559" s="230"/>
      <c r="D559" s="231"/>
      <c r="E559" s="157"/>
      <c r="F559" s="12"/>
      <c r="G559" s="158"/>
    </row>
    <row r="560">
      <c r="A560" s="153"/>
      <c r="B560" s="229"/>
      <c r="C560" s="230"/>
      <c r="D560" s="231"/>
      <c r="E560" s="157"/>
      <c r="F560" s="12"/>
      <c r="G560" s="158"/>
    </row>
    <row r="561">
      <c r="A561" s="153"/>
      <c r="B561" s="229"/>
      <c r="C561" s="230"/>
      <c r="D561" s="231"/>
      <c r="E561" s="157"/>
      <c r="F561" s="12"/>
      <c r="G561" s="158"/>
    </row>
    <row r="562">
      <c r="A562" s="153"/>
      <c r="B562" s="229"/>
      <c r="C562" s="230"/>
      <c r="D562" s="231"/>
      <c r="E562" s="157"/>
      <c r="F562" s="12"/>
      <c r="G562" s="158"/>
    </row>
    <row r="563">
      <c r="A563" s="153"/>
      <c r="B563" s="229"/>
      <c r="C563" s="230"/>
      <c r="D563" s="231"/>
      <c r="E563" s="157"/>
      <c r="F563" s="12"/>
      <c r="G563" s="158"/>
    </row>
    <row r="564">
      <c r="A564" s="153"/>
      <c r="B564" s="229"/>
      <c r="C564" s="230"/>
      <c r="D564" s="231"/>
      <c r="E564" s="157"/>
      <c r="F564" s="12"/>
      <c r="G564" s="158"/>
    </row>
    <row r="565">
      <c r="A565" s="153"/>
      <c r="B565" s="229"/>
      <c r="C565" s="230"/>
      <c r="D565" s="231"/>
      <c r="E565" s="157"/>
      <c r="F565" s="12"/>
      <c r="G565" s="158"/>
    </row>
    <row r="566">
      <c r="A566" s="153"/>
      <c r="B566" s="229"/>
      <c r="C566" s="230"/>
      <c r="D566" s="231"/>
      <c r="E566" s="157"/>
      <c r="F566" s="12"/>
      <c r="G566" s="158"/>
    </row>
    <row r="567">
      <c r="A567" s="153"/>
      <c r="B567" s="229"/>
      <c r="C567" s="230"/>
      <c r="D567" s="231"/>
      <c r="E567" s="157"/>
      <c r="F567" s="12"/>
      <c r="G567" s="158"/>
    </row>
    <row r="568">
      <c r="A568" s="153"/>
      <c r="B568" s="229"/>
      <c r="C568" s="230"/>
      <c r="D568" s="231"/>
      <c r="E568" s="157"/>
      <c r="F568" s="12"/>
      <c r="G568" s="158"/>
    </row>
    <row r="569">
      <c r="A569" s="153"/>
      <c r="B569" s="229"/>
      <c r="C569" s="230"/>
      <c r="D569" s="231"/>
      <c r="E569" s="157"/>
      <c r="F569" s="12"/>
      <c r="G569" s="158"/>
    </row>
    <row r="570">
      <c r="A570" s="153"/>
      <c r="B570" s="229"/>
      <c r="C570" s="230"/>
      <c r="D570" s="231"/>
      <c r="E570" s="157"/>
      <c r="F570" s="12"/>
      <c r="G570" s="158"/>
    </row>
    <row r="571">
      <c r="A571" s="153"/>
      <c r="B571" s="229"/>
      <c r="C571" s="230"/>
      <c r="D571" s="231"/>
      <c r="E571" s="157"/>
      <c r="F571" s="12"/>
      <c r="G571" s="158"/>
    </row>
    <row r="572">
      <c r="A572" s="153"/>
      <c r="B572" s="229"/>
      <c r="C572" s="230"/>
      <c r="D572" s="231"/>
      <c r="E572" s="157"/>
      <c r="F572" s="12"/>
      <c r="G572" s="158"/>
    </row>
    <row r="573">
      <c r="A573" s="153"/>
      <c r="B573" s="229"/>
      <c r="C573" s="230"/>
      <c r="D573" s="231"/>
      <c r="E573" s="157"/>
      <c r="F573" s="12"/>
      <c r="G573" s="158"/>
    </row>
    <row r="574">
      <c r="A574" s="153"/>
      <c r="B574" s="229"/>
      <c r="C574" s="230"/>
      <c r="D574" s="231"/>
      <c r="E574" s="157"/>
      <c r="F574" s="12"/>
      <c r="G574" s="158"/>
    </row>
    <row r="575">
      <c r="A575" s="153"/>
      <c r="B575" s="229"/>
      <c r="C575" s="230"/>
      <c r="D575" s="231"/>
      <c r="E575" s="157"/>
      <c r="F575" s="12"/>
      <c r="G575" s="158"/>
    </row>
    <row r="576">
      <c r="A576" s="153"/>
      <c r="B576" s="229"/>
      <c r="C576" s="230"/>
      <c r="D576" s="231"/>
      <c r="E576" s="157"/>
      <c r="F576" s="12"/>
      <c r="G576" s="158"/>
    </row>
    <row r="577">
      <c r="A577" s="153"/>
      <c r="B577" s="229"/>
      <c r="C577" s="230"/>
      <c r="D577" s="231"/>
      <c r="E577" s="157"/>
      <c r="F577" s="12"/>
      <c r="G577" s="158"/>
    </row>
    <row r="578">
      <c r="A578" s="153"/>
      <c r="B578" s="229"/>
      <c r="C578" s="230"/>
      <c r="D578" s="231"/>
      <c r="E578" s="157"/>
      <c r="F578" s="12"/>
      <c r="G578" s="158"/>
    </row>
    <row r="579">
      <c r="A579" s="153"/>
      <c r="B579" s="229"/>
      <c r="C579" s="230"/>
      <c r="D579" s="231"/>
      <c r="E579" s="157"/>
      <c r="F579" s="12"/>
      <c r="G579" s="158"/>
    </row>
    <row r="580">
      <c r="A580" s="153"/>
      <c r="B580" s="229"/>
      <c r="C580" s="230"/>
      <c r="D580" s="231"/>
      <c r="E580" s="157"/>
      <c r="F580" s="12"/>
      <c r="G580" s="158"/>
    </row>
    <row r="581">
      <c r="A581" s="153"/>
      <c r="B581" s="229"/>
      <c r="C581" s="230"/>
      <c r="D581" s="231"/>
      <c r="E581" s="157"/>
      <c r="F581" s="12"/>
      <c r="G581" s="158"/>
    </row>
    <row r="582">
      <c r="A582" s="153"/>
      <c r="B582" s="229"/>
      <c r="C582" s="230"/>
      <c r="D582" s="231"/>
      <c r="E582" s="157"/>
      <c r="F582" s="12"/>
      <c r="G582" s="158"/>
    </row>
    <row r="583">
      <c r="A583" s="153"/>
      <c r="B583" s="229"/>
      <c r="C583" s="230"/>
      <c r="D583" s="231"/>
      <c r="E583" s="157"/>
      <c r="F583" s="12"/>
      <c r="G583" s="158"/>
    </row>
    <row r="584">
      <c r="A584" s="153"/>
      <c r="B584" s="229"/>
      <c r="C584" s="230"/>
      <c r="D584" s="231"/>
      <c r="E584" s="157"/>
      <c r="F584" s="12"/>
      <c r="G584" s="158"/>
    </row>
    <row r="585">
      <c r="A585" s="153"/>
      <c r="B585" s="229"/>
      <c r="C585" s="230"/>
      <c r="D585" s="231"/>
      <c r="E585" s="157"/>
      <c r="F585" s="12"/>
      <c r="G585" s="158"/>
    </row>
    <row r="586">
      <c r="A586" s="153"/>
      <c r="B586" s="229"/>
      <c r="C586" s="230"/>
      <c r="D586" s="231"/>
      <c r="E586" s="157"/>
      <c r="F586" s="12"/>
      <c r="G586" s="158"/>
    </row>
    <row r="587">
      <c r="A587" s="153"/>
      <c r="B587" s="229"/>
      <c r="C587" s="230"/>
      <c r="D587" s="231"/>
      <c r="E587" s="157"/>
      <c r="F587" s="12"/>
      <c r="G587" s="158"/>
    </row>
    <row r="588">
      <c r="A588" s="153"/>
      <c r="B588" s="229"/>
      <c r="C588" s="230"/>
      <c r="D588" s="231"/>
      <c r="E588" s="157"/>
      <c r="F588" s="12"/>
      <c r="G588" s="158"/>
    </row>
    <row r="589">
      <c r="A589" s="153"/>
      <c r="B589" s="229"/>
      <c r="C589" s="230"/>
      <c r="D589" s="231"/>
      <c r="E589" s="157"/>
      <c r="F589" s="12"/>
      <c r="G589" s="158"/>
    </row>
    <row r="590">
      <c r="A590" s="153"/>
      <c r="B590" s="229"/>
      <c r="C590" s="230"/>
      <c r="D590" s="231"/>
      <c r="E590" s="157"/>
      <c r="F590" s="12"/>
      <c r="G590" s="158"/>
    </row>
    <row r="591">
      <c r="A591" s="153"/>
      <c r="B591" s="229"/>
      <c r="C591" s="230"/>
      <c r="D591" s="231"/>
      <c r="E591" s="157"/>
      <c r="F591" s="12"/>
      <c r="G591" s="158"/>
    </row>
    <row r="592">
      <c r="A592" s="153"/>
      <c r="B592" s="229"/>
      <c r="C592" s="230"/>
      <c r="D592" s="231"/>
      <c r="E592" s="157"/>
      <c r="F592" s="12"/>
      <c r="G592" s="158"/>
    </row>
    <row r="593">
      <c r="A593" s="153"/>
      <c r="B593" s="229"/>
      <c r="C593" s="230"/>
      <c r="D593" s="231"/>
      <c r="E593" s="157"/>
      <c r="F593" s="12"/>
      <c r="G593" s="158"/>
    </row>
    <row r="594">
      <c r="A594" s="153"/>
      <c r="B594" s="229"/>
      <c r="C594" s="230"/>
      <c r="D594" s="231"/>
      <c r="E594" s="157"/>
      <c r="F594" s="12"/>
      <c r="G594" s="158"/>
    </row>
    <row r="595">
      <c r="A595" s="153"/>
      <c r="B595" s="229"/>
      <c r="C595" s="230"/>
      <c r="D595" s="231"/>
      <c r="E595" s="157"/>
      <c r="F595" s="12"/>
      <c r="G595" s="158"/>
    </row>
    <row r="596">
      <c r="A596" s="153"/>
      <c r="B596" s="229"/>
      <c r="C596" s="230"/>
      <c r="D596" s="231"/>
      <c r="E596" s="157"/>
      <c r="F596" s="12"/>
      <c r="G596" s="158"/>
    </row>
    <row r="597">
      <c r="A597" s="153"/>
      <c r="B597" s="229"/>
      <c r="C597" s="230"/>
      <c r="D597" s="231"/>
      <c r="E597" s="157"/>
      <c r="F597" s="12"/>
      <c r="G597" s="158"/>
    </row>
    <row r="598">
      <c r="A598" s="153"/>
      <c r="B598" s="229"/>
      <c r="C598" s="230"/>
      <c r="D598" s="231"/>
      <c r="E598" s="157"/>
      <c r="F598" s="12"/>
      <c r="G598" s="158"/>
    </row>
    <row r="599">
      <c r="A599" s="153"/>
      <c r="B599" s="229"/>
      <c r="C599" s="230"/>
      <c r="D599" s="231"/>
      <c r="E599" s="157"/>
      <c r="F599" s="12"/>
      <c r="G599" s="158"/>
    </row>
    <row r="600">
      <c r="A600" s="153"/>
      <c r="B600" s="229"/>
      <c r="C600" s="230"/>
      <c r="D600" s="231"/>
      <c r="E600" s="157"/>
      <c r="F600" s="12"/>
      <c r="G600" s="158"/>
    </row>
    <row r="601">
      <c r="A601" s="153"/>
      <c r="B601" s="229"/>
      <c r="C601" s="230"/>
      <c r="D601" s="231"/>
      <c r="E601" s="157"/>
      <c r="F601" s="12"/>
      <c r="G601" s="158"/>
    </row>
    <row r="602">
      <c r="A602" s="153"/>
      <c r="B602" s="229"/>
      <c r="C602" s="230"/>
      <c r="D602" s="231"/>
      <c r="E602" s="157"/>
      <c r="F602" s="12"/>
      <c r="G602" s="158"/>
    </row>
    <row r="603">
      <c r="A603" s="153"/>
      <c r="B603" s="229"/>
      <c r="C603" s="230"/>
      <c r="D603" s="231"/>
      <c r="E603" s="157"/>
      <c r="F603" s="12"/>
      <c r="G603" s="158"/>
    </row>
    <row r="604">
      <c r="A604" s="153"/>
      <c r="B604" s="229"/>
      <c r="C604" s="230"/>
      <c r="D604" s="231"/>
      <c r="E604" s="157"/>
      <c r="F604" s="12"/>
      <c r="G604" s="158"/>
    </row>
    <row r="605">
      <c r="A605" s="153"/>
      <c r="B605" s="229"/>
      <c r="C605" s="230"/>
      <c r="D605" s="231"/>
      <c r="E605" s="157"/>
      <c r="F605" s="12"/>
      <c r="G605" s="158"/>
    </row>
    <row r="606">
      <c r="A606" s="153"/>
      <c r="B606" s="229"/>
      <c r="C606" s="230"/>
      <c r="D606" s="231"/>
      <c r="E606" s="157"/>
      <c r="F606" s="12"/>
      <c r="G606" s="158"/>
    </row>
    <row r="607">
      <c r="A607" s="153"/>
      <c r="B607" s="229"/>
      <c r="C607" s="230"/>
      <c r="D607" s="231"/>
      <c r="E607" s="157"/>
      <c r="F607" s="12"/>
      <c r="G607" s="158"/>
    </row>
    <row r="608">
      <c r="A608" s="153"/>
      <c r="B608" s="229"/>
      <c r="C608" s="230"/>
      <c r="D608" s="231"/>
      <c r="E608" s="157"/>
      <c r="F608" s="12"/>
      <c r="G608" s="158"/>
    </row>
    <row r="609">
      <c r="A609" s="153"/>
      <c r="B609" s="229"/>
      <c r="C609" s="230"/>
      <c r="D609" s="231"/>
      <c r="E609" s="157"/>
      <c r="F609" s="12"/>
      <c r="G609" s="158"/>
    </row>
    <row r="610">
      <c r="A610" s="153"/>
      <c r="B610" s="229"/>
      <c r="C610" s="230"/>
      <c r="D610" s="231"/>
      <c r="E610" s="157"/>
      <c r="F610" s="12"/>
      <c r="G610" s="158"/>
    </row>
    <row r="611">
      <c r="A611" s="153"/>
      <c r="B611" s="229"/>
      <c r="C611" s="230"/>
      <c r="D611" s="231"/>
      <c r="E611" s="157"/>
      <c r="F611" s="12"/>
      <c r="G611" s="158"/>
    </row>
    <row r="612">
      <c r="A612" s="153"/>
      <c r="B612" s="229"/>
      <c r="C612" s="230"/>
      <c r="D612" s="231"/>
      <c r="E612" s="157"/>
      <c r="F612" s="12"/>
      <c r="G612" s="158"/>
    </row>
    <row r="613">
      <c r="A613" s="153"/>
      <c r="B613" s="229"/>
      <c r="C613" s="230"/>
      <c r="D613" s="231"/>
      <c r="E613" s="157"/>
      <c r="F613" s="12"/>
      <c r="G613" s="158"/>
    </row>
    <row r="614">
      <c r="A614" s="153"/>
      <c r="B614" s="229"/>
      <c r="C614" s="230"/>
      <c r="D614" s="231"/>
      <c r="E614" s="157"/>
      <c r="F614" s="12"/>
      <c r="G614" s="158"/>
    </row>
    <row r="615">
      <c r="A615" s="153"/>
      <c r="B615" s="229"/>
      <c r="C615" s="230"/>
      <c r="D615" s="231"/>
      <c r="E615" s="157"/>
      <c r="F615" s="12"/>
      <c r="G615" s="158"/>
    </row>
    <row r="616">
      <c r="A616" s="153"/>
      <c r="B616" s="229"/>
      <c r="C616" s="230"/>
      <c r="D616" s="231"/>
      <c r="E616" s="157"/>
      <c r="F616" s="12"/>
      <c r="G616" s="158"/>
    </row>
    <row r="617">
      <c r="A617" s="153"/>
      <c r="B617" s="229"/>
      <c r="C617" s="230"/>
      <c r="D617" s="231"/>
      <c r="E617" s="157"/>
      <c r="F617" s="12"/>
      <c r="G617" s="158"/>
    </row>
    <row r="618">
      <c r="A618" s="153"/>
      <c r="B618" s="229"/>
      <c r="C618" s="230"/>
      <c r="D618" s="231"/>
      <c r="E618" s="157"/>
      <c r="F618" s="12"/>
      <c r="G618" s="158"/>
    </row>
    <row r="619">
      <c r="A619" s="153"/>
      <c r="B619" s="229"/>
      <c r="C619" s="230"/>
      <c r="D619" s="231"/>
      <c r="E619" s="157"/>
      <c r="F619" s="12"/>
      <c r="G619" s="158"/>
    </row>
    <row r="620">
      <c r="A620" s="153"/>
      <c r="B620" s="229"/>
      <c r="C620" s="230"/>
      <c r="D620" s="231"/>
      <c r="E620" s="157"/>
      <c r="F620" s="12"/>
      <c r="G620" s="158"/>
    </row>
    <row r="621">
      <c r="A621" s="153"/>
      <c r="B621" s="229"/>
      <c r="C621" s="230"/>
      <c r="D621" s="231"/>
      <c r="E621" s="157"/>
      <c r="F621" s="12"/>
      <c r="G621" s="158"/>
    </row>
    <row r="622">
      <c r="A622" s="153"/>
      <c r="B622" s="229"/>
      <c r="C622" s="230"/>
      <c r="D622" s="231"/>
      <c r="E622" s="157"/>
      <c r="F622" s="12"/>
      <c r="G622" s="158"/>
    </row>
    <row r="623">
      <c r="A623" s="153"/>
      <c r="B623" s="229"/>
      <c r="C623" s="230"/>
      <c r="D623" s="231"/>
      <c r="E623" s="157"/>
      <c r="F623" s="12"/>
      <c r="G623" s="158"/>
    </row>
    <row r="624">
      <c r="A624" s="153"/>
      <c r="B624" s="229"/>
      <c r="C624" s="230"/>
      <c r="D624" s="231"/>
      <c r="E624" s="157"/>
      <c r="F624" s="12"/>
      <c r="G624" s="158"/>
    </row>
    <row r="625">
      <c r="A625" s="153"/>
      <c r="B625" s="229"/>
      <c r="C625" s="230"/>
      <c r="D625" s="231"/>
      <c r="E625" s="157"/>
      <c r="F625" s="12"/>
      <c r="G625" s="158"/>
    </row>
    <row r="626">
      <c r="A626" s="153"/>
      <c r="B626" s="229"/>
      <c r="C626" s="230"/>
      <c r="D626" s="231"/>
      <c r="E626" s="157"/>
      <c r="F626" s="12"/>
      <c r="G626" s="158"/>
    </row>
    <row r="627">
      <c r="A627" s="153"/>
      <c r="B627" s="229"/>
      <c r="C627" s="230"/>
      <c r="D627" s="231"/>
      <c r="E627" s="157"/>
      <c r="F627" s="12"/>
      <c r="G627" s="158"/>
    </row>
    <row r="628">
      <c r="A628" s="153"/>
      <c r="B628" s="229"/>
      <c r="C628" s="230"/>
      <c r="D628" s="231"/>
      <c r="E628" s="157"/>
      <c r="F628" s="12"/>
      <c r="G628" s="158"/>
    </row>
    <row r="629">
      <c r="A629" s="153"/>
      <c r="B629" s="229"/>
      <c r="C629" s="230"/>
      <c r="D629" s="231"/>
      <c r="E629" s="157"/>
      <c r="F629" s="12"/>
      <c r="G629" s="158"/>
    </row>
    <row r="630">
      <c r="A630" s="153"/>
      <c r="B630" s="229"/>
      <c r="C630" s="230"/>
      <c r="D630" s="231"/>
      <c r="E630" s="157"/>
      <c r="F630" s="12"/>
      <c r="G630" s="158"/>
    </row>
    <row r="631">
      <c r="A631" s="153"/>
      <c r="B631" s="229"/>
      <c r="C631" s="230"/>
      <c r="D631" s="231"/>
      <c r="E631" s="157"/>
      <c r="F631" s="12"/>
      <c r="G631" s="158"/>
    </row>
    <row r="632">
      <c r="A632" s="153"/>
      <c r="B632" s="229"/>
      <c r="C632" s="230"/>
      <c r="D632" s="231"/>
      <c r="E632" s="157"/>
      <c r="F632" s="12"/>
      <c r="G632" s="158"/>
    </row>
    <row r="633">
      <c r="A633" s="153"/>
      <c r="B633" s="229"/>
      <c r="C633" s="230"/>
      <c r="D633" s="231"/>
      <c r="E633" s="157"/>
      <c r="F633" s="12"/>
      <c r="G633" s="158"/>
    </row>
    <row r="634">
      <c r="A634" s="153"/>
      <c r="B634" s="229"/>
      <c r="C634" s="230"/>
      <c r="D634" s="231"/>
      <c r="E634" s="157"/>
      <c r="F634" s="12"/>
      <c r="G634" s="158"/>
    </row>
    <row r="635">
      <c r="A635" s="153"/>
      <c r="B635" s="229"/>
      <c r="C635" s="230"/>
      <c r="D635" s="231"/>
      <c r="E635" s="157"/>
      <c r="F635" s="12"/>
      <c r="G635" s="158"/>
    </row>
    <row r="636">
      <c r="A636" s="153"/>
      <c r="B636" s="229"/>
      <c r="C636" s="230"/>
      <c r="D636" s="231"/>
      <c r="E636" s="157"/>
      <c r="F636" s="12"/>
      <c r="G636" s="158"/>
    </row>
    <row r="637">
      <c r="A637" s="153"/>
      <c r="B637" s="229"/>
      <c r="C637" s="230"/>
      <c r="D637" s="231"/>
      <c r="E637" s="157"/>
      <c r="F637" s="12"/>
      <c r="G637" s="158"/>
    </row>
    <row r="638">
      <c r="A638" s="153"/>
      <c r="B638" s="229"/>
      <c r="C638" s="230"/>
      <c r="D638" s="231"/>
      <c r="E638" s="157"/>
      <c r="F638" s="12"/>
      <c r="G638" s="158"/>
    </row>
    <row r="639">
      <c r="A639" s="153"/>
      <c r="B639" s="229"/>
      <c r="C639" s="230"/>
      <c r="D639" s="231"/>
      <c r="E639" s="157"/>
      <c r="F639" s="12"/>
      <c r="G639" s="158"/>
    </row>
    <row r="640">
      <c r="A640" s="153"/>
      <c r="B640" s="229"/>
      <c r="C640" s="230"/>
      <c r="D640" s="231"/>
      <c r="E640" s="157"/>
      <c r="F640" s="12"/>
      <c r="G640" s="158"/>
    </row>
    <row r="641">
      <c r="A641" s="153"/>
      <c r="B641" s="229"/>
      <c r="C641" s="230"/>
      <c r="D641" s="231"/>
      <c r="E641" s="157"/>
      <c r="F641" s="12"/>
      <c r="G641" s="158"/>
    </row>
    <row r="642">
      <c r="A642" s="153"/>
      <c r="B642" s="229"/>
      <c r="C642" s="230"/>
      <c r="D642" s="231"/>
      <c r="E642" s="157"/>
      <c r="F642" s="12"/>
      <c r="G642" s="158"/>
    </row>
    <row r="643">
      <c r="A643" s="153"/>
      <c r="B643" s="229"/>
      <c r="C643" s="230"/>
      <c r="D643" s="231"/>
      <c r="E643" s="157"/>
      <c r="F643" s="12"/>
      <c r="G643" s="158"/>
    </row>
    <row r="644">
      <c r="A644" s="153"/>
      <c r="B644" s="229"/>
      <c r="C644" s="230"/>
      <c r="D644" s="231"/>
      <c r="E644" s="157"/>
      <c r="F644" s="12"/>
      <c r="G644" s="158"/>
    </row>
    <row r="645">
      <c r="A645" s="153"/>
      <c r="B645" s="229"/>
      <c r="C645" s="230"/>
      <c r="D645" s="231"/>
      <c r="E645" s="157"/>
      <c r="F645" s="12"/>
      <c r="G645" s="158"/>
    </row>
    <row r="646">
      <c r="A646" s="153"/>
      <c r="B646" s="229"/>
      <c r="C646" s="230"/>
      <c r="D646" s="231"/>
      <c r="E646" s="157"/>
      <c r="F646" s="12"/>
      <c r="G646" s="158"/>
    </row>
    <row r="647">
      <c r="A647" s="153"/>
      <c r="B647" s="229"/>
      <c r="C647" s="230"/>
      <c r="D647" s="231"/>
      <c r="E647" s="157"/>
      <c r="F647" s="12"/>
      <c r="G647" s="158"/>
    </row>
    <row r="648">
      <c r="A648" s="153"/>
      <c r="B648" s="229"/>
      <c r="C648" s="230"/>
      <c r="D648" s="231"/>
      <c r="E648" s="157"/>
      <c r="F648" s="12"/>
      <c r="G648" s="158"/>
    </row>
    <row r="649">
      <c r="A649" s="153"/>
      <c r="B649" s="229"/>
      <c r="C649" s="230"/>
      <c r="D649" s="231"/>
      <c r="E649" s="157"/>
      <c r="F649" s="12"/>
      <c r="G649" s="158"/>
    </row>
    <row r="650">
      <c r="A650" s="153"/>
      <c r="B650" s="229"/>
      <c r="C650" s="230"/>
      <c r="D650" s="231"/>
      <c r="E650" s="157"/>
      <c r="F650" s="12"/>
      <c r="G650" s="158"/>
    </row>
    <row r="651">
      <c r="A651" s="153"/>
      <c r="B651" s="229"/>
      <c r="C651" s="230"/>
      <c r="D651" s="231"/>
      <c r="E651" s="157"/>
      <c r="F651" s="12"/>
      <c r="G651" s="158"/>
    </row>
    <row r="652">
      <c r="A652" s="153"/>
      <c r="B652" s="229"/>
      <c r="C652" s="230"/>
      <c r="D652" s="231"/>
      <c r="E652" s="157"/>
      <c r="F652" s="12"/>
      <c r="G652" s="158"/>
    </row>
    <row r="653">
      <c r="A653" s="153"/>
      <c r="B653" s="229"/>
      <c r="C653" s="230"/>
      <c r="D653" s="231"/>
      <c r="E653" s="157"/>
      <c r="F653" s="12"/>
      <c r="G653" s="158"/>
    </row>
    <row r="654">
      <c r="A654" s="153"/>
      <c r="B654" s="229"/>
      <c r="C654" s="230"/>
      <c r="D654" s="231"/>
      <c r="E654" s="157"/>
      <c r="F654" s="12"/>
      <c r="G654" s="158"/>
    </row>
    <row r="655">
      <c r="A655" s="153"/>
      <c r="B655" s="229"/>
      <c r="C655" s="230"/>
      <c r="D655" s="231"/>
      <c r="E655" s="157"/>
      <c r="F655" s="12"/>
      <c r="G655" s="158"/>
    </row>
    <row r="656">
      <c r="A656" s="153"/>
      <c r="B656" s="229"/>
      <c r="C656" s="230"/>
      <c r="D656" s="231"/>
      <c r="E656" s="157"/>
      <c r="F656" s="12"/>
      <c r="G656" s="158"/>
    </row>
    <row r="657">
      <c r="A657" s="153"/>
      <c r="B657" s="229"/>
      <c r="C657" s="230"/>
      <c r="D657" s="231"/>
      <c r="E657" s="157"/>
      <c r="F657" s="12"/>
      <c r="G657" s="158"/>
    </row>
    <row r="658">
      <c r="A658" s="153"/>
      <c r="B658" s="229"/>
      <c r="C658" s="230"/>
      <c r="D658" s="231"/>
      <c r="E658" s="157"/>
      <c r="F658" s="12"/>
      <c r="G658" s="158"/>
    </row>
    <row r="659">
      <c r="A659" s="153"/>
      <c r="B659" s="229"/>
      <c r="C659" s="230"/>
      <c r="D659" s="231"/>
      <c r="E659" s="157"/>
      <c r="F659" s="12"/>
      <c r="G659" s="158"/>
    </row>
    <row r="660">
      <c r="A660" s="153"/>
      <c r="B660" s="229"/>
      <c r="C660" s="230"/>
      <c r="D660" s="231"/>
      <c r="E660" s="157"/>
      <c r="F660" s="12"/>
      <c r="G660" s="158"/>
    </row>
    <row r="661">
      <c r="A661" s="153"/>
      <c r="B661" s="229"/>
      <c r="C661" s="230"/>
      <c r="D661" s="231"/>
      <c r="E661" s="157"/>
      <c r="F661" s="12"/>
      <c r="G661" s="158"/>
    </row>
    <row r="662">
      <c r="A662" s="153"/>
      <c r="B662" s="229"/>
      <c r="C662" s="230"/>
      <c r="D662" s="231"/>
      <c r="E662" s="157"/>
      <c r="F662" s="12"/>
      <c r="G662" s="158"/>
    </row>
    <row r="663">
      <c r="A663" s="153"/>
      <c r="B663" s="229"/>
      <c r="C663" s="230"/>
      <c r="D663" s="231"/>
      <c r="E663" s="157"/>
      <c r="F663" s="12"/>
      <c r="G663" s="158"/>
    </row>
    <row r="664">
      <c r="A664" s="153"/>
      <c r="B664" s="229"/>
      <c r="C664" s="230"/>
      <c r="D664" s="231"/>
      <c r="E664" s="157"/>
      <c r="F664" s="12"/>
      <c r="G664" s="158"/>
    </row>
    <row r="665">
      <c r="A665" s="153"/>
      <c r="B665" s="229"/>
      <c r="C665" s="230"/>
      <c r="D665" s="231"/>
      <c r="E665" s="157"/>
      <c r="F665" s="12"/>
      <c r="G665" s="158"/>
    </row>
    <row r="666">
      <c r="A666" s="153"/>
      <c r="B666" s="229"/>
      <c r="C666" s="230"/>
      <c r="D666" s="231"/>
      <c r="E666" s="157"/>
      <c r="F666" s="12"/>
      <c r="G666" s="158"/>
    </row>
    <row r="667">
      <c r="A667" s="153"/>
      <c r="B667" s="229"/>
      <c r="C667" s="230"/>
      <c r="D667" s="231"/>
      <c r="E667" s="157"/>
      <c r="F667" s="12"/>
      <c r="G667" s="158"/>
    </row>
    <row r="668">
      <c r="A668" s="153"/>
      <c r="B668" s="229"/>
      <c r="C668" s="230"/>
      <c r="D668" s="231"/>
      <c r="E668" s="157"/>
      <c r="F668" s="12"/>
      <c r="G668" s="158"/>
    </row>
    <row r="669">
      <c r="A669" s="153"/>
      <c r="B669" s="229"/>
      <c r="C669" s="230"/>
      <c r="D669" s="231"/>
      <c r="E669" s="157"/>
      <c r="F669" s="12"/>
      <c r="G669" s="158"/>
    </row>
    <row r="670">
      <c r="A670" s="153"/>
      <c r="B670" s="229"/>
      <c r="C670" s="230"/>
      <c r="D670" s="231"/>
      <c r="E670" s="157"/>
      <c r="F670" s="12"/>
      <c r="G670" s="158"/>
    </row>
    <row r="671">
      <c r="A671" s="153"/>
      <c r="B671" s="229"/>
      <c r="C671" s="230"/>
      <c r="D671" s="231"/>
      <c r="E671" s="157"/>
      <c r="F671" s="12"/>
      <c r="G671" s="158"/>
    </row>
    <row r="672">
      <c r="A672" s="153"/>
      <c r="B672" s="229"/>
      <c r="C672" s="230"/>
      <c r="D672" s="231"/>
      <c r="E672" s="157"/>
      <c r="F672" s="12"/>
      <c r="G672" s="158"/>
    </row>
    <row r="673">
      <c r="A673" s="153"/>
      <c r="B673" s="229"/>
      <c r="C673" s="230"/>
      <c r="D673" s="231"/>
      <c r="E673" s="157"/>
      <c r="F673" s="12"/>
      <c r="G673" s="158"/>
    </row>
    <row r="674">
      <c r="A674" s="153"/>
      <c r="B674" s="229"/>
      <c r="C674" s="230"/>
      <c r="D674" s="231"/>
      <c r="E674" s="157"/>
      <c r="F674" s="12"/>
      <c r="G674" s="158"/>
    </row>
    <row r="675">
      <c r="A675" s="153"/>
      <c r="B675" s="229"/>
      <c r="C675" s="230"/>
      <c r="D675" s="231"/>
      <c r="E675" s="157"/>
      <c r="F675" s="12"/>
      <c r="G675" s="158"/>
    </row>
    <row r="676">
      <c r="A676" s="153"/>
      <c r="B676" s="229"/>
      <c r="C676" s="230"/>
      <c r="D676" s="231"/>
      <c r="E676" s="157"/>
      <c r="F676" s="12"/>
      <c r="G676" s="158"/>
    </row>
    <row r="677">
      <c r="A677" s="153"/>
      <c r="B677" s="229"/>
      <c r="C677" s="230"/>
      <c r="D677" s="231"/>
      <c r="E677" s="157"/>
      <c r="F677" s="12"/>
      <c r="G677" s="158"/>
    </row>
    <row r="678">
      <c r="A678" s="153"/>
      <c r="B678" s="229"/>
      <c r="C678" s="230"/>
      <c r="D678" s="231"/>
      <c r="E678" s="157"/>
      <c r="F678" s="12"/>
      <c r="G678" s="158"/>
    </row>
    <row r="679">
      <c r="A679" s="153"/>
      <c r="B679" s="229"/>
      <c r="C679" s="230"/>
      <c r="D679" s="231"/>
      <c r="E679" s="157"/>
      <c r="F679" s="12"/>
      <c r="G679" s="158"/>
    </row>
    <row r="680">
      <c r="A680" s="153"/>
      <c r="B680" s="229"/>
      <c r="C680" s="230"/>
      <c r="D680" s="231"/>
      <c r="E680" s="157"/>
      <c r="F680" s="12"/>
      <c r="G680" s="158"/>
    </row>
    <row r="681">
      <c r="A681" s="153"/>
      <c r="B681" s="229"/>
      <c r="C681" s="230"/>
      <c r="D681" s="231"/>
      <c r="E681" s="157"/>
      <c r="F681" s="12"/>
      <c r="G681" s="158"/>
    </row>
    <row r="682">
      <c r="A682" s="153"/>
      <c r="B682" s="229"/>
      <c r="C682" s="230"/>
      <c r="D682" s="231"/>
      <c r="E682" s="157"/>
      <c r="F682" s="12"/>
      <c r="G682" s="158"/>
    </row>
    <row r="683">
      <c r="A683" s="153"/>
      <c r="B683" s="229"/>
      <c r="C683" s="230"/>
      <c r="D683" s="231"/>
      <c r="E683" s="157"/>
      <c r="F683" s="12"/>
      <c r="G683" s="158"/>
    </row>
    <row r="684">
      <c r="A684" s="153"/>
      <c r="B684" s="229"/>
      <c r="C684" s="230"/>
      <c r="D684" s="231"/>
      <c r="E684" s="157"/>
      <c r="F684" s="12"/>
      <c r="G684" s="158"/>
    </row>
    <row r="685">
      <c r="A685" s="153"/>
      <c r="B685" s="229"/>
      <c r="C685" s="230"/>
      <c r="D685" s="231"/>
      <c r="E685" s="157"/>
      <c r="F685" s="12"/>
      <c r="G685" s="158"/>
    </row>
    <row r="686">
      <c r="A686" s="153"/>
      <c r="B686" s="229"/>
      <c r="C686" s="230"/>
      <c r="D686" s="231"/>
      <c r="E686" s="157"/>
      <c r="F686" s="12"/>
      <c r="G686" s="158"/>
    </row>
    <row r="687">
      <c r="A687" s="153"/>
      <c r="B687" s="229"/>
      <c r="C687" s="230"/>
      <c r="D687" s="231"/>
      <c r="E687" s="157"/>
      <c r="F687" s="12"/>
      <c r="G687" s="158"/>
    </row>
    <row r="688">
      <c r="A688" s="153"/>
      <c r="B688" s="229"/>
      <c r="C688" s="230"/>
      <c r="D688" s="231"/>
      <c r="E688" s="157"/>
      <c r="F688" s="12"/>
      <c r="G688" s="158"/>
    </row>
    <row r="689">
      <c r="A689" s="153"/>
      <c r="B689" s="229"/>
      <c r="C689" s="230"/>
      <c r="D689" s="231"/>
      <c r="E689" s="157"/>
      <c r="F689" s="12"/>
      <c r="G689" s="158"/>
    </row>
    <row r="690">
      <c r="A690" s="153"/>
      <c r="B690" s="229"/>
      <c r="C690" s="230"/>
      <c r="D690" s="231"/>
      <c r="E690" s="157"/>
      <c r="F690" s="12"/>
      <c r="G690" s="158"/>
    </row>
    <row r="691">
      <c r="A691" s="153"/>
      <c r="B691" s="229"/>
      <c r="C691" s="230"/>
      <c r="D691" s="231"/>
      <c r="E691" s="157"/>
      <c r="F691" s="12"/>
      <c r="G691" s="158"/>
    </row>
    <row r="692">
      <c r="A692" s="153"/>
      <c r="B692" s="229"/>
      <c r="C692" s="230"/>
      <c r="D692" s="231"/>
      <c r="E692" s="157"/>
      <c r="F692" s="12"/>
      <c r="G692" s="158"/>
    </row>
    <row r="693">
      <c r="A693" s="153"/>
      <c r="B693" s="229"/>
      <c r="C693" s="230"/>
      <c r="D693" s="231"/>
      <c r="E693" s="157"/>
      <c r="F693" s="12"/>
      <c r="G693" s="158"/>
    </row>
    <row r="694">
      <c r="A694" s="153"/>
      <c r="B694" s="229"/>
      <c r="C694" s="230"/>
      <c r="D694" s="231"/>
      <c r="E694" s="157"/>
      <c r="F694" s="12"/>
      <c r="G694" s="158"/>
    </row>
    <row r="695">
      <c r="A695" s="153"/>
      <c r="B695" s="229"/>
      <c r="C695" s="230"/>
      <c r="D695" s="231"/>
      <c r="E695" s="157"/>
      <c r="F695" s="12"/>
      <c r="G695" s="158"/>
    </row>
    <row r="696">
      <c r="A696" s="153"/>
      <c r="B696" s="229"/>
      <c r="C696" s="230"/>
      <c r="D696" s="231"/>
      <c r="E696" s="157"/>
      <c r="F696" s="12"/>
      <c r="G696" s="158"/>
    </row>
    <row r="697">
      <c r="A697" s="153"/>
      <c r="B697" s="229"/>
      <c r="C697" s="230"/>
      <c r="D697" s="231"/>
      <c r="E697" s="157"/>
      <c r="F697" s="12"/>
      <c r="G697" s="158"/>
    </row>
    <row r="698">
      <c r="A698" s="153"/>
      <c r="B698" s="229"/>
      <c r="C698" s="230"/>
      <c r="D698" s="231"/>
      <c r="E698" s="157"/>
      <c r="F698" s="12"/>
      <c r="G698" s="158"/>
    </row>
    <row r="699">
      <c r="A699" s="153"/>
      <c r="B699" s="229"/>
      <c r="C699" s="230"/>
      <c r="D699" s="231"/>
      <c r="E699" s="157"/>
      <c r="F699" s="12"/>
      <c r="G699" s="158"/>
    </row>
    <row r="700">
      <c r="A700" s="153"/>
      <c r="B700" s="229"/>
      <c r="C700" s="230"/>
      <c r="D700" s="231"/>
      <c r="E700" s="157"/>
      <c r="F700" s="12"/>
      <c r="G700" s="158"/>
    </row>
    <row r="701">
      <c r="A701" s="153"/>
      <c r="B701" s="229"/>
      <c r="C701" s="230"/>
      <c r="D701" s="231"/>
      <c r="E701" s="157"/>
      <c r="F701" s="12"/>
      <c r="G701" s="158"/>
    </row>
    <row r="702">
      <c r="A702" s="153"/>
      <c r="B702" s="229"/>
      <c r="C702" s="230"/>
      <c r="D702" s="231"/>
      <c r="E702" s="157"/>
      <c r="F702" s="12"/>
      <c r="G702" s="158"/>
    </row>
    <row r="703">
      <c r="A703" s="153"/>
      <c r="B703" s="229"/>
      <c r="C703" s="230"/>
      <c r="D703" s="231"/>
      <c r="E703" s="157"/>
      <c r="F703" s="12"/>
      <c r="G703" s="158"/>
    </row>
    <row r="704">
      <c r="A704" s="153"/>
      <c r="B704" s="229"/>
      <c r="C704" s="230"/>
      <c r="D704" s="231"/>
      <c r="E704" s="157"/>
      <c r="F704" s="12"/>
      <c r="G704" s="158"/>
    </row>
    <row r="705">
      <c r="A705" s="153"/>
      <c r="B705" s="229"/>
      <c r="C705" s="230"/>
      <c r="D705" s="231"/>
      <c r="E705" s="157"/>
      <c r="F705" s="12"/>
      <c r="G705" s="158"/>
    </row>
    <row r="706">
      <c r="A706" s="153"/>
      <c r="B706" s="229"/>
      <c r="C706" s="230"/>
      <c r="D706" s="231"/>
      <c r="E706" s="157"/>
      <c r="F706" s="12"/>
      <c r="G706" s="158"/>
    </row>
    <row r="707">
      <c r="A707" s="153"/>
      <c r="B707" s="229"/>
      <c r="C707" s="230"/>
      <c r="D707" s="231"/>
      <c r="E707" s="157"/>
      <c r="F707" s="12"/>
      <c r="G707" s="158"/>
    </row>
    <row r="708">
      <c r="A708" s="153"/>
      <c r="B708" s="229"/>
      <c r="C708" s="230"/>
      <c r="D708" s="231"/>
      <c r="E708" s="157"/>
      <c r="F708" s="12"/>
      <c r="G708" s="158"/>
    </row>
    <row r="709">
      <c r="A709" s="153"/>
      <c r="B709" s="229"/>
      <c r="C709" s="230"/>
      <c r="D709" s="231"/>
      <c r="E709" s="157"/>
      <c r="F709" s="12"/>
      <c r="G709" s="158"/>
    </row>
    <row r="710">
      <c r="A710" s="153"/>
      <c r="B710" s="229"/>
      <c r="C710" s="230"/>
      <c r="D710" s="231"/>
      <c r="E710" s="157"/>
      <c r="F710" s="12"/>
      <c r="G710" s="158"/>
    </row>
    <row r="711">
      <c r="A711" s="153"/>
      <c r="B711" s="229"/>
      <c r="C711" s="230"/>
      <c r="D711" s="231"/>
      <c r="E711" s="157"/>
      <c r="F711" s="12"/>
      <c r="G711" s="158"/>
    </row>
    <row r="712">
      <c r="A712" s="153"/>
      <c r="B712" s="229"/>
      <c r="C712" s="230"/>
      <c r="D712" s="231"/>
      <c r="E712" s="157"/>
      <c r="F712" s="12"/>
      <c r="G712" s="158"/>
    </row>
    <row r="713">
      <c r="A713" s="153"/>
      <c r="B713" s="229"/>
      <c r="C713" s="230"/>
      <c r="D713" s="231"/>
      <c r="E713" s="157"/>
      <c r="F713" s="12"/>
      <c r="G713" s="158"/>
    </row>
    <row r="714">
      <c r="A714" s="153"/>
      <c r="B714" s="229"/>
      <c r="C714" s="230"/>
      <c r="D714" s="231"/>
      <c r="E714" s="157"/>
      <c r="F714" s="12"/>
      <c r="G714" s="158"/>
    </row>
    <row r="715">
      <c r="A715" s="153"/>
      <c r="B715" s="229"/>
      <c r="C715" s="230"/>
      <c r="D715" s="231"/>
      <c r="E715" s="157"/>
      <c r="F715" s="12"/>
      <c r="G715" s="158"/>
    </row>
    <row r="716">
      <c r="A716" s="153"/>
      <c r="B716" s="229"/>
      <c r="C716" s="230"/>
      <c r="D716" s="231"/>
      <c r="E716" s="157"/>
      <c r="F716" s="12"/>
      <c r="G716" s="158"/>
    </row>
    <row r="717">
      <c r="A717" s="153"/>
      <c r="B717" s="229"/>
      <c r="C717" s="230"/>
      <c r="D717" s="231"/>
      <c r="E717" s="157"/>
      <c r="F717" s="12"/>
      <c r="G717" s="158"/>
    </row>
    <row r="718">
      <c r="A718" s="153"/>
      <c r="B718" s="229"/>
      <c r="C718" s="230"/>
      <c r="D718" s="231"/>
      <c r="E718" s="157"/>
      <c r="F718" s="12"/>
      <c r="G718" s="158"/>
    </row>
    <row r="719">
      <c r="A719" s="153"/>
      <c r="B719" s="229"/>
      <c r="C719" s="230"/>
      <c r="D719" s="231"/>
      <c r="E719" s="157"/>
      <c r="F719" s="12"/>
      <c r="G719" s="158"/>
    </row>
    <row r="720">
      <c r="A720" s="153"/>
      <c r="B720" s="229"/>
      <c r="C720" s="230"/>
      <c r="D720" s="231"/>
      <c r="E720" s="157"/>
      <c r="F720" s="12"/>
      <c r="G720" s="158"/>
    </row>
    <row r="721">
      <c r="A721" s="153"/>
      <c r="B721" s="229"/>
      <c r="C721" s="230"/>
      <c r="D721" s="231"/>
      <c r="E721" s="157"/>
      <c r="F721" s="12"/>
      <c r="G721" s="158"/>
    </row>
    <row r="722">
      <c r="A722" s="153"/>
      <c r="B722" s="229"/>
      <c r="C722" s="230"/>
      <c r="D722" s="231"/>
      <c r="E722" s="157"/>
      <c r="F722" s="12"/>
      <c r="G722" s="158"/>
    </row>
    <row r="723">
      <c r="A723" s="153"/>
      <c r="B723" s="229"/>
      <c r="C723" s="230"/>
      <c r="D723" s="231"/>
      <c r="E723" s="157"/>
      <c r="F723" s="12"/>
      <c r="G723" s="158"/>
    </row>
    <row r="724">
      <c r="A724" s="153"/>
      <c r="B724" s="229"/>
      <c r="C724" s="230"/>
      <c r="D724" s="231"/>
      <c r="E724" s="157"/>
      <c r="F724" s="12"/>
      <c r="G724" s="158"/>
    </row>
    <row r="725">
      <c r="A725" s="153"/>
      <c r="B725" s="229"/>
      <c r="C725" s="230"/>
      <c r="D725" s="231"/>
      <c r="E725" s="157"/>
      <c r="F725" s="12"/>
      <c r="G725" s="158"/>
    </row>
    <row r="726">
      <c r="A726" s="153"/>
      <c r="B726" s="229"/>
      <c r="C726" s="230"/>
      <c r="D726" s="231"/>
      <c r="E726" s="157"/>
      <c r="F726" s="12"/>
      <c r="G726" s="158"/>
    </row>
    <row r="727">
      <c r="A727" s="153"/>
      <c r="B727" s="229"/>
      <c r="C727" s="230"/>
      <c r="D727" s="231"/>
      <c r="E727" s="157"/>
      <c r="F727" s="12"/>
      <c r="G727" s="158"/>
    </row>
    <row r="728">
      <c r="A728" s="153"/>
      <c r="B728" s="229"/>
      <c r="C728" s="230"/>
      <c r="D728" s="231"/>
      <c r="E728" s="157"/>
      <c r="F728" s="12"/>
      <c r="G728" s="158"/>
    </row>
    <row r="729">
      <c r="A729" s="153"/>
      <c r="B729" s="229"/>
      <c r="C729" s="230"/>
      <c r="D729" s="231"/>
      <c r="E729" s="157"/>
      <c r="F729" s="12"/>
      <c r="G729" s="158"/>
    </row>
    <row r="730">
      <c r="A730" s="153"/>
      <c r="B730" s="229"/>
      <c r="C730" s="230"/>
      <c r="D730" s="231"/>
      <c r="E730" s="157"/>
      <c r="F730" s="12"/>
      <c r="G730" s="158"/>
    </row>
    <row r="731">
      <c r="A731" s="153"/>
      <c r="B731" s="229"/>
      <c r="C731" s="230"/>
      <c r="D731" s="231"/>
      <c r="E731" s="157"/>
      <c r="F731" s="12"/>
      <c r="G731" s="158"/>
    </row>
    <row r="732">
      <c r="A732" s="153"/>
      <c r="B732" s="229"/>
      <c r="C732" s="230"/>
      <c r="D732" s="231"/>
      <c r="E732" s="157"/>
      <c r="F732" s="12"/>
      <c r="G732" s="158"/>
    </row>
    <row r="733">
      <c r="A733" s="153"/>
      <c r="B733" s="229"/>
      <c r="C733" s="230"/>
      <c r="D733" s="231"/>
      <c r="E733" s="157"/>
      <c r="F733" s="12"/>
      <c r="G733" s="158"/>
    </row>
    <row r="734">
      <c r="A734" s="153"/>
      <c r="B734" s="229"/>
      <c r="C734" s="230"/>
      <c r="D734" s="231"/>
      <c r="E734" s="157"/>
      <c r="F734" s="12"/>
      <c r="G734" s="158"/>
    </row>
    <row r="735">
      <c r="A735" s="153"/>
      <c r="B735" s="229"/>
      <c r="C735" s="230"/>
      <c r="D735" s="231"/>
      <c r="E735" s="157"/>
      <c r="F735" s="12"/>
      <c r="G735" s="158"/>
    </row>
    <row r="736">
      <c r="A736" s="153"/>
      <c r="B736" s="229"/>
      <c r="C736" s="230"/>
      <c r="D736" s="231"/>
      <c r="E736" s="157"/>
      <c r="F736" s="12"/>
      <c r="G736" s="158"/>
    </row>
    <row r="737">
      <c r="A737" s="153"/>
      <c r="B737" s="229"/>
      <c r="C737" s="230"/>
      <c r="D737" s="231"/>
      <c r="E737" s="157"/>
      <c r="F737" s="12"/>
      <c r="G737" s="158"/>
    </row>
    <row r="738">
      <c r="A738" s="153"/>
      <c r="B738" s="229"/>
      <c r="C738" s="230"/>
      <c r="D738" s="231"/>
      <c r="E738" s="157"/>
      <c r="F738" s="12"/>
      <c r="G738" s="158"/>
    </row>
    <row r="739">
      <c r="A739" s="153"/>
      <c r="B739" s="229"/>
      <c r="C739" s="230"/>
      <c r="D739" s="231"/>
      <c r="E739" s="157"/>
      <c r="F739" s="12"/>
      <c r="G739" s="158"/>
    </row>
    <row r="740">
      <c r="A740" s="153"/>
      <c r="B740" s="229"/>
      <c r="C740" s="230"/>
      <c r="D740" s="231"/>
      <c r="E740" s="157"/>
      <c r="F740" s="12"/>
      <c r="G740" s="158"/>
    </row>
    <row r="741">
      <c r="A741" s="153"/>
      <c r="B741" s="229"/>
      <c r="C741" s="230"/>
      <c r="D741" s="231"/>
      <c r="E741" s="157"/>
      <c r="F741" s="12"/>
      <c r="G741" s="158"/>
    </row>
    <row r="742">
      <c r="A742" s="153"/>
      <c r="B742" s="229"/>
      <c r="C742" s="230"/>
      <c r="D742" s="231"/>
      <c r="E742" s="157"/>
      <c r="F742" s="12"/>
      <c r="G742" s="158"/>
    </row>
    <row r="743">
      <c r="A743" s="153"/>
      <c r="B743" s="229"/>
      <c r="C743" s="230"/>
      <c r="D743" s="231"/>
      <c r="E743" s="157"/>
      <c r="F743" s="12"/>
      <c r="G743" s="158"/>
    </row>
    <row r="744">
      <c r="A744" s="153"/>
      <c r="B744" s="229"/>
      <c r="C744" s="230"/>
      <c r="D744" s="231"/>
      <c r="E744" s="157"/>
      <c r="F744" s="12"/>
      <c r="G744" s="158"/>
    </row>
    <row r="745">
      <c r="A745" s="153"/>
      <c r="B745" s="229"/>
      <c r="C745" s="230"/>
      <c r="D745" s="231"/>
      <c r="E745" s="157"/>
      <c r="F745" s="12"/>
      <c r="G745" s="158"/>
    </row>
    <row r="746">
      <c r="A746" s="153"/>
      <c r="B746" s="229"/>
      <c r="C746" s="230"/>
      <c r="D746" s="231"/>
      <c r="E746" s="157"/>
      <c r="F746" s="12"/>
      <c r="G746" s="158"/>
    </row>
    <row r="747">
      <c r="A747" s="153"/>
      <c r="B747" s="229"/>
      <c r="C747" s="230"/>
      <c r="D747" s="231"/>
      <c r="E747" s="157"/>
      <c r="F747" s="12"/>
      <c r="G747" s="158"/>
    </row>
    <row r="748">
      <c r="A748" s="153"/>
      <c r="B748" s="229"/>
      <c r="C748" s="230"/>
      <c r="D748" s="231"/>
      <c r="E748" s="157"/>
      <c r="F748" s="12"/>
      <c r="G748" s="158"/>
    </row>
    <row r="749">
      <c r="A749" s="153"/>
      <c r="B749" s="229"/>
      <c r="C749" s="230"/>
      <c r="D749" s="231"/>
      <c r="E749" s="157"/>
      <c r="F749" s="12"/>
      <c r="G749" s="158"/>
    </row>
    <row r="750">
      <c r="A750" s="153"/>
      <c r="B750" s="229"/>
      <c r="C750" s="230"/>
      <c r="D750" s="231"/>
      <c r="E750" s="157"/>
      <c r="F750" s="12"/>
      <c r="G750" s="158"/>
    </row>
    <row r="751">
      <c r="A751" s="153"/>
      <c r="B751" s="229"/>
      <c r="C751" s="230"/>
      <c r="D751" s="231"/>
      <c r="E751" s="157"/>
      <c r="F751" s="12"/>
      <c r="G751" s="158"/>
    </row>
    <row r="752">
      <c r="A752" s="153"/>
      <c r="B752" s="229"/>
      <c r="C752" s="230"/>
      <c r="D752" s="231"/>
      <c r="E752" s="157"/>
      <c r="F752" s="12"/>
      <c r="G752" s="158"/>
    </row>
    <row r="753">
      <c r="A753" s="153"/>
      <c r="B753" s="229"/>
      <c r="C753" s="230"/>
      <c r="D753" s="231"/>
      <c r="E753" s="157"/>
      <c r="F753" s="12"/>
      <c r="G753" s="158"/>
    </row>
    <row r="754">
      <c r="A754" s="153"/>
      <c r="B754" s="229"/>
      <c r="C754" s="230"/>
      <c r="D754" s="231"/>
      <c r="E754" s="157"/>
      <c r="F754" s="12"/>
      <c r="G754" s="158"/>
    </row>
    <row r="755">
      <c r="A755" s="153"/>
      <c r="B755" s="229"/>
      <c r="C755" s="230"/>
      <c r="D755" s="231"/>
      <c r="E755" s="157"/>
      <c r="F755" s="12"/>
      <c r="G755" s="158"/>
    </row>
    <row r="756">
      <c r="A756" s="153"/>
      <c r="B756" s="229"/>
      <c r="C756" s="230"/>
      <c r="D756" s="231"/>
      <c r="E756" s="157"/>
      <c r="F756" s="12"/>
      <c r="G756" s="158"/>
    </row>
    <row r="757">
      <c r="A757" s="153"/>
      <c r="B757" s="229"/>
      <c r="C757" s="230"/>
      <c r="D757" s="231"/>
      <c r="E757" s="157"/>
      <c r="F757" s="12"/>
      <c r="G757" s="158"/>
    </row>
    <row r="758">
      <c r="A758" s="153"/>
      <c r="B758" s="229"/>
      <c r="C758" s="230"/>
      <c r="D758" s="231"/>
      <c r="E758" s="157"/>
      <c r="F758" s="12"/>
      <c r="G758" s="158"/>
    </row>
    <row r="759">
      <c r="A759" s="153"/>
      <c r="B759" s="229"/>
      <c r="C759" s="230"/>
      <c r="D759" s="231"/>
      <c r="E759" s="157"/>
      <c r="F759" s="12"/>
      <c r="G759" s="158"/>
    </row>
    <row r="760">
      <c r="A760" s="153"/>
      <c r="B760" s="229"/>
      <c r="C760" s="230"/>
      <c r="D760" s="231"/>
      <c r="E760" s="157"/>
      <c r="F760" s="12"/>
      <c r="G760" s="158"/>
    </row>
    <row r="761">
      <c r="A761" s="153"/>
      <c r="B761" s="229"/>
      <c r="C761" s="230"/>
      <c r="D761" s="231"/>
      <c r="E761" s="157"/>
      <c r="F761" s="12"/>
      <c r="G761" s="158"/>
    </row>
    <row r="762">
      <c r="A762" s="153"/>
      <c r="B762" s="229"/>
      <c r="C762" s="230"/>
      <c r="D762" s="231"/>
      <c r="E762" s="157"/>
      <c r="F762" s="12"/>
      <c r="G762" s="158"/>
    </row>
    <row r="763">
      <c r="A763" s="153"/>
      <c r="B763" s="229"/>
      <c r="C763" s="230"/>
      <c r="D763" s="231"/>
      <c r="E763" s="157"/>
      <c r="F763" s="12"/>
      <c r="G763" s="158"/>
    </row>
    <row r="764">
      <c r="A764" s="153"/>
      <c r="B764" s="229"/>
      <c r="C764" s="230"/>
      <c r="D764" s="231"/>
      <c r="E764" s="157"/>
      <c r="F764" s="12"/>
      <c r="G764" s="158"/>
    </row>
    <row r="765">
      <c r="A765" s="153"/>
      <c r="B765" s="229"/>
      <c r="C765" s="230"/>
      <c r="D765" s="231"/>
      <c r="E765" s="157"/>
      <c r="F765" s="12"/>
      <c r="G765" s="158"/>
    </row>
    <row r="766">
      <c r="A766" s="153"/>
      <c r="B766" s="229"/>
      <c r="C766" s="230"/>
      <c r="D766" s="231"/>
      <c r="E766" s="157"/>
      <c r="F766" s="12"/>
      <c r="G766" s="158"/>
    </row>
    <row r="767">
      <c r="A767" s="153"/>
      <c r="B767" s="229"/>
      <c r="C767" s="230"/>
      <c r="D767" s="231"/>
      <c r="E767" s="157"/>
      <c r="F767" s="12"/>
      <c r="G767" s="158"/>
    </row>
    <row r="768">
      <c r="A768" s="153"/>
      <c r="B768" s="229"/>
      <c r="C768" s="230"/>
      <c r="D768" s="231"/>
      <c r="E768" s="157"/>
      <c r="F768" s="12"/>
      <c r="G768" s="158"/>
    </row>
    <row r="769">
      <c r="A769" s="153"/>
      <c r="B769" s="229"/>
      <c r="C769" s="230"/>
      <c r="D769" s="231"/>
      <c r="E769" s="157"/>
      <c r="F769" s="12"/>
      <c r="G769" s="158"/>
    </row>
    <row r="770">
      <c r="A770" s="153"/>
      <c r="B770" s="229"/>
      <c r="C770" s="230"/>
      <c r="D770" s="231"/>
      <c r="E770" s="157"/>
      <c r="F770" s="12"/>
      <c r="G770" s="158"/>
    </row>
    <row r="771">
      <c r="A771" s="153"/>
      <c r="B771" s="229"/>
      <c r="C771" s="230"/>
      <c r="D771" s="231"/>
      <c r="E771" s="157"/>
      <c r="F771" s="12"/>
      <c r="G771" s="158"/>
    </row>
    <row r="772">
      <c r="A772" s="153"/>
      <c r="B772" s="229"/>
      <c r="C772" s="230"/>
      <c r="D772" s="231"/>
      <c r="E772" s="157"/>
      <c r="F772" s="12"/>
      <c r="G772" s="158"/>
    </row>
    <row r="773">
      <c r="A773" s="153"/>
      <c r="B773" s="229"/>
      <c r="C773" s="230"/>
      <c r="D773" s="231"/>
      <c r="E773" s="157"/>
      <c r="F773" s="12"/>
      <c r="G773" s="158"/>
    </row>
    <row r="774">
      <c r="A774" s="153"/>
      <c r="B774" s="229"/>
      <c r="C774" s="230"/>
      <c r="D774" s="231"/>
      <c r="E774" s="157"/>
      <c r="F774" s="12"/>
      <c r="G774" s="158"/>
    </row>
    <row r="775">
      <c r="A775" s="153"/>
      <c r="B775" s="229"/>
      <c r="C775" s="230"/>
      <c r="D775" s="231"/>
      <c r="E775" s="157"/>
      <c r="F775" s="12"/>
      <c r="G775" s="158"/>
    </row>
    <row r="776">
      <c r="A776" s="153"/>
      <c r="B776" s="229"/>
      <c r="C776" s="230"/>
      <c r="D776" s="231"/>
      <c r="E776" s="157"/>
      <c r="F776" s="12"/>
      <c r="G776" s="158"/>
    </row>
    <row r="777">
      <c r="A777" s="153"/>
      <c r="B777" s="229"/>
      <c r="C777" s="230"/>
      <c r="D777" s="231"/>
      <c r="E777" s="157"/>
      <c r="F777" s="12"/>
      <c r="G777" s="158"/>
    </row>
    <row r="778">
      <c r="A778" s="153"/>
      <c r="B778" s="229"/>
      <c r="C778" s="230"/>
      <c r="D778" s="231"/>
      <c r="E778" s="157"/>
      <c r="F778" s="12"/>
      <c r="G778" s="158"/>
    </row>
    <row r="779">
      <c r="A779" s="153"/>
      <c r="B779" s="229"/>
      <c r="C779" s="230"/>
      <c r="D779" s="231"/>
      <c r="E779" s="157"/>
      <c r="F779" s="12"/>
      <c r="G779" s="158"/>
    </row>
    <row r="780">
      <c r="A780" s="153"/>
      <c r="B780" s="229"/>
      <c r="C780" s="230"/>
      <c r="D780" s="231"/>
      <c r="E780" s="157"/>
      <c r="F780" s="12"/>
      <c r="G780" s="158"/>
    </row>
    <row r="781">
      <c r="A781" s="153"/>
      <c r="B781" s="229"/>
      <c r="C781" s="230"/>
      <c r="D781" s="231"/>
      <c r="E781" s="157"/>
      <c r="F781" s="12"/>
      <c r="G781" s="158"/>
    </row>
    <row r="782">
      <c r="A782" s="153"/>
      <c r="B782" s="229"/>
      <c r="C782" s="230"/>
      <c r="D782" s="231"/>
      <c r="E782" s="157"/>
      <c r="F782" s="12"/>
      <c r="G782" s="158"/>
    </row>
    <row r="783">
      <c r="A783" s="153"/>
      <c r="B783" s="229"/>
      <c r="C783" s="230"/>
      <c r="D783" s="231"/>
      <c r="E783" s="157"/>
      <c r="F783" s="12"/>
      <c r="G783" s="158"/>
    </row>
    <row r="784">
      <c r="A784" s="153"/>
      <c r="B784" s="229"/>
      <c r="C784" s="230"/>
      <c r="D784" s="231"/>
      <c r="E784" s="157"/>
      <c r="F784" s="12"/>
      <c r="G784" s="158"/>
    </row>
    <row r="785">
      <c r="A785" s="153"/>
      <c r="B785" s="229"/>
      <c r="C785" s="230"/>
      <c r="D785" s="231"/>
      <c r="E785" s="157"/>
      <c r="F785" s="12"/>
      <c r="G785" s="158"/>
    </row>
    <row r="786">
      <c r="A786" s="153"/>
      <c r="B786" s="229"/>
      <c r="C786" s="230"/>
      <c r="D786" s="231"/>
      <c r="E786" s="157"/>
      <c r="F786" s="12"/>
      <c r="G786" s="158"/>
    </row>
    <row r="787">
      <c r="A787" s="153"/>
      <c r="B787" s="229"/>
      <c r="C787" s="230"/>
      <c r="D787" s="231"/>
      <c r="E787" s="157"/>
      <c r="F787" s="12"/>
      <c r="G787" s="158"/>
    </row>
    <row r="788">
      <c r="A788" s="153"/>
      <c r="B788" s="229"/>
      <c r="C788" s="230"/>
      <c r="D788" s="231"/>
      <c r="E788" s="157"/>
      <c r="F788" s="12"/>
      <c r="G788" s="158"/>
    </row>
    <row r="789">
      <c r="A789" s="153"/>
      <c r="B789" s="229"/>
      <c r="C789" s="230"/>
      <c r="D789" s="231"/>
      <c r="E789" s="157"/>
      <c r="F789" s="12"/>
      <c r="G789" s="158"/>
    </row>
    <row r="790">
      <c r="A790" s="153"/>
      <c r="B790" s="229"/>
      <c r="C790" s="230"/>
      <c r="D790" s="231"/>
      <c r="E790" s="157"/>
      <c r="F790" s="12"/>
      <c r="G790" s="158"/>
    </row>
    <row r="791">
      <c r="A791" s="153"/>
      <c r="B791" s="229"/>
      <c r="C791" s="230"/>
      <c r="D791" s="231"/>
      <c r="E791" s="157"/>
      <c r="F791" s="12"/>
      <c r="G791" s="158"/>
    </row>
    <row r="792">
      <c r="A792" s="153"/>
      <c r="B792" s="229"/>
      <c r="C792" s="230"/>
      <c r="D792" s="231"/>
      <c r="E792" s="157"/>
      <c r="F792" s="12"/>
      <c r="G792" s="158"/>
    </row>
    <row r="793">
      <c r="A793" s="153"/>
      <c r="B793" s="229"/>
      <c r="C793" s="230"/>
      <c r="D793" s="231"/>
      <c r="E793" s="157"/>
      <c r="F793" s="12"/>
      <c r="G793" s="158"/>
    </row>
    <row r="794">
      <c r="A794" s="153"/>
      <c r="B794" s="229"/>
      <c r="C794" s="230"/>
      <c r="D794" s="231"/>
      <c r="E794" s="157"/>
      <c r="F794" s="12"/>
      <c r="G794" s="158"/>
    </row>
    <row r="795">
      <c r="A795" s="153"/>
      <c r="B795" s="229"/>
      <c r="C795" s="230"/>
      <c r="D795" s="231"/>
      <c r="E795" s="157"/>
      <c r="F795" s="12"/>
      <c r="G795" s="158"/>
    </row>
    <row r="796">
      <c r="A796" s="153"/>
      <c r="B796" s="229"/>
      <c r="C796" s="230"/>
      <c r="D796" s="231"/>
      <c r="E796" s="157"/>
      <c r="F796" s="12"/>
      <c r="G796" s="158"/>
    </row>
    <row r="797">
      <c r="A797" s="153"/>
      <c r="B797" s="229"/>
      <c r="C797" s="230"/>
      <c r="D797" s="231"/>
      <c r="E797" s="157"/>
      <c r="F797" s="12"/>
      <c r="G797" s="158"/>
    </row>
    <row r="798">
      <c r="A798" s="153"/>
      <c r="B798" s="229"/>
      <c r="C798" s="230"/>
      <c r="D798" s="231"/>
      <c r="E798" s="157"/>
      <c r="F798" s="12"/>
      <c r="G798" s="158"/>
    </row>
    <row r="799">
      <c r="A799" s="153"/>
      <c r="B799" s="229"/>
      <c r="C799" s="230"/>
      <c r="D799" s="231"/>
      <c r="E799" s="157"/>
      <c r="F799" s="12"/>
      <c r="G799" s="158"/>
    </row>
    <row r="800">
      <c r="A800" s="153"/>
      <c r="B800" s="229"/>
      <c r="C800" s="230"/>
      <c r="D800" s="231"/>
      <c r="E800" s="157"/>
      <c r="F800" s="12"/>
      <c r="G800" s="158"/>
    </row>
    <row r="801">
      <c r="A801" s="153"/>
      <c r="B801" s="229"/>
      <c r="C801" s="230"/>
      <c r="D801" s="231"/>
      <c r="E801" s="157"/>
      <c r="F801" s="12"/>
      <c r="G801" s="158"/>
    </row>
    <row r="802">
      <c r="A802" s="153"/>
      <c r="B802" s="229"/>
      <c r="C802" s="230"/>
      <c r="D802" s="231"/>
      <c r="E802" s="157"/>
      <c r="F802" s="12"/>
      <c r="G802" s="158"/>
    </row>
    <row r="803">
      <c r="A803" s="153"/>
      <c r="B803" s="229"/>
      <c r="C803" s="230"/>
      <c r="D803" s="231"/>
      <c r="E803" s="157"/>
      <c r="F803" s="12"/>
      <c r="G803" s="158"/>
    </row>
    <row r="804">
      <c r="A804" s="153"/>
      <c r="B804" s="229"/>
      <c r="C804" s="230"/>
      <c r="D804" s="231"/>
      <c r="E804" s="157"/>
      <c r="F804" s="12"/>
      <c r="G804" s="158"/>
    </row>
    <row r="805">
      <c r="A805" s="153"/>
      <c r="B805" s="229"/>
      <c r="C805" s="230"/>
      <c r="D805" s="231"/>
      <c r="E805" s="157"/>
      <c r="F805" s="12"/>
      <c r="G805" s="158"/>
    </row>
    <row r="806">
      <c r="A806" s="153"/>
      <c r="B806" s="229"/>
      <c r="C806" s="230"/>
      <c r="D806" s="231"/>
      <c r="E806" s="157"/>
      <c r="F806" s="12"/>
      <c r="G806" s="158"/>
    </row>
    <row r="807">
      <c r="A807" s="153"/>
      <c r="B807" s="229"/>
      <c r="C807" s="230"/>
      <c r="D807" s="231"/>
      <c r="E807" s="157"/>
      <c r="F807" s="12"/>
      <c r="G807" s="158"/>
    </row>
    <row r="808">
      <c r="A808" s="153"/>
      <c r="B808" s="229"/>
      <c r="C808" s="230"/>
      <c r="D808" s="231"/>
      <c r="E808" s="157"/>
      <c r="F808" s="12"/>
      <c r="G808" s="158"/>
    </row>
    <row r="809">
      <c r="A809" s="153"/>
      <c r="B809" s="229"/>
      <c r="C809" s="230"/>
      <c r="D809" s="231"/>
      <c r="E809" s="157"/>
      <c r="F809" s="12"/>
      <c r="G809" s="158"/>
    </row>
    <row r="810">
      <c r="A810" s="153"/>
      <c r="B810" s="229"/>
      <c r="C810" s="230"/>
      <c r="D810" s="231"/>
      <c r="E810" s="157"/>
      <c r="F810" s="12"/>
      <c r="G810" s="158"/>
    </row>
    <row r="811">
      <c r="A811" s="153"/>
      <c r="B811" s="229"/>
      <c r="C811" s="230"/>
      <c r="D811" s="231"/>
      <c r="E811" s="157"/>
      <c r="F811" s="12"/>
      <c r="G811" s="158"/>
    </row>
    <row r="812">
      <c r="A812" s="153"/>
      <c r="B812" s="229"/>
      <c r="C812" s="230"/>
      <c r="D812" s="231"/>
      <c r="E812" s="157"/>
      <c r="F812" s="12"/>
      <c r="G812" s="158"/>
    </row>
    <row r="813">
      <c r="A813" s="153"/>
      <c r="B813" s="229"/>
      <c r="C813" s="230"/>
      <c r="D813" s="231"/>
      <c r="E813" s="157"/>
      <c r="F813" s="12"/>
      <c r="G813" s="158"/>
    </row>
    <row r="814">
      <c r="A814" s="153"/>
      <c r="B814" s="229"/>
      <c r="C814" s="230"/>
      <c r="D814" s="231"/>
      <c r="E814" s="157"/>
      <c r="F814" s="12"/>
      <c r="G814" s="158"/>
    </row>
    <row r="815">
      <c r="A815" s="153"/>
      <c r="B815" s="229"/>
      <c r="C815" s="230"/>
      <c r="D815" s="231"/>
      <c r="E815" s="157"/>
      <c r="F815" s="12"/>
      <c r="G815" s="158"/>
    </row>
    <row r="816">
      <c r="A816" s="153"/>
      <c r="B816" s="229"/>
      <c r="C816" s="230"/>
      <c r="D816" s="231"/>
      <c r="E816" s="157"/>
      <c r="F816" s="12"/>
      <c r="G816" s="158"/>
    </row>
    <row r="817">
      <c r="A817" s="153"/>
      <c r="B817" s="229"/>
      <c r="C817" s="230"/>
      <c r="D817" s="231"/>
      <c r="E817" s="157"/>
      <c r="F817" s="12"/>
      <c r="G817" s="158"/>
    </row>
    <row r="818">
      <c r="A818" s="153"/>
      <c r="B818" s="229"/>
      <c r="C818" s="230"/>
      <c r="D818" s="231"/>
      <c r="E818" s="157"/>
      <c r="F818" s="12"/>
      <c r="G818" s="158"/>
    </row>
    <row r="819">
      <c r="A819" s="153"/>
      <c r="B819" s="229"/>
      <c r="C819" s="230"/>
      <c r="D819" s="231"/>
      <c r="E819" s="157"/>
      <c r="F819" s="12"/>
      <c r="G819" s="158"/>
    </row>
    <row r="820">
      <c r="A820" s="153"/>
      <c r="B820" s="229"/>
      <c r="C820" s="230"/>
      <c r="D820" s="231"/>
      <c r="E820" s="157"/>
      <c r="F820" s="12"/>
      <c r="G820" s="158"/>
    </row>
    <row r="821">
      <c r="A821" s="153"/>
      <c r="B821" s="229"/>
      <c r="C821" s="230"/>
      <c r="D821" s="231"/>
      <c r="E821" s="157"/>
      <c r="F821" s="12"/>
      <c r="G821" s="158"/>
    </row>
    <row r="822">
      <c r="A822" s="153"/>
      <c r="B822" s="229"/>
      <c r="C822" s="230"/>
      <c r="D822" s="231"/>
      <c r="E822" s="157"/>
      <c r="F822" s="12"/>
      <c r="G822" s="158"/>
    </row>
    <row r="823">
      <c r="A823" s="153"/>
      <c r="B823" s="229"/>
      <c r="C823" s="230"/>
      <c r="D823" s="231"/>
      <c r="E823" s="157"/>
      <c r="F823" s="12"/>
      <c r="G823" s="158"/>
    </row>
    <row r="824">
      <c r="A824" s="153"/>
      <c r="B824" s="229"/>
      <c r="C824" s="230"/>
      <c r="D824" s="231"/>
      <c r="E824" s="157"/>
      <c r="F824" s="12"/>
      <c r="G824" s="158"/>
    </row>
    <row r="825">
      <c r="A825" s="153"/>
      <c r="B825" s="229"/>
      <c r="C825" s="230"/>
      <c r="D825" s="231"/>
      <c r="E825" s="157"/>
      <c r="F825" s="12"/>
      <c r="G825" s="158"/>
    </row>
    <row r="826">
      <c r="A826" s="153"/>
      <c r="B826" s="229"/>
      <c r="C826" s="230"/>
      <c r="D826" s="231"/>
      <c r="E826" s="157"/>
      <c r="F826" s="12"/>
      <c r="G826" s="158"/>
    </row>
    <row r="827">
      <c r="A827" s="153"/>
      <c r="B827" s="229"/>
      <c r="C827" s="230"/>
      <c r="D827" s="231"/>
      <c r="E827" s="157"/>
      <c r="F827" s="12"/>
      <c r="G827" s="158"/>
    </row>
    <row r="828">
      <c r="A828" s="153"/>
      <c r="B828" s="229"/>
      <c r="C828" s="230"/>
      <c r="D828" s="231"/>
      <c r="E828" s="157"/>
      <c r="F828" s="12"/>
      <c r="G828" s="158"/>
    </row>
    <row r="829">
      <c r="A829" s="153"/>
      <c r="B829" s="229"/>
      <c r="C829" s="230"/>
      <c r="D829" s="231"/>
      <c r="E829" s="157"/>
      <c r="F829" s="12"/>
      <c r="G829" s="158"/>
    </row>
    <row r="830">
      <c r="A830" s="153"/>
      <c r="B830" s="229"/>
      <c r="C830" s="230"/>
      <c r="D830" s="231"/>
      <c r="E830" s="157"/>
      <c r="F830" s="12"/>
      <c r="G830" s="158"/>
    </row>
    <row r="831">
      <c r="A831" s="153"/>
      <c r="B831" s="229"/>
      <c r="C831" s="230"/>
      <c r="D831" s="231"/>
      <c r="E831" s="157"/>
      <c r="F831" s="12"/>
      <c r="G831" s="158"/>
    </row>
    <row r="832">
      <c r="A832" s="153"/>
      <c r="B832" s="229"/>
      <c r="C832" s="230"/>
      <c r="D832" s="231"/>
      <c r="E832" s="157"/>
      <c r="F832" s="12"/>
      <c r="G832" s="158"/>
    </row>
    <row r="833">
      <c r="A833" s="153"/>
      <c r="B833" s="229"/>
      <c r="C833" s="230"/>
      <c r="D833" s="231"/>
      <c r="E833" s="157"/>
      <c r="F833" s="12"/>
      <c r="G833" s="158"/>
    </row>
    <row r="834">
      <c r="A834" s="153"/>
      <c r="B834" s="229"/>
      <c r="C834" s="230"/>
      <c r="D834" s="231"/>
      <c r="E834" s="157"/>
      <c r="F834" s="12"/>
      <c r="G834" s="158"/>
    </row>
    <row r="835">
      <c r="A835" s="153"/>
      <c r="B835" s="229"/>
      <c r="C835" s="230"/>
      <c r="D835" s="231"/>
      <c r="E835" s="157"/>
      <c r="F835" s="12"/>
      <c r="G835" s="158"/>
    </row>
    <row r="836">
      <c r="A836" s="153"/>
      <c r="B836" s="229"/>
      <c r="C836" s="230"/>
      <c r="D836" s="231"/>
      <c r="E836" s="157"/>
      <c r="F836" s="12"/>
      <c r="G836" s="158"/>
    </row>
    <row r="837">
      <c r="A837" s="153"/>
      <c r="B837" s="229"/>
      <c r="C837" s="230"/>
      <c r="D837" s="231"/>
      <c r="E837" s="157"/>
      <c r="F837" s="12"/>
      <c r="G837" s="158"/>
    </row>
    <row r="838">
      <c r="A838" s="153"/>
      <c r="B838" s="229"/>
      <c r="C838" s="230"/>
      <c r="D838" s="231"/>
      <c r="E838" s="157"/>
      <c r="F838" s="12"/>
      <c r="G838" s="158"/>
    </row>
    <row r="839">
      <c r="A839" s="153"/>
      <c r="B839" s="229"/>
      <c r="C839" s="230"/>
      <c r="D839" s="231"/>
      <c r="E839" s="157"/>
      <c r="F839" s="12"/>
      <c r="G839" s="158"/>
    </row>
    <row r="840">
      <c r="A840" s="153"/>
      <c r="B840" s="229"/>
      <c r="C840" s="230"/>
      <c r="D840" s="231"/>
      <c r="E840" s="157"/>
      <c r="F840" s="12"/>
      <c r="G840" s="158"/>
    </row>
    <row r="841">
      <c r="A841" s="153"/>
      <c r="B841" s="229"/>
      <c r="C841" s="230"/>
      <c r="D841" s="231"/>
      <c r="E841" s="157"/>
      <c r="F841" s="12"/>
      <c r="G841" s="158"/>
    </row>
    <row r="842">
      <c r="A842" s="153"/>
      <c r="B842" s="229"/>
      <c r="C842" s="230"/>
      <c r="D842" s="231"/>
      <c r="E842" s="157"/>
      <c r="F842" s="12"/>
      <c r="G842" s="158"/>
    </row>
    <row r="843">
      <c r="A843" s="153"/>
      <c r="B843" s="229"/>
      <c r="C843" s="230"/>
      <c r="D843" s="231"/>
      <c r="E843" s="157"/>
      <c r="F843" s="12"/>
      <c r="G843" s="158"/>
    </row>
    <row r="844">
      <c r="A844" s="153"/>
      <c r="B844" s="229"/>
      <c r="C844" s="230"/>
      <c r="D844" s="231"/>
      <c r="E844" s="157"/>
      <c r="F844" s="12"/>
      <c r="G844" s="158"/>
    </row>
    <row r="845">
      <c r="A845" s="153"/>
      <c r="B845" s="229"/>
      <c r="C845" s="230"/>
      <c r="D845" s="231"/>
      <c r="E845" s="157"/>
      <c r="F845" s="12"/>
      <c r="G845" s="158"/>
    </row>
    <row r="846">
      <c r="A846" s="153"/>
      <c r="B846" s="229"/>
      <c r="C846" s="230"/>
      <c r="D846" s="231"/>
      <c r="E846" s="157"/>
      <c r="F846" s="12"/>
      <c r="G846" s="158"/>
    </row>
    <row r="847">
      <c r="A847" s="153"/>
      <c r="B847" s="229"/>
      <c r="C847" s="230"/>
      <c r="D847" s="231"/>
      <c r="E847" s="157"/>
      <c r="F847" s="12"/>
      <c r="G847" s="158"/>
    </row>
    <row r="848">
      <c r="A848" s="153"/>
      <c r="B848" s="229"/>
      <c r="C848" s="230"/>
      <c r="D848" s="231"/>
      <c r="E848" s="157"/>
      <c r="F848" s="12"/>
      <c r="G848" s="158"/>
    </row>
    <row r="849">
      <c r="A849" s="153"/>
      <c r="B849" s="229"/>
      <c r="C849" s="230"/>
      <c r="D849" s="231"/>
      <c r="E849" s="157"/>
      <c r="F849" s="12"/>
      <c r="G849" s="158"/>
    </row>
    <row r="850">
      <c r="A850" s="153"/>
      <c r="B850" s="229"/>
      <c r="C850" s="230"/>
      <c r="D850" s="231"/>
      <c r="E850" s="157"/>
      <c r="F850" s="12"/>
      <c r="G850" s="158"/>
    </row>
    <row r="851">
      <c r="A851" s="153"/>
      <c r="B851" s="229"/>
      <c r="C851" s="230"/>
      <c r="D851" s="231"/>
      <c r="E851" s="157"/>
      <c r="F851" s="12"/>
      <c r="G851" s="158"/>
    </row>
    <row r="852">
      <c r="A852" s="153"/>
      <c r="B852" s="229"/>
      <c r="C852" s="230"/>
      <c r="D852" s="231"/>
      <c r="E852" s="157"/>
      <c r="F852" s="12"/>
      <c r="G852" s="158"/>
    </row>
    <row r="853">
      <c r="A853" s="153"/>
      <c r="B853" s="229"/>
      <c r="C853" s="230"/>
      <c r="D853" s="231"/>
      <c r="E853" s="157"/>
      <c r="F853" s="12"/>
      <c r="G853" s="158"/>
    </row>
    <row r="854">
      <c r="A854" s="153"/>
      <c r="B854" s="229"/>
      <c r="C854" s="230"/>
      <c r="D854" s="231"/>
      <c r="E854" s="157"/>
      <c r="F854" s="12"/>
      <c r="G854" s="158"/>
    </row>
    <row r="855">
      <c r="A855" s="153"/>
      <c r="B855" s="229"/>
      <c r="C855" s="230"/>
      <c r="D855" s="231"/>
      <c r="E855" s="157"/>
      <c r="F855" s="12"/>
      <c r="G855" s="158"/>
    </row>
    <row r="856">
      <c r="A856" s="153"/>
      <c r="B856" s="229"/>
      <c r="C856" s="230"/>
      <c r="D856" s="231"/>
      <c r="E856" s="157"/>
      <c r="F856" s="12"/>
      <c r="G856" s="158"/>
    </row>
    <row r="857">
      <c r="A857" s="153"/>
      <c r="B857" s="229"/>
      <c r="C857" s="230"/>
      <c r="D857" s="231"/>
      <c r="E857" s="157"/>
      <c r="F857" s="12"/>
      <c r="G857" s="158"/>
    </row>
    <row r="858">
      <c r="A858" s="153"/>
      <c r="B858" s="229"/>
      <c r="C858" s="230"/>
      <c r="D858" s="231"/>
      <c r="E858" s="157"/>
      <c r="F858" s="12"/>
      <c r="G858" s="158"/>
    </row>
    <row r="859">
      <c r="A859" s="153"/>
      <c r="B859" s="229"/>
      <c r="C859" s="230"/>
      <c r="D859" s="231"/>
      <c r="E859" s="157"/>
      <c r="F859" s="12"/>
      <c r="G859" s="158"/>
    </row>
    <row r="860">
      <c r="A860" s="153"/>
      <c r="B860" s="229"/>
      <c r="C860" s="230"/>
      <c r="D860" s="231"/>
      <c r="E860" s="157"/>
      <c r="F860" s="12"/>
      <c r="G860" s="158"/>
    </row>
    <row r="861">
      <c r="A861" s="153"/>
      <c r="B861" s="229"/>
      <c r="C861" s="230"/>
      <c r="D861" s="231"/>
      <c r="E861" s="157"/>
      <c r="F861" s="12"/>
      <c r="G861" s="158"/>
    </row>
    <row r="862">
      <c r="A862" s="153"/>
      <c r="B862" s="229"/>
      <c r="C862" s="230"/>
      <c r="D862" s="231"/>
      <c r="E862" s="157"/>
      <c r="F862" s="12"/>
      <c r="G862" s="158"/>
    </row>
    <row r="863">
      <c r="A863" s="153"/>
      <c r="B863" s="229"/>
      <c r="C863" s="230"/>
      <c r="D863" s="231"/>
      <c r="E863" s="157"/>
      <c r="F863" s="12"/>
      <c r="G863" s="158"/>
    </row>
    <row r="864">
      <c r="A864" s="153"/>
      <c r="B864" s="229"/>
      <c r="C864" s="230"/>
      <c r="D864" s="231"/>
      <c r="E864" s="157"/>
      <c r="F864" s="12"/>
      <c r="G864" s="158"/>
    </row>
    <row r="865">
      <c r="A865" s="153"/>
      <c r="B865" s="229"/>
      <c r="C865" s="230"/>
      <c r="D865" s="231"/>
      <c r="E865" s="157"/>
      <c r="F865" s="12"/>
      <c r="G865" s="158"/>
    </row>
    <row r="866">
      <c r="A866" s="153"/>
      <c r="B866" s="229"/>
      <c r="C866" s="230"/>
      <c r="D866" s="231"/>
      <c r="E866" s="157"/>
      <c r="F866" s="12"/>
      <c r="G866" s="158"/>
    </row>
    <row r="867">
      <c r="A867" s="153"/>
      <c r="B867" s="229"/>
      <c r="C867" s="230"/>
      <c r="D867" s="231"/>
      <c r="E867" s="157"/>
      <c r="F867" s="12"/>
      <c r="G867" s="158"/>
    </row>
    <row r="868">
      <c r="A868" s="153"/>
      <c r="B868" s="229"/>
      <c r="C868" s="230"/>
      <c r="D868" s="231"/>
      <c r="E868" s="157"/>
      <c r="F868" s="12"/>
      <c r="G868" s="158"/>
    </row>
    <row r="869">
      <c r="A869" s="153"/>
      <c r="B869" s="229"/>
      <c r="C869" s="230"/>
      <c r="D869" s="231"/>
      <c r="E869" s="157"/>
      <c r="F869" s="12"/>
      <c r="G869" s="158"/>
    </row>
    <row r="870">
      <c r="A870" s="153"/>
      <c r="B870" s="229"/>
      <c r="C870" s="230"/>
      <c r="D870" s="231"/>
      <c r="E870" s="157"/>
      <c r="F870" s="12"/>
      <c r="G870" s="158"/>
    </row>
    <row r="871">
      <c r="A871" s="153"/>
      <c r="B871" s="229"/>
      <c r="C871" s="230"/>
      <c r="D871" s="231"/>
      <c r="E871" s="157"/>
      <c r="F871" s="12"/>
      <c r="G871" s="158"/>
    </row>
    <row r="872">
      <c r="A872" s="153"/>
      <c r="B872" s="229"/>
      <c r="C872" s="230"/>
      <c r="D872" s="231"/>
      <c r="E872" s="157"/>
      <c r="F872" s="12"/>
      <c r="G872" s="158"/>
    </row>
    <row r="873">
      <c r="A873" s="153"/>
      <c r="B873" s="229"/>
      <c r="C873" s="230"/>
      <c r="D873" s="231"/>
      <c r="E873" s="157"/>
      <c r="F873" s="12"/>
      <c r="G873" s="158"/>
    </row>
    <row r="874">
      <c r="A874" s="153"/>
      <c r="B874" s="229"/>
      <c r="C874" s="230"/>
      <c r="D874" s="231"/>
      <c r="E874" s="157"/>
      <c r="F874" s="12"/>
      <c r="G874" s="158"/>
    </row>
    <row r="875">
      <c r="A875" s="153"/>
      <c r="B875" s="229"/>
      <c r="C875" s="230"/>
      <c r="D875" s="231"/>
      <c r="E875" s="157"/>
      <c r="F875" s="12"/>
      <c r="G875" s="158"/>
    </row>
    <row r="876">
      <c r="A876" s="153"/>
      <c r="B876" s="229"/>
      <c r="C876" s="230"/>
      <c r="D876" s="231"/>
      <c r="E876" s="157"/>
      <c r="F876" s="12"/>
      <c r="G876" s="158"/>
    </row>
    <row r="877">
      <c r="A877" s="153"/>
      <c r="B877" s="229"/>
      <c r="C877" s="230"/>
      <c r="D877" s="231"/>
      <c r="E877" s="157"/>
      <c r="F877" s="12"/>
      <c r="G877" s="158"/>
    </row>
    <row r="878">
      <c r="A878" s="153"/>
      <c r="B878" s="229"/>
      <c r="C878" s="230"/>
      <c r="D878" s="231"/>
      <c r="E878" s="157"/>
      <c r="F878" s="12"/>
      <c r="G878" s="158"/>
    </row>
    <row r="879">
      <c r="A879" s="153"/>
      <c r="B879" s="229"/>
      <c r="C879" s="230"/>
      <c r="D879" s="231"/>
      <c r="E879" s="157"/>
      <c r="F879" s="12"/>
      <c r="G879" s="158"/>
    </row>
    <row r="880">
      <c r="A880" s="153"/>
      <c r="B880" s="229"/>
      <c r="C880" s="230"/>
      <c r="D880" s="231"/>
      <c r="E880" s="157"/>
      <c r="F880" s="12"/>
      <c r="G880" s="158"/>
    </row>
    <row r="881">
      <c r="A881" s="153"/>
      <c r="B881" s="229"/>
      <c r="C881" s="230"/>
      <c r="D881" s="231"/>
      <c r="E881" s="157"/>
      <c r="F881" s="12"/>
      <c r="G881" s="158"/>
    </row>
    <row r="882">
      <c r="A882" s="153"/>
      <c r="B882" s="229"/>
      <c r="C882" s="230"/>
      <c r="D882" s="231"/>
      <c r="E882" s="157"/>
      <c r="F882" s="12"/>
      <c r="G882" s="158"/>
    </row>
    <row r="883">
      <c r="A883" s="153"/>
      <c r="B883" s="229"/>
      <c r="C883" s="230"/>
      <c r="D883" s="231"/>
      <c r="E883" s="157"/>
      <c r="F883" s="12"/>
      <c r="G883" s="158"/>
    </row>
    <row r="884">
      <c r="A884" s="153"/>
      <c r="B884" s="229"/>
      <c r="C884" s="230"/>
      <c r="D884" s="231"/>
      <c r="E884" s="157"/>
      <c r="F884" s="12"/>
      <c r="G884" s="158"/>
    </row>
    <row r="885">
      <c r="A885" s="153"/>
      <c r="B885" s="229"/>
      <c r="C885" s="230"/>
      <c r="D885" s="231"/>
      <c r="E885" s="157"/>
      <c r="F885" s="12"/>
      <c r="G885" s="158"/>
    </row>
    <row r="886">
      <c r="A886" s="153"/>
      <c r="B886" s="229"/>
      <c r="C886" s="230"/>
      <c r="D886" s="231"/>
      <c r="E886" s="157"/>
      <c r="F886" s="12"/>
      <c r="G886" s="158"/>
    </row>
    <row r="887">
      <c r="A887" s="153"/>
      <c r="B887" s="229"/>
      <c r="C887" s="230"/>
      <c r="D887" s="231"/>
      <c r="E887" s="157"/>
      <c r="F887" s="12"/>
      <c r="G887" s="158"/>
    </row>
    <row r="888">
      <c r="A888" s="153"/>
      <c r="B888" s="229"/>
      <c r="C888" s="230"/>
      <c r="D888" s="231"/>
      <c r="E888" s="157"/>
      <c r="F888" s="12"/>
      <c r="G888" s="158"/>
    </row>
    <row r="889">
      <c r="A889" s="153"/>
      <c r="B889" s="229"/>
      <c r="C889" s="230"/>
      <c r="D889" s="231"/>
      <c r="E889" s="157"/>
      <c r="F889" s="12"/>
      <c r="G889" s="158"/>
    </row>
    <row r="890">
      <c r="A890" s="153"/>
      <c r="B890" s="229"/>
      <c r="C890" s="230"/>
      <c r="D890" s="231"/>
      <c r="E890" s="157"/>
      <c r="F890" s="12"/>
      <c r="G890" s="158"/>
    </row>
    <row r="891">
      <c r="A891" s="153"/>
      <c r="B891" s="229"/>
      <c r="C891" s="230"/>
      <c r="D891" s="231"/>
      <c r="E891" s="157"/>
      <c r="F891" s="12"/>
      <c r="G891" s="158"/>
    </row>
    <row r="892">
      <c r="A892" s="153"/>
      <c r="B892" s="229"/>
      <c r="C892" s="230"/>
      <c r="D892" s="231"/>
      <c r="E892" s="157"/>
      <c r="F892" s="12"/>
      <c r="G892" s="158"/>
    </row>
    <row r="893">
      <c r="A893" s="153"/>
      <c r="B893" s="229"/>
      <c r="C893" s="230"/>
      <c r="D893" s="231"/>
      <c r="E893" s="157"/>
      <c r="F893" s="12"/>
      <c r="G893" s="158"/>
    </row>
    <row r="894">
      <c r="A894" s="153"/>
      <c r="B894" s="229"/>
      <c r="C894" s="230"/>
      <c r="D894" s="231"/>
      <c r="E894" s="157"/>
      <c r="F894" s="12"/>
      <c r="G894" s="158"/>
    </row>
    <row r="895">
      <c r="A895" s="153"/>
      <c r="B895" s="229"/>
      <c r="C895" s="230"/>
      <c r="D895" s="231"/>
      <c r="E895" s="157"/>
      <c r="F895" s="12"/>
      <c r="G895" s="158"/>
    </row>
    <row r="896">
      <c r="A896" s="153"/>
      <c r="B896" s="229"/>
      <c r="C896" s="230"/>
      <c r="D896" s="231"/>
      <c r="E896" s="157"/>
      <c r="F896" s="12"/>
      <c r="G896" s="158"/>
    </row>
    <row r="897">
      <c r="A897" s="153"/>
      <c r="B897" s="229"/>
      <c r="C897" s="230"/>
      <c r="D897" s="231"/>
      <c r="E897" s="157"/>
      <c r="F897" s="12"/>
      <c r="G897" s="158"/>
    </row>
    <row r="898">
      <c r="A898" s="153"/>
      <c r="B898" s="229"/>
      <c r="C898" s="230"/>
      <c r="D898" s="231"/>
      <c r="E898" s="157"/>
      <c r="F898" s="12"/>
      <c r="G898" s="158"/>
    </row>
    <row r="899">
      <c r="A899" s="153"/>
      <c r="B899" s="229"/>
      <c r="C899" s="230"/>
      <c r="D899" s="231"/>
      <c r="E899" s="157"/>
      <c r="F899" s="12"/>
      <c r="G899" s="158"/>
    </row>
    <row r="900">
      <c r="A900" s="153"/>
      <c r="B900" s="229"/>
      <c r="C900" s="230"/>
      <c r="D900" s="231"/>
      <c r="E900" s="157"/>
      <c r="F900" s="12"/>
      <c r="G900" s="158"/>
    </row>
    <row r="901">
      <c r="A901" s="153"/>
      <c r="B901" s="229"/>
      <c r="C901" s="230"/>
      <c r="D901" s="231"/>
      <c r="E901" s="157"/>
      <c r="F901" s="12"/>
      <c r="G901" s="158"/>
    </row>
    <row r="902">
      <c r="A902" s="153"/>
      <c r="B902" s="229"/>
      <c r="C902" s="230"/>
      <c r="D902" s="231"/>
      <c r="E902" s="157"/>
      <c r="F902" s="12"/>
      <c r="G902" s="158"/>
    </row>
    <row r="903">
      <c r="A903" s="153"/>
      <c r="B903" s="229"/>
      <c r="C903" s="230"/>
      <c r="D903" s="231"/>
      <c r="E903" s="157"/>
      <c r="F903" s="12"/>
      <c r="G903" s="158"/>
    </row>
    <row r="904">
      <c r="A904" s="153"/>
      <c r="B904" s="229"/>
      <c r="C904" s="230"/>
      <c r="D904" s="231"/>
      <c r="E904" s="157"/>
      <c r="F904" s="12"/>
      <c r="G904" s="158"/>
    </row>
    <row r="905">
      <c r="A905" s="153"/>
      <c r="B905" s="229"/>
      <c r="C905" s="230"/>
      <c r="D905" s="231"/>
      <c r="E905" s="157"/>
      <c r="F905" s="12"/>
      <c r="G905" s="158"/>
    </row>
    <row r="906">
      <c r="A906" s="153"/>
      <c r="B906" s="229"/>
      <c r="C906" s="230"/>
      <c r="D906" s="231"/>
      <c r="E906" s="157"/>
      <c r="F906" s="12"/>
      <c r="G906" s="158"/>
    </row>
    <row r="907">
      <c r="A907" s="153"/>
      <c r="B907" s="229"/>
      <c r="C907" s="230"/>
      <c r="D907" s="231"/>
      <c r="E907" s="157"/>
      <c r="F907" s="12"/>
      <c r="G907" s="158"/>
    </row>
    <row r="908">
      <c r="A908" s="153"/>
      <c r="B908" s="229"/>
      <c r="C908" s="230"/>
      <c r="D908" s="231"/>
      <c r="E908" s="157"/>
      <c r="F908" s="12"/>
      <c r="G908" s="158"/>
    </row>
    <row r="909">
      <c r="A909" s="153"/>
      <c r="B909" s="229"/>
      <c r="C909" s="230"/>
      <c r="D909" s="231"/>
      <c r="E909" s="157"/>
      <c r="F909" s="12"/>
      <c r="G909" s="158"/>
    </row>
    <row r="910">
      <c r="A910" s="153"/>
      <c r="B910" s="229"/>
      <c r="C910" s="230"/>
      <c r="D910" s="231"/>
      <c r="E910" s="157"/>
      <c r="F910" s="12"/>
      <c r="G910" s="158"/>
    </row>
    <row r="911">
      <c r="A911" s="153"/>
      <c r="B911" s="229"/>
      <c r="C911" s="230"/>
      <c r="D911" s="231"/>
      <c r="E911" s="157"/>
      <c r="F911" s="12"/>
      <c r="G911" s="158"/>
    </row>
    <row r="912">
      <c r="A912" s="153"/>
      <c r="B912" s="229"/>
      <c r="C912" s="230"/>
      <c r="D912" s="231"/>
      <c r="E912" s="157"/>
      <c r="F912" s="12"/>
      <c r="G912" s="158"/>
    </row>
    <row r="913">
      <c r="A913" s="153"/>
      <c r="B913" s="229"/>
      <c r="C913" s="230"/>
      <c r="D913" s="231"/>
      <c r="E913" s="157"/>
      <c r="F913" s="12"/>
      <c r="G913" s="158"/>
    </row>
    <row r="914">
      <c r="A914" s="153"/>
      <c r="B914" s="229"/>
      <c r="C914" s="230"/>
      <c r="D914" s="231"/>
      <c r="E914" s="157"/>
      <c r="F914" s="12"/>
      <c r="G914" s="158"/>
    </row>
    <row r="915">
      <c r="A915" s="153"/>
      <c r="B915" s="229"/>
      <c r="C915" s="230"/>
      <c r="D915" s="231"/>
      <c r="E915" s="157"/>
      <c r="F915" s="12"/>
      <c r="G915" s="158"/>
    </row>
    <row r="916">
      <c r="A916" s="153"/>
      <c r="B916" s="229"/>
      <c r="C916" s="230"/>
      <c r="D916" s="231"/>
      <c r="E916" s="157"/>
      <c r="F916" s="12"/>
      <c r="G916" s="158"/>
    </row>
    <row r="917">
      <c r="A917" s="153"/>
      <c r="B917" s="229"/>
      <c r="C917" s="230"/>
      <c r="D917" s="231"/>
      <c r="E917" s="157"/>
      <c r="F917" s="12"/>
      <c r="G917" s="158"/>
    </row>
    <row r="918">
      <c r="A918" s="153"/>
      <c r="B918" s="229"/>
      <c r="C918" s="230"/>
      <c r="D918" s="231"/>
      <c r="E918" s="157"/>
      <c r="F918" s="12"/>
      <c r="G918" s="158"/>
    </row>
    <row r="919">
      <c r="A919" s="153"/>
      <c r="B919" s="229"/>
      <c r="C919" s="230"/>
      <c r="D919" s="231"/>
      <c r="E919" s="157"/>
      <c r="F919" s="12"/>
      <c r="G919" s="158"/>
    </row>
    <row r="920">
      <c r="A920" s="153"/>
      <c r="B920" s="229"/>
      <c r="C920" s="230"/>
      <c r="D920" s="231"/>
      <c r="E920" s="157"/>
      <c r="F920" s="12"/>
      <c r="G920" s="158"/>
    </row>
    <row r="921">
      <c r="A921" s="153"/>
      <c r="B921" s="229"/>
      <c r="C921" s="230"/>
      <c r="D921" s="231"/>
      <c r="E921" s="157"/>
      <c r="F921" s="12"/>
      <c r="G921" s="158"/>
    </row>
    <row r="922">
      <c r="A922" s="153"/>
      <c r="B922" s="229"/>
      <c r="C922" s="230"/>
      <c r="D922" s="231"/>
      <c r="E922" s="157"/>
      <c r="F922" s="12"/>
      <c r="G922" s="158"/>
    </row>
    <row r="923">
      <c r="A923" s="153"/>
      <c r="B923" s="229"/>
      <c r="C923" s="230"/>
      <c r="D923" s="231"/>
      <c r="E923" s="157"/>
      <c r="F923" s="12"/>
      <c r="G923" s="158"/>
    </row>
    <row r="924">
      <c r="A924" s="153"/>
      <c r="B924" s="229"/>
      <c r="C924" s="230"/>
      <c r="D924" s="231"/>
      <c r="E924" s="157"/>
      <c r="F924" s="12"/>
      <c r="G924" s="158"/>
    </row>
    <row r="925">
      <c r="A925" s="153"/>
      <c r="B925" s="229"/>
      <c r="C925" s="230"/>
      <c r="D925" s="231"/>
      <c r="E925" s="157"/>
      <c r="F925" s="12"/>
      <c r="G925" s="158"/>
    </row>
    <row r="926">
      <c r="A926" s="153"/>
      <c r="B926" s="229"/>
      <c r="C926" s="230"/>
      <c r="D926" s="231"/>
      <c r="E926" s="157"/>
      <c r="F926" s="12"/>
      <c r="G926" s="158"/>
    </row>
    <row r="927">
      <c r="A927" s="153"/>
      <c r="B927" s="229"/>
      <c r="C927" s="230"/>
      <c r="D927" s="231"/>
      <c r="E927" s="157"/>
      <c r="F927" s="12"/>
      <c r="G927" s="158"/>
    </row>
    <row r="928">
      <c r="A928" s="153"/>
      <c r="B928" s="229"/>
      <c r="C928" s="230"/>
      <c r="D928" s="231"/>
      <c r="E928" s="157"/>
      <c r="F928" s="12"/>
      <c r="G928" s="158"/>
    </row>
    <row r="929">
      <c r="A929" s="153"/>
      <c r="B929" s="229"/>
      <c r="C929" s="230"/>
      <c r="D929" s="231"/>
      <c r="E929" s="157"/>
      <c r="F929" s="12"/>
      <c r="G929" s="158"/>
    </row>
    <row r="930">
      <c r="A930" s="153"/>
      <c r="B930" s="229"/>
      <c r="C930" s="230"/>
      <c r="D930" s="231"/>
      <c r="E930" s="157"/>
      <c r="F930" s="12"/>
      <c r="G930" s="158"/>
    </row>
    <row r="931">
      <c r="A931" s="153"/>
      <c r="B931" s="229"/>
      <c r="C931" s="230"/>
      <c r="D931" s="231"/>
      <c r="E931" s="157"/>
      <c r="F931" s="12"/>
      <c r="G931" s="158"/>
    </row>
    <row r="932">
      <c r="A932" s="153"/>
      <c r="B932" s="229"/>
      <c r="C932" s="230"/>
      <c r="D932" s="231"/>
      <c r="E932" s="157"/>
      <c r="F932" s="12"/>
      <c r="G932" s="158"/>
    </row>
    <row r="933">
      <c r="A933" s="153"/>
      <c r="B933" s="229"/>
      <c r="C933" s="230"/>
      <c r="D933" s="231"/>
      <c r="E933" s="157"/>
      <c r="F933" s="12"/>
      <c r="G933" s="158"/>
    </row>
    <row r="934">
      <c r="A934" s="153"/>
      <c r="B934" s="229"/>
      <c r="C934" s="230"/>
      <c r="D934" s="231"/>
      <c r="E934" s="157"/>
      <c r="F934" s="12"/>
      <c r="G934" s="158"/>
    </row>
    <row r="935">
      <c r="A935" s="153"/>
      <c r="B935" s="229"/>
      <c r="C935" s="230"/>
      <c r="D935" s="231"/>
      <c r="E935" s="157"/>
      <c r="F935" s="12"/>
      <c r="G935" s="158"/>
    </row>
    <row r="936">
      <c r="A936" s="153"/>
      <c r="B936" s="229"/>
      <c r="C936" s="230"/>
      <c r="D936" s="231"/>
      <c r="E936" s="157"/>
      <c r="F936" s="12"/>
      <c r="G936" s="158"/>
    </row>
    <row r="937">
      <c r="A937" s="153"/>
      <c r="B937" s="229"/>
      <c r="C937" s="230"/>
      <c r="D937" s="231"/>
      <c r="E937" s="157"/>
      <c r="F937" s="12"/>
      <c r="G937" s="158"/>
    </row>
    <row r="938">
      <c r="A938" s="153"/>
      <c r="B938" s="229"/>
      <c r="C938" s="230"/>
      <c r="D938" s="231"/>
      <c r="E938" s="157"/>
      <c r="F938" s="12"/>
      <c r="G938" s="158"/>
    </row>
    <row r="939">
      <c r="A939" s="153"/>
      <c r="B939" s="229"/>
      <c r="C939" s="230"/>
      <c r="D939" s="231"/>
      <c r="E939" s="157"/>
      <c r="F939" s="12"/>
      <c r="G939" s="158"/>
    </row>
    <row r="940">
      <c r="A940" s="153"/>
      <c r="B940" s="229"/>
      <c r="C940" s="230"/>
      <c r="D940" s="231"/>
      <c r="E940" s="157"/>
      <c r="F940" s="12"/>
      <c r="G940" s="158"/>
    </row>
    <row r="941">
      <c r="A941" s="153"/>
      <c r="B941" s="229"/>
      <c r="C941" s="230"/>
      <c r="D941" s="231"/>
      <c r="E941" s="157"/>
      <c r="F941" s="12"/>
      <c r="G941" s="158"/>
    </row>
    <row r="942">
      <c r="A942" s="153"/>
      <c r="B942" s="229"/>
      <c r="C942" s="230"/>
      <c r="D942" s="231"/>
      <c r="E942" s="157"/>
      <c r="F942" s="12"/>
      <c r="G942" s="158"/>
    </row>
    <row r="943">
      <c r="A943" s="153"/>
      <c r="B943" s="229"/>
      <c r="C943" s="230"/>
      <c r="D943" s="231"/>
      <c r="E943" s="157"/>
      <c r="F943" s="12"/>
      <c r="G943" s="158"/>
    </row>
    <row r="944">
      <c r="A944" s="153"/>
      <c r="B944" s="229"/>
      <c r="C944" s="230"/>
      <c r="D944" s="231"/>
      <c r="E944" s="157"/>
      <c r="F944" s="12"/>
      <c r="G944" s="158"/>
    </row>
    <row r="945">
      <c r="A945" s="153"/>
      <c r="B945" s="229"/>
      <c r="C945" s="230"/>
      <c r="D945" s="231"/>
      <c r="E945" s="157"/>
      <c r="F945" s="12"/>
      <c r="G945" s="158"/>
    </row>
    <row r="946">
      <c r="A946" s="153"/>
      <c r="B946" s="229"/>
      <c r="C946" s="230"/>
      <c r="D946" s="231"/>
      <c r="E946" s="157"/>
      <c r="F946" s="12"/>
      <c r="G946" s="158"/>
    </row>
    <row r="947">
      <c r="A947" s="153"/>
      <c r="B947" s="229"/>
      <c r="C947" s="230"/>
      <c r="D947" s="231"/>
      <c r="E947" s="157"/>
      <c r="F947" s="12"/>
      <c r="G947" s="158"/>
    </row>
    <row r="948">
      <c r="A948" s="153"/>
      <c r="B948" s="229"/>
      <c r="C948" s="230"/>
      <c r="D948" s="231"/>
      <c r="E948" s="157"/>
      <c r="F948" s="12"/>
      <c r="G948" s="158"/>
    </row>
    <row r="949">
      <c r="A949" s="153"/>
      <c r="B949" s="229"/>
      <c r="C949" s="230"/>
      <c r="D949" s="231"/>
      <c r="E949" s="157"/>
      <c r="F949" s="12"/>
      <c r="G949" s="158"/>
    </row>
    <row r="950">
      <c r="A950" s="153"/>
      <c r="B950" s="229"/>
      <c r="C950" s="230"/>
      <c r="D950" s="231"/>
      <c r="E950" s="157"/>
      <c r="F950" s="12"/>
      <c r="G950" s="158"/>
    </row>
    <row r="951">
      <c r="A951" s="153"/>
      <c r="B951" s="229"/>
      <c r="C951" s="230"/>
      <c r="D951" s="231"/>
      <c r="E951" s="157"/>
      <c r="F951" s="12"/>
      <c r="G951" s="158"/>
    </row>
    <row r="952">
      <c r="A952" s="153"/>
      <c r="B952" s="229"/>
      <c r="C952" s="230"/>
      <c r="D952" s="231"/>
      <c r="E952" s="157"/>
      <c r="F952" s="12"/>
      <c r="G952" s="158"/>
    </row>
    <row r="953">
      <c r="A953" s="153"/>
      <c r="B953" s="229"/>
      <c r="C953" s="230"/>
      <c r="D953" s="231"/>
      <c r="E953" s="157"/>
      <c r="F953" s="12"/>
      <c r="G953" s="158"/>
    </row>
    <row r="954">
      <c r="A954" s="153"/>
      <c r="B954" s="229"/>
      <c r="C954" s="230"/>
      <c r="D954" s="231"/>
      <c r="E954" s="157"/>
      <c r="F954" s="12"/>
      <c r="G954" s="158"/>
    </row>
    <row r="955">
      <c r="A955" s="153"/>
      <c r="B955" s="229"/>
      <c r="C955" s="230"/>
      <c r="D955" s="231"/>
      <c r="E955" s="157"/>
      <c r="F955" s="12"/>
      <c r="G955" s="158"/>
    </row>
    <row r="956">
      <c r="A956" s="153"/>
      <c r="B956" s="229"/>
      <c r="C956" s="230"/>
      <c r="D956" s="231"/>
      <c r="E956" s="157"/>
      <c r="F956" s="12"/>
      <c r="G956" s="158"/>
    </row>
    <row r="957">
      <c r="A957" s="153"/>
      <c r="B957" s="229"/>
      <c r="C957" s="230"/>
      <c r="D957" s="231"/>
      <c r="E957" s="157"/>
      <c r="F957" s="12"/>
      <c r="G957" s="158"/>
    </row>
    <row r="958">
      <c r="A958" s="153"/>
      <c r="B958" s="229"/>
      <c r="C958" s="230"/>
      <c r="D958" s="231"/>
      <c r="E958" s="157"/>
      <c r="F958" s="12"/>
      <c r="G958" s="158"/>
    </row>
    <row r="959">
      <c r="A959" s="153"/>
      <c r="B959" s="229"/>
      <c r="C959" s="230"/>
      <c r="D959" s="231"/>
      <c r="E959" s="157"/>
      <c r="F959" s="12"/>
      <c r="G959" s="158"/>
    </row>
    <row r="960">
      <c r="A960" s="153"/>
      <c r="B960" s="229"/>
      <c r="C960" s="230"/>
      <c r="D960" s="231"/>
      <c r="E960" s="157"/>
      <c r="F960" s="12"/>
      <c r="G960" s="158"/>
    </row>
    <row r="961">
      <c r="A961" s="153"/>
      <c r="B961" s="229"/>
      <c r="C961" s="230"/>
      <c r="D961" s="231"/>
      <c r="E961" s="157"/>
      <c r="F961" s="12"/>
      <c r="G961" s="158"/>
    </row>
    <row r="962">
      <c r="A962" s="153"/>
      <c r="B962" s="229"/>
      <c r="C962" s="230"/>
      <c r="D962" s="231"/>
      <c r="E962" s="157"/>
      <c r="F962" s="12"/>
      <c r="G962" s="158"/>
    </row>
    <row r="963">
      <c r="A963" s="153"/>
      <c r="B963" s="229"/>
      <c r="C963" s="230"/>
      <c r="D963" s="231"/>
      <c r="E963" s="157"/>
      <c r="F963" s="12"/>
      <c r="G963" s="158"/>
    </row>
    <row r="964">
      <c r="A964" s="153"/>
      <c r="B964" s="229"/>
      <c r="C964" s="230"/>
      <c r="D964" s="231"/>
      <c r="E964" s="157"/>
      <c r="F964" s="12"/>
      <c r="G964" s="158"/>
    </row>
    <row r="965">
      <c r="A965" s="153"/>
      <c r="B965" s="229"/>
      <c r="C965" s="230"/>
      <c r="D965" s="231"/>
      <c r="E965" s="157"/>
      <c r="F965" s="12"/>
      <c r="G965" s="158"/>
    </row>
    <row r="966">
      <c r="A966" s="153"/>
      <c r="B966" s="229"/>
      <c r="C966" s="230"/>
      <c r="D966" s="231"/>
      <c r="E966" s="157"/>
      <c r="F966" s="12"/>
      <c r="G966" s="158"/>
    </row>
    <row r="967">
      <c r="A967" s="153"/>
      <c r="B967" s="229"/>
      <c r="C967" s="230"/>
      <c r="D967" s="231"/>
      <c r="E967" s="157"/>
      <c r="F967" s="12"/>
      <c r="G967" s="158"/>
    </row>
    <row r="968">
      <c r="A968" s="153"/>
      <c r="B968" s="229"/>
      <c r="C968" s="230"/>
      <c r="D968" s="231"/>
      <c r="E968" s="157"/>
      <c r="F968" s="12"/>
      <c r="G968" s="158"/>
    </row>
    <row r="969">
      <c r="A969" s="153"/>
      <c r="B969" s="229"/>
      <c r="C969" s="230"/>
      <c r="D969" s="231"/>
      <c r="E969" s="157"/>
      <c r="F969" s="12"/>
      <c r="G969" s="158"/>
    </row>
    <row r="970">
      <c r="A970" s="153"/>
      <c r="B970" s="229"/>
      <c r="C970" s="230"/>
      <c r="D970" s="231"/>
      <c r="E970" s="157"/>
      <c r="F970" s="12"/>
      <c r="G970" s="158"/>
    </row>
    <row r="971">
      <c r="A971" s="153"/>
      <c r="B971" s="229"/>
      <c r="C971" s="230"/>
      <c r="D971" s="231"/>
      <c r="E971" s="157"/>
      <c r="F971" s="12"/>
      <c r="G971" s="158"/>
    </row>
    <row r="972">
      <c r="A972" s="153"/>
      <c r="B972" s="229"/>
      <c r="C972" s="230"/>
      <c r="D972" s="231"/>
      <c r="E972" s="157"/>
      <c r="F972" s="12"/>
      <c r="G972" s="158"/>
    </row>
    <row r="973">
      <c r="A973" s="153"/>
      <c r="B973" s="229"/>
      <c r="C973" s="230"/>
      <c r="D973" s="231"/>
      <c r="E973" s="157"/>
      <c r="F973" s="12"/>
      <c r="G973" s="158"/>
    </row>
    <row r="974">
      <c r="A974" s="153"/>
      <c r="B974" s="229"/>
      <c r="C974" s="230"/>
      <c r="D974" s="231"/>
      <c r="E974" s="157"/>
      <c r="F974" s="12"/>
      <c r="G974" s="158"/>
    </row>
    <row r="975">
      <c r="A975" s="153"/>
      <c r="B975" s="229"/>
      <c r="C975" s="230"/>
      <c r="D975" s="231"/>
      <c r="E975" s="157"/>
      <c r="F975" s="12"/>
      <c r="G975" s="158"/>
    </row>
    <row r="976">
      <c r="A976" s="153"/>
      <c r="B976" s="229"/>
      <c r="C976" s="230"/>
      <c r="D976" s="231"/>
      <c r="E976" s="157"/>
      <c r="F976" s="12"/>
      <c r="G976" s="158"/>
    </row>
    <row r="977">
      <c r="A977" s="153"/>
      <c r="B977" s="229"/>
      <c r="C977" s="230"/>
      <c r="D977" s="231"/>
      <c r="E977" s="157"/>
      <c r="F977" s="12"/>
      <c r="G977" s="158"/>
    </row>
    <row r="978">
      <c r="A978" s="153"/>
      <c r="B978" s="229"/>
      <c r="C978" s="230"/>
      <c r="D978" s="231"/>
      <c r="E978" s="157"/>
      <c r="F978" s="12"/>
      <c r="G978" s="158"/>
    </row>
    <row r="979">
      <c r="A979" s="153"/>
      <c r="B979" s="229"/>
      <c r="C979" s="230"/>
      <c r="D979" s="231"/>
      <c r="E979" s="157"/>
      <c r="F979" s="12"/>
      <c r="G979" s="158"/>
    </row>
    <row r="980">
      <c r="A980" s="153"/>
      <c r="B980" s="229"/>
      <c r="C980" s="230"/>
      <c r="D980" s="231"/>
      <c r="E980" s="157"/>
      <c r="F980" s="12"/>
      <c r="G980" s="158"/>
    </row>
    <row r="981">
      <c r="A981" s="153"/>
      <c r="B981" s="229"/>
      <c r="C981" s="230"/>
      <c r="D981" s="231"/>
      <c r="E981" s="157"/>
      <c r="F981" s="12"/>
      <c r="G981" s="158"/>
    </row>
    <row r="982">
      <c r="A982" s="153"/>
      <c r="B982" s="229"/>
      <c r="C982" s="230"/>
      <c r="D982" s="231"/>
      <c r="E982" s="157"/>
      <c r="F982" s="12"/>
      <c r="G982" s="158"/>
    </row>
    <row r="983">
      <c r="A983" s="153"/>
      <c r="B983" s="229"/>
      <c r="C983" s="230"/>
      <c r="D983" s="231"/>
      <c r="E983" s="157"/>
      <c r="F983" s="12"/>
      <c r="G983" s="158"/>
    </row>
    <row r="984">
      <c r="A984" s="153"/>
      <c r="B984" s="229"/>
      <c r="C984" s="230"/>
      <c r="D984" s="231"/>
      <c r="E984" s="157"/>
      <c r="F984" s="12"/>
      <c r="G984" s="158"/>
    </row>
    <row r="985">
      <c r="A985" s="153"/>
      <c r="B985" s="229"/>
      <c r="C985" s="230"/>
      <c r="D985" s="231"/>
      <c r="E985" s="157"/>
      <c r="F985" s="12"/>
      <c r="G985" s="158"/>
    </row>
    <row r="986">
      <c r="A986" s="153"/>
      <c r="B986" s="229"/>
      <c r="C986" s="230"/>
      <c r="D986" s="231"/>
      <c r="E986" s="157"/>
      <c r="F986" s="12"/>
      <c r="G986" s="158"/>
    </row>
    <row r="987">
      <c r="A987" s="153"/>
      <c r="B987" s="229"/>
      <c r="C987" s="230"/>
      <c r="D987" s="231"/>
      <c r="E987" s="157"/>
      <c r="F987" s="12"/>
      <c r="G987" s="158"/>
    </row>
    <row r="988">
      <c r="A988" s="153"/>
      <c r="B988" s="229"/>
      <c r="C988" s="230"/>
      <c r="D988" s="231"/>
      <c r="E988" s="157"/>
      <c r="F988" s="12"/>
      <c r="G988" s="158"/>
    </row>
    <row r="989">
      <c r="A989" s="153"/>
      <c r="B989" s="229"/>
      <c r="C989" s="230"/>
      <c r="D989" s="231"/>
      <c r="E989" s="157"/>
      <c r="F989" s="12"/>
      <c r="G989" s="158"/>
    </row>
    <row r="990">
      <c r="A990" s="153"/>
      <c r="B990" s="229"/>
      <c r="C990" s="230"/>
      <c r="D990" s="231"/>
      <c r="E990" s="157"/>
      <c r="F990" s="12"/>
      <c r="G990" s="158"/>
    </row>
    <row r="991">
      <c r="A991" s="153"/>
      <c r="B991" s="229"/>
      <c r="C991" s="230"/>
      <c r="D991" s="231"/>
      <c r="E991" s="157"/>
      <c r="F991" s="12"/>
      <c r="G991" s="158"/>
    </row>
    <row r="992">
      <c r="A992" s="153"/>
      <c r="B992" s="229"/>
      <c r="C992" s="230"/>
      <c r="D992" s="231"/>
      <c r="E992" s="157"/>
      <c r="F992" s="12"/>
      <c r="G992" s="158"/>
    </row>
    <row r="993">
      <c r="A993" s="153"/>
      <c r="B993" s="229"/>
      <c r="C993" s="230"/>
      <c r="D993" s="231"/>
      <c r="E993" s="157"/>
      <c r="F993" s="12"/>
      <c r="G993" s="158"/>
    </row>
    <row r="994">
      <c r="A994" s="153"/>
      <c r="B994" s="229"/>
      <c r="C994" s="230"/>
      <c r="D994" s="231"/>
      <c r="E994" s="157"/>
      <c r="F994" s="12"/>
      <c r="G994" s="158"/>
    </row>
    <row r="995">
      <c r="A995" s="153"/>
      <c r="B995" s="229"/>
      <c r="C995" s="230"/>
      <c r="D995" s="231"/>
      <c r="E995" s="157"/>
      <c r="F995" s="12"/>
      <c r="G995" s="158"/>
    </row>
    <row r="996">
      <c r="A996" s="153"/>
      <c r="B996" s="229"/>
      <c r="C996" s="230"/>
      <c r="D996" s="231"/>
      <c r="E996" s="157"/>
      <c r="F996" s="12"/>
      <c r="G996" s="158"/>
    </row>
    <row r="997">
      <c r="A997" s="153"/>
      <c r="B997" s="229"/>
      <c r="C997" s="230"/>
      <c r="D997" s="231"/>
      <c r="E997" s="157"/>
      <c r="F997" s="12"/>
      <c r="G997" s="158"/>
    </row>
    <row r="998">
      <c r="A998" s="153"/>
      <c r="B998" s="229"/>
      <c r="C998" s="230"/>
      <c r="D998" s="231"/>
      <c r="E998" s="157"/>
      <c r="F998" s="12"/>
      <c r="G998" s="158"/>
    </row>
    <row r="999">
      <c r="A999" s="153"/>
      <c r="B999" s="229"/>
      <c r="C999" s="230"/>
      <c r="D999" s="231"/>
      <c r="E999" s="157"/>
      <c r="F999" s="12"/>
      <c r="G999" s="158"/>
    </row>
    <row r="1000">
      <c r="A1000" s="153"/>
      <c r="B1000" s="229"/>
      <c r="C1000" s="230"/>
      <c r="D1000" s="231"/>
      <c r="E1000" s="157"/>
      <c r="F1000" s="12"/>
      <c r="G1000" s="158"/>
    </row>
    <row r="1001">
      <c r="A1001" s="153"/>
      <c r="B1001" s="229"/>
      <c r="C1001" s="230"/>
      <c r="D1001" s="231"/>
      <c r="E1001" s="157"/>
      <c r="F1001" s="12"/>
      <c r="G1001" s="158"/>
    </row>
    <row r="1002">
      <c r="A1002" s="153"/>
      <c r="B1002" s="229"/>
      <c r="C1002" s="230"/>
      <c r="D1002" s="231"/>
      <c r="E1002" s="157"/>
      <c r="F1002" s="12"/>
      <c r="G1002" s="158"/>
    </row>
    <row r="1003">
      <c r="A1003" s="153"/>
      <c r="B1003" s="229"/>
      <c r="C1003" s="230"/>
      <c r="D1003" s="231"/>
      <c r="E1003" s="157"/>
      <c r="F1003" s="12"/>
      <c r="G1003" s="158"/>
    </row>
    <row r="1004">
      <c r="A1004" s="153"/>
      <c r="B1004" s="229"/>
      <c r="C1004" s="230"/>
      <c r="D1004" s="231"/>
      <c r="E1004" s="157"/>
      <c r="F1004" s="12"/>
      <c r="G1004" s="158"/>
    </row>
    <row r="1005">
      <c r="A1005" s="153"/>
      <c r="B1005" s="229"/>
      <c r="C1005" s="230"/>
      <c r="D1005" s="231"/>
      <c r="E1005" s="157"/>
      <c r="F1005" s="12"/>
      <c r="G1005" s="158"/>
    </row>
    <row r="1006">
      <c r="A1006" s="153"/>
      <c r="B1006" s="229"/>
      <c r="C1006" s="230"/>
      <c r="D1006" s="231"/>
      <c r="E1006" s="157"/>
      <c r="F1006" s="12"/>
      <c r="G1006" s="158"/>
    </row>
    <row r="1007">
      <c r="A1007" s="153"/>
      <c r="B1007" s="229"/>
      <c r="C1007" s="230"/>
      <c r="D1007" s="231"/>
      <c r="E1007" s="157"/>
      <c r="F1007" s="12"/>
      <c r="G1007" s="158"/>
    </row>
    <row r="1008">
      <c r="A1008" s="153"/>
      <c r="B1008" s="229"/>
      <c r="C1008" s="230"/>
      <c r="D1008" s="231"/>
      <c r="E1008" s="157"/>
      <c r="F1008" s="12"/>
      <c r="G1008" s="158"/>
    </row>
  </sheetData>
  <mergeCells count="40">
    <mergeCell ref="I10:I17"/>
    <mergeCell ref="I20:I22"/>
    <mergeCell ref="I23:I24"/>
    <mergeCell ref="I26:I27"/>
    <mergeCell ref="A27:D27"/>
    <mergeCell ref="A28:D28"/>
    <mergeCell ref="I29:I30"/>
    <mergeCell ref="A29:D29"/>
    <mergeCell ref="A30:D30"/>
    <mergeCell ref="A31:D31"/>
    <mergeCell ref="A32:D32"/>
    <mergeCell ref="A33:D33"/>
    <mergeCell ref="A34:D34"/>
    <mergeCell ref="A35:D35"/>
    <mergeCell ref="A36:D36"/>
    <mergeCell ref="A37:D37"/>
    <mergeCell ref="A38:D38"/>
    <mergeCell ref="A39:D39"/>
    <mergeCell ref="A40:D40"/>
    <mergeCell ref="A41:D41"/>
    <mergeCell ref="A42:D42"/>
    <mergeCell ref="A43:D43"/>
    <mergeCell ref="A44:D44"/>
    <mergeCell ref="A45:D45"/>
    <mergeCell ref="A46:D46"/>
    <mergeCell ref="A47:D47"/>
    <mergeCell ref="A48:D48"/>
    <mergeCell ref="A49:D49"/>
    <mergeCell ref="A57:D57"/>
    <mergeCell ref="A58:D58"/>
    <mergeCell ref="A59:D59"/>
    <mergeCell ref="A60:D60"/>
    <mergeCell ref="A61:D61"/>
    <mergeCell ref="A50:D50"/>
    <mergeCell ref="A51:D51"/>
    <mergeCell ref="A52:D52"/>
    <mergeCell ref="A53:D53"/>
    <mergeCell ref="A54:D54"/>
    <mergeCell ref="A55:D55"/>
    <mergeCell ref="A56:D56"/>
  </mergeCells>
  <conditionalFormatting sqref="G2:I2 B9:D24">
    <cfRule type="expression" dxfId="13" priority="1">
      <formula>$A2="Yes!"</formula>
    </cfRule>
  </conditionalFormatting>
  <conditionalFormatting sqref="A9:A24">
    <cfRule type="containsText" dxfId="14" priority="2" operator="containsText" text="No">
      <formula>NOT(ISERROR(SEARCH(("No"),(A9))))</formula>
    </cfRule>
  </conditionalFormatting>
  <conditionalFormatting sqref="A9:A24">
    <cfRule type="containsText" dxfId="15" priority="3" operator="containsText" text="Yes">
      <formula>NOT(ISERROR(SEARCH(("Yes"),(A9))))</formula>
    </cfRule>
  </conditionalFormatting>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1" width="21.38"/>
    <col customWidth="1" min="2" max="2" width="15.13"/>
    <col customWidth="1" min="3" max="3" width="10.75"/>
    <col customWidth="1" min="4" max="4" width="9.0"/>
    <col customWidth="1" min="10" max="10" width="11.0"/>
    <col customWidth="1" min="12" max="12" width="11.63"/>
  </cols>
  <sheetData>
    <row r="1">
      <c r="A1" s="203" t="str">
        <f>IFERROR(__xludf.DUMMYFUNCTION("IMPORTRANGE(""https://docs.google.com/spreadsheets/d/1PPFix0KE5FV0_ekB8X93l4fBTTlhI3_4FnP7klgfg_Y/edit?gid=0#gid=0"", ""Combat!a1:z30"")"),"")</f>
        <v/>
      </c>
      <c r="B1" s="204" t="str">
        <f>IFERROR(__xludf.DUMMYFUNCTION("""COMPUTED_VALUE"""),"Arden")</f>
        <v>Arden</v>
      </c>
      <c r="C1" s="206" t="str">
        <f>IFERROR(__xludf.DUMMYFUNCTION("""COMPUTED_VALUE"""),"Clairia")</f>
        <v>Clairia</v>
      </c>
      <c r="D1" s="204" t="str">
        <f>IFERROR(__xludf.DUMMYFUNCTION("""COMPUTED_VALUE"""),"Doloron")</f>
        <v>Doloron</v>
      </c>
      <c r="E1" s="204" t="str">
        <f>IFERROR(__xludf.DUMMYFUNCTION("""COMPUTED_VALUE"""),"Elsewhich")</f>
        <v>Elsewhich</v>
      </c>
      <c r="F1" s="209" t="str">
        <f>IFERROR(__xludf.DUMMYFUNCTION("""COMPUTED_VALUE"""),"Glendeep")</f>
        <v>Glendeep</v>
      </c>
      <c r="G1" s="209" t="str">
        <f>IFERROR(__xludf.DUMMYFUNCTION("""COMPUTED_VALUE"""),"Keer")</f>
        <v>Keer</v>
      </c>
      <c r="H1" s="209" t="str">
        <f>IFERROR(__xludf.DUMMYFUNCTION("""COMPUTED_VALUE"""),"Noctara")</f>
        <v>Noctara</v>
      </c>
      <c r="I1" s="209" t="str">
        <f>IFERROR(__xludf.DUMMYFUNCTION("""COMPUTED_VALUE"""),"P'loa")</f>
        <v>P'loa</v>
      </c>
      <c r="J1" s="209" t="str">
        <f>IFERROR(__xludf.DUMMYFUNCTION("""COMPUTED_VALUE"""),"Sythwan")</f>
        <v>Sythwan</v>
      </c>
      <c r="K1" s="204" t="str">
        <f>IFERROR(__xludf.DUMMYFUNCTION("""COMPUTED_VALUE"""),"Uri-Kesh")</f>
        <v>Uri-Kesh</v>
      </c>
      <c r="L1" s="204" t="str">
        <f>IFERROR(__xludf.DUMMYFUNCTION("""COMPUTED_VALUE"""),"Waylon")</f>
        <v>Waylon</v>
      </c>
      <c r="M1" s="212" t="str">
        <f>IFERROR(__xludf.DUMMYFUNCTION("""COMPUTED_VALUE"""),"Notes")</f>
        <v>Notes</v>
      </c>
      <c r="N1" s="212"/>
      <c r="O1" s="212"/>
      <c r="P1" s="212"/>
      <c r="Q1" s="212"/>
      <c r="R1" s="212"/>
      <c r="S1" s="212"/>
      <c r="T1" s="212"/>
      <c r="U1" s="212"/>
      <c r="V1" s="212"/>
      <c r="W1" s="212"/>
      <c r="X1" s="212"/>
      <c r="Y1" s="212"/>
    </row>
    <row r="2">
      <c r="A2" s="213" t="str">
        <f>IFERROR(__xludf.DUMMYFUNCTION("""COMPUTED_VALUE"""),"Chitter 1")</f>
        <v>Chitter 1</v>
      </c>
      <c r="B2" s="12" t="b">
        <f>IFERROR(__xludf.DUMMYFUNCTION("""COMPUTED_VALUE"""),TRUE)</f>
        <v>1</v>
      </c>
      <c r="C2" s="137" t="b">
        <f>IFERROR(__xludf.DUMMYFUNCTION("""COMPUTED_VALUE"""),TRUE)</f>
        <v>1</v>
      </c>
      <c r="D2" s="214" t="b">
        <f>IFERROR(__xludf.DUMMYFUNCTION("""COMPUTED_VALUE"""),TRUE)</f>
        <v>1</v>
      </c>
      <c r="E2" s="215" t="b">
        <f>IFERROR(__xludf.DUMMYFUNCTION("""COMPUTED_VALUE"""),FALSE)</f>
        <v>0</v>
      </c>
      <c r="F2" s="214" t="b">
        <f>IFERROR(__xludf.DUMMYFUNCTION("""COMPUTED_VALUE"""),TRUE)</f>
        <v>1</v>
      </c>
      <c r="G2" s="214" t="b">
        <f>IFERROR(__xludf.DUMMYFUNCTION("""COMPUTED_VALUE"""),TRUE)</f>
        <v>1</v>
      </c>
      <c r="H2" s="214" t="b">
        <f>IFERROR(__xludf.DUMMYFUNCTION("""COMPUTED_VALUE"""),FALSE)</f>
        <v>0</v>
      </c>
      <c r="I2" s="214" t="b">
        <f>IFERROR(__xludf.DUMMYFUNCTION("""COMPUTED_VALUE"""),FALSE)</f>
        <v>0</v>
      </c>
      <c r="J2" s="214" t="b">
        <f>IFERROR(__xludf.DUMMYFUNCTION("""COMPUTED_VALUE"""),FALSE)</f>
        <v>0</v>
      </c>
      <c r="K2" s="214" t="b">
        <f>IFERROR(__xludf.DUMMYFUNCTION("""COMPUTED_VALUE"""),FALSE)</f>
        <v>0</v>
      </c>
      <c r="L2" s="214" t="b">
        <f>IFERROR(__xludf.DUMMYFUNCTION("""COMPUTED_VALUE"""),FALSE)</f>
        <v>0</v>
      </c>
      <c r="M2" s="214" t="str">
        <f>IFERROR(__xludf.DUMMYFUNCTION("""COMPUTED_VALUE"""),"Arden, Doloron, and Keer hit the chitters as a single group and got one bag between them. Elsewhich met us right after Claria and did not have pre-breakfast combat. All rangers were right on the soothing chitters function. (GR - 7AM)")</f>
        <v>Arden, Doloron, and Keer hit the chitters as a single group and got one bag between them. Elsewhich met us right after Claria and did not have pre-breakfast combat. All rangers were right on the soothing chitters function. (GR - 7AM)</v>
      </c>
      <c r="N2" s="214"/>
      <c r="O2" s="214"/>
      <c r="P2" s="214"/>
      <c r="Q2" s="214"/>
      <c r="R2" s="214"/>
      <c r="S2" s="214"/>
      <c r="T2" s="214"/>
      <c r="U2" s="214"/>
      <c r="V2" s="214"/>
      <c r="W2" s="214"/>
      <c r="X2" s="214"/>
      <c r="Y2" s="214"/>
    </row>
    <row r="3">
      <c r="A3" s="216" t="str">
        <f>IFERROR(__xludf.DUMMYFUNCTION("""COMPUTED_VALUE"""),"Chitter 2")</f>
        <v>Chitter 2</v>
      </c>
      <c r="B3" s="12" t="b">
        <f>IFERROR(__xludf.DUMMYFUNCTION("""COMPUTED_VALUE"""),FALSE)</f>
        <v>0</v>
      </c>
      <c r="C3" s="137" t="b">
        <f>IFERROR(__xludf.DUMMYFUNCTION("""COMPUTED_VALUE"""),FALSE)</f>
        <v>0</v>
      </c>
      <c r="D3" s="214" t="b">
        <f>IFERROR(__xludf.DUMMYFUNCTION("""COMPUTED_VALUE"""),FALSE)</f>
        <v>0</v>
      </c>
      <c r="E3" s="215" t="b">
        <f>IFERROR(__xludf.DUMMYFUNCTION("""COMPUTED_VALUE"""),FALSE)</f>
        <v>0</v>
      </c>
      <c r="F3" s="214" t="b">
        <f>IFERROR(__xludf.DUMMYFUNCTION("""COMPUTED_VALUE"""),FALSE)</f>
        <v>0</v>
      </c>
      <c r="G3" s="214" t="b">
        <f>IFERROR(__xludf.DUMMYFUNCTION("""COMPUTED_VALUE"""),FALSE)</f>
        <v>0</v>
      </c>
      <c r="H3" s="214" t="b">
        <f>IFERROR(__xludf.DUMMYFUNCTION("""COMPUTED_VALUE"""),FALSE)</f>
        <v>0</v>
      </c>
      <c r="I3" s="214" t="b">
        <f>IFERROR(__xludf.DUMMYFUNCTION("""COMPUTED_VALUE"""),FALSE)</f>
        <v>0</v>
      </c>
      <c r="J3" s="214" t="b">
        <f>IFERROR(__xludf.DUMMYFUNCTION("""COMPUTED_VALUE"""),FALSE)</f>
        <v>0</v>
      </c>
      <c r="K3" s="214" t="b">
        <f>IFERROR(__xludf.DUMMYFUNCTION("""COMPUTED_VALUE"""),FALSE)</f>
        <v>0</v>
      </c>
      <c r="L3" s="214" t="b">
        <f>IFERROR(__xludf.DUMMYFUNCTION("""COMPUTED_VALUE"""),FALSE)</f>
        <v>0</v>
      </c>
      <c r="M3" s="214"/>
      <c r="N3" s="214"/>
      <c r="O3" s="214"/>
      <c r="P3" s="214"/>
      <c r="Q3" s="214"/>
      <c r="R3" s="214"/>
      <c r="S3" s="214"/>
      <c r="T3" s="214"/>
      <c r="U3" s="214" t="str">
        <f>IFERROR(__xludf.DUMMYFUNCTION("""COMPUTED_VALUE"""),"TOTALS")</f>
        <v>TOTALS</v>
      </c>
      <c r="V3" s="214"/>
      <c r="W3" s="214"/>
      <c r="X3" s="214"/>
      <c r="Y3" s="214"/>
    </row>
    <row r="4">
      <c r="A4" s="216" t="str">
        <f>IFERROR(__xludf.DUMMYFUNCTION("""COMPUTED_VALUE"""),"Chitter 3")</f>
        <v>Chitter 3</v>
      </c>
      <c r="B4" s="48" t="b">
        <f>IFERROR(__xludf.DUMMYFUNCTION("""COMPUTED_VALUE"""),FALSE)</f>
        <v>0</v>
      </c>
      <c r="C4" s="217" t="b">
        <f>IFERROR(__xludf.DUMMYFUNCTION("""COMPUTED_VALUE"""),TRUE)</f>
        <v>1</v>
      </c>
      <c r="D4" s="214" t="b">
        <f>IFERROR(__xludf.DUMMYFUNCTION("""COMPUTED_VALUE"""),FALSE)</f>
        <v>0</v>
      </c>
      <c r="E4" s="215" t="b">
        <f>IFERROR(__xludf.DUMMYFUNCTION("""COMPUTED_VALUE"""),FALSE)</f>
        <v>0</v>
      </c>
      <c r="F4" s="214" t="b">
        <f>IFERROR(__xludf.DUMMYFUNCTION("""COMPUTED_VALUE"""),FALSE)</f>
        <v>0</v>
      </c>
      <c r="G4" s="214" t="b">
        <f>IFERROR(__xludf.DUMMYFUNCTION("""COMPUTED_VALUE"""),FALSE)</f>
        <v>0</v>
      </c>
      <c r="H4" s="214" t="b">
        <f>IFERROR(__xludf.DUMMYFUNCTION("""COMPUTED_VALUE"""),TRUE)</f>
        <v>1</v>
      </c>
      <c r="I4" s="214" t="b">
        <f>IFERROR(__xludf.DUMMYFUNCTION("""COMPUTED_VALUE"""),FALSE)</f>
        <v>0</v>
      </c>
      <c r="J4" s="214" t="b">
        <f>IFERROR(__xludf.DUMMYFUNCTION("""COMPUTED_VALUE"""),TRUE)</f>
        <v>1</v>
      </c>
      <c r="K4" s="214" t="b">
        <f>IFERROR(__xludf.DUMMYFUNCTION("""COMPUTED_VALUE"""),TRUE)</f>
        <v>1</v>
      </c>
      <c r="L4" s="214" t="b">
        <f>IFERROR(__xludf.DUMMYFUNCTION("""COMPUTED_VALUE"""),FALSE)</f>
        <v>0</v>
      </c>
      <c r="M4" s="214" t="str">
        <f>IFERROR(__xludf.DUMMYFUNCTION("""COMPUTED_VALUE"""),"Fought Sythwan twice. They used soothing once and move in shadows once. Uri-Kesh and Clairia fought chitters together.")</f>
        <v>Fought Sythwan twice. They used soothing once and move in shadows once. Uri-Kesh and Clairia fought chitters together.</v>
      </c>
      <c r="N4" s="214"/>
      <c r="O4" s="214"/>
      <c r="P4" s="214"/>
      <c r="Q4" s="214"/>
      <c r="R4" s="214"/>
      <c r="S4" s="214"/>
      <c r="T4" s="214"/>
      <c r="U4" s="214" t="str">
        <f>IFERROR(__xludf.DUMMYFUNCTION("""COMPUTED_VALUE"""),"Arden")</f>
        <v>Arden</v>
      </c>
      <c r="V4" s="214">
        <f>IFERROR(__xludf.DUMMYFUNCTION("""COMPUTED_VALUE"""),9.0)</f>
        <v>9</v>
      </c>
      <c r="W4" s="214"/>
      <c r="X4" s="214"/>
      <c r="Y4" s="214"/>
    </row>
    <row r="5">
      <c r="A5" s="216" t="str">
        <f>IFERROR(__xludf.DUMMYFUNCTION("""COMPUTED_VALUE"""),"Skeever 4")</f>
        <v>Skeever 4</v>
      </c>
      <c r="B5" s="48" t="b">
        <f>IFERROR(__xludf.DUMMYFUNCTION("""COMPUTED_VALUE"""),FALSE)</f>
        <v>0</v>
      </c>
      <c r="C5" s="138" t="b">
        <f>IFERROR(__xludf.DUMMYFUNCTION("""COMPUTED_VALUE"""),FALSE)</f>
        <v>0</v>
      </c>
      <c r="D5" s="214" t="b">
        <f>IFERROR(__xludf.DUMMYFUNCTION("""COMPUTED_VALUE"""),FALSE)</f>
        <v>0</v>
      </c>
      <c r="E5" s="215" t="b">
        <f>IFERROR(__xludf.DUMMYFUNCTION("""COMPUTED_VALUE"""),FALSE)</f>
        <v>0</v>
      </c>
      <c r="F5" s="214" t="b">
        <f>IFERROR(__xludf.DUMMYFUNCTION("""COMPUTED_VALUE"""),FALSE)</f>
        <v>0</v>
      </c>
      <c r="G5" s="214" t="b">
        <f>IFERROR(__xludf.DUMMYFUNCTION("""COMPUTED_VALUE"""),FALSE)</f>
        <v>0</v>
      </c>
      <c r="H5" s="214" t="b">
        <f>IFERROR(__xludf.DUMMYFUNCTION("""COMPUTED_VALUE"""),FALSE)</f>
        <v>0</v>
      </c>
      <c r="I5" s="214" t="b">
        <f>IFERROR(__xludf.DUMMYFUNCTION("""COMPUTED_VALUE"""),FALSE)</f>
        <v>0</v>
      </c>
      <c r="J5" s="214" t="b">
        <f>IFERROR(__xludf.DUMMYFUNCTION("""COMPUTED_VALUE"""),TRUE)</f>
        <v>1</v>
      </c>
      <c r="K5" s="214" t="b">
        <f>IFERROR(__xludf.DUMMYFUNCTION("""COMPUTED_VALUE"""),FALSE)</f>
        <v>0</v>
      </c>
      <c r="L5" s="214" t="b">
        <f>IFERROR(__xludf.DUMMYFUNCTION("""COMPUTED_VALUE"""),TRUE)</f>
        <v>1</v>
      </c>
      <c r="M5" s="214" t="str">
        <f>IFERROR(__xludf.DUMMYFUNCTION("""COMPUTED_VALUE"""),"Pre-breakfast encountered Waylon and Sythwan together - gave them 1 pouch.  Then encountered Sythwan after breakfast - they used Swampfoot")</f>
        <v>Pre-breakfast encountered Waylon and Sythwan together - gave them 1 pouch.  Then encountered Sythwan after breakfast - they used Swampfoot</v>
      </c>
      <c r="N5" s="214"/>
      <c r="O5" s="214"/>
      <c r="P5" s="214"/>
      <c r="Q5" s="214"/>
      <c r="R5" s="214"/>
      <c r="S5" s="214"/>
      <c r="T5" s="214"/>
      <c r="U5" s="214" t="str">
        <f>IFERROR(__xludf.DUMMYFUNCTION("""COMPUTED_VALUE"""),"Clairia")</f>
        <v>Clairia</v>
      </c>
      <c r="V5" s="214">
        <f>IFERROR(__xludf.DUMMYFUNCTION("""COMPUTED_VALUE"""),5.0)</f>
        <v>5</v>
      </c>
      <c r="W5" s="214"/>
      <c r="X5" s="214"/>
      <c r="Y5" s="214"/>
    </row>
    <row r="6">
      <c r="A6" s="216" t="str">
        <f>IFERROR(__xludf.DUMMYFUNCTION("""COMPUTED_VALUE"""),"Skeever 5")</f>
        <v>Skeever 5</v>
      </c>
      <c r="B6" s="48" t="b">
        <f>IFERROR(__xludf.DUMMYFUNCTION("""COMPUTED_VALUE"""),FALSE)</f>
        <v>0</v>
      </c>
      <c r="C6" s="222" t="b">
        <f>IFERROR(__xludf.DUMMYFUNCTION("""COMPUTED_VALUE"""),FALSE)</f>
        <v>0</v>
      </c>
      <c r="D6" s="214" t="b">
        <f>IFERROR(__xludf.DUMMYFUNCTION("""COMPUTED_VALUE"""),FALSE)</f>
        <v>0</v>
      </c>
      <c r="E6" s="215" t="b">
        <f>IFERROR(__xludf.DUMMYFUNCTION("""COMPUTED_VALUE"""),TRUE)</f>
        <v>1</v>
      </c>
      <c r="F6" s="214" t="b">
        <f>IFERROR(__xludf.DUMMYFUNCTION("""COMPUTED_VALUE"""),FALSE)</f>
        <v>0</v>
      </c>
      <c r="G6" s="214" t="b">
        <f>IFERROR(__xludf.DUMMYFUNCTION("""COMPUTED_VALUE"""),TRUE)</f>
        <v>1</v>
      </c>
      <c r="H6" s="214" t="b">
        <f>IFERROR(__xludf.DUMMYFUNCTION("""COMPUTED_VALUE"""),TRUE)</f>
        <v>1</v>
      </c>
      <c r="I6" s="214" t="b">
        <f>IFERROR(__xludf.DUMMYFUNCTION("""COMPUTED_VALUE"""),FALSE)</f>
        <v>0</v>
      </c>
      <c r="J6" s="214" t="b">
        <f>IFERROR(__xludf.DUMMYFUNCTION("""COMPUTED_VALUE"""),FALSE)</f>
        <v>0</v>
      </c>
      <c r="K6" s="214" t="b">
        <f>IFERROR(__xludf.DUMMYFUNCTION("""COMPUTED_VALUE"""),FALSE)</f>
        <v>0</v>
      </c>
      <c r="L6" s="214" t="b">
        <f>IFERROR(__xludf.DUMMYFUNCTION("""COMPUTED_VALUE"""),TRUE)</f>
        <v>1</v>
      </c>
      <c r="M6" s="214" t="str">
        <f>IFERROR(__xludf.DUMMYFUNCTION("""COMPUTED_VALUE"""),"Noctara has stookesters' (they cast Turn Coat); then teamed up with Skeever 7 to get G, W &amp; E (U avoided us)")</f>
        <v>Noctara has stookesters' (they cast Turn Coat); then teamed up with Skeever 7 to get G, W &amp; E (U avoided us)</v>
      </c>
      <c r="N6" s="214"/>
      <c r="O6" s="214"/>
      <c r="P6" s="214"/>
      <c r="Q6" s="214"/>
      <c r="R6" s="214"/>
      <c r="S6" s="214"/>
      <c r="T6" s="214"/>
      <c r="U6" s="214" t="str">
        <f>IFERROR(__xludf.DUMMYFUNCTION("""COMPUTED_VALUE"""),"Doloron")</f>
        <v>Doloron</v>
      </c>
      <c r="V6" s="214">
        <f>IFERROR(__xludf.DUMMYFUNCTION("""COMPUTED_VALUE"""),7.0)</f>
        <v>7</v>
      </c>
      <c r="W6" s="214"/>
      <c r="X6" s="214"/>
      <c r="Y6" s="214"/>
    </row>
    <row r="7">
      <c r="A7" s="216" t="str">
        <f>IFERROR(__xludf.DUMMYFUNCTION("""COMPUTED_VALUE"""),"Skeever 6")</f>
        <v>Skeever 6</v>
      </c>
      <c r="B7" s="12" t="b">
        <f>IFERROR(__xludf.DUMMYFUNCTION("""COMPUTED_VALUE"""),FALSE)</f>
        <v>0</v>
      </c>
      <c r="C7" s="138" t="b">
        <f>IFERROR(__xludf.DUMMYFUNCTION("""COMPUTED_VALUE"""),FALSE)</f>
        <v>0</v>
      </c>
      <c r="D7" s="214" t="b">
        <f>IFERROR(__xludf.DUMMYFUNCTION("""COMPUTED_VALUE"""),FALSE)</f>
        <v>0</v>
      </c>
      <c r="E7" s="215" t="b">
        <f>IFERROR(__xludf.DUMMYFUNCTION("""COMPUTED_VALUE"""),FALSE)</f>
        <v>0</v>
      </c>
      <c r="F7" s="214" t="b">
        <f>IFERROR(__xludf.DUMMYFUNCTION("""COMPUTED_VALUE"""),FALSE)</f>
        <v>0</v>
      </c>
      <c r="G7" s="214" t="b">
        <f>IFERROR(__xludf.DUMMYFUNCTION("""COMPUTED_VALUE"""),FALSE)</f>
        <v>0</v>
      </c>
      <c r="H7" s="214" t="b">
        <f>IFERROR(__xludf.DUMMYFUNCTION("""COMPUTED_VALUE"""),FALSE)</f>
        <v>0</v>
      </c>
      <c r="I7" s="214" t="b">
        <f>IFERROR(__xludf.DUMMYFUNCTION("""COMPUTED_VALUE"""),FALSE)</f>
        <v>0</v>
      </c>
      <c r="J7" s="214" t="b">
        <f>IFERROR(__xludf.DUMMYFUNCTION("""COMPUTED_VALUE"""),FALSE)</f>
        <v>0</v>
      </c>
      <c r="K7" s="214" t="b">
        <f>IFERROR(__xludf.DUMMYFUNCTION("""COMPUTED_VALUE"""),FALSE)</f>
        <v>0</v>
      </c>
      <c r="L7" s="214" t="b">
        <f>IFERROR(__xludf.DUMMYFUNCTION("""COMPUTED_VALUE"""),FALSE)</f>
        <v>0</v>
      </c>
      <c r="M7" s="214"/>
      <c r="N7" s="214"/>
      <c r="O7" s="214"/>
      <c r="P7" s="214"/>
      <c r="Q7" s="214"/>
      <c r="R7" s="214"/>
      <c r="S7" s="214"/>
      <c r="T7" s="214"/>
      <c r="U7" s="214" t="str">
        <f>IFERROR(__xludf.DUMMYFUNCTION("""COMPUTED_VALUE"""),"Elsewhich")</f>
        <v>Elsewhich</v>
      </c>
      <c r="V7" s="214">
        <f>IFERROR(__xludf.DUMMYFUNCTION("""COMPUTED_VALUE"""),7.0)</f>
        <v>7</v>
      </c>
      <c r="W7" s="214"/>
      <c r="X7" s="214"/>
      <c r="Y7" s="214"/>
    </row>
    <row r="8">
      <c r="A8" s="216" t="str">
        <f>IFERROR(__xludf.DUMMYFUNCTION("""COMPUTED_VALUE"""),"Skeever 7")</f>
        <v>Skeever 7</v>
      </c>
      <c r="B8" s="48" t="b">
        <f>IFERROR(__xludf.DUMMYFUNCTION("""COMPUTED_VALUE"""),FALSE)</f>
        <v>0</v>
      </c>
      <c r="C8" s="138" t="b">
        <f>IFERROR(__xludf.DUMMYFUNCTION("""COMPUTED_VALUE"""),FALSE)</f>
        <v>0</v>
      </c>
      <c r="D8" s="214" t="b">
        <f>IFERROR(__xludf.DUMMYFUNCTION("""COMPUTED_VALUE"""),FALSE)</f>
        <v>0</v>
      </c>
      <c r="E8" s="214" t="b">
        <f>IFERROR(__xludf.DUMMYFUNCTION("""COMPUTED_VALUE"""),TRUE)</f>
        <v>1</v>
      </c>
      <c r="F8" s="214" t="b">
        <f>IFERROR(__xludf.DUMMYFUNCTION("""COMPUTED_VALUE"""),FALSE)</f>
        <v>0</v>
      </c>
      <c r="G8" s="214" t="b">
        <f>IFERROR(__xludf.DUMMYFUNCTION("""COMPUTED_VALUE"""),TRUE)</f>
        <v>1</v>
      </c>
      <c r="H8" s="214" t="b">
        <f>IFERROR(__xludf.DUMMYFUNCTION("""COMPUTED_VALUE"""),TRUE)</f>
        <v>1</v>
      </c>
      <c r="I8" s="214" t="b">
        <f>IFERROR(__xludf.DUMMYFUNCTION("""COMPUTED_VALUE"""),TRUE)</f>
        <v>1</v>
      </c>
      <c r="J8" s="214" t="b">
        <f>IFERROR(__xludf.DUMMYFUNCTION("""COMPUTED_VALUE"""),FALSE)</f>
        <v>0</v>
      </c>
      <c r="K8" s="214" t="b">
        <f>IFERROR(__xludf.DUMMYFUNCTION("""COMPUTED_VALUE"""),FALSE)</f>
        <v>0</v>
      </c>
      <c r="L8" s="214" t="b">
        <f>IFERROR(__xludf.DUMMYFUNCTION("""COMPUTED_VALUE"""),TRUE)</f>
        <v>1</v>
      </c>
      <c r="M8" s="214" t="str">
        <f>IFERROR(__xludf.DUMMYFUNCTION("""COMPUTED_VALUE"""),"Everything was with skeever 5 except P'loa, who cast whirlwind on us.")</f>
        <v>Everything was with skeever 5 except P'loa, who cast whirlwind on us.</v>
      </c>
      <c r="N8" s="214"/>
      <c r="O8" s="214"/>
      <c r="P8" s="214"/>
      <c r="Q8" s="214"/>
      <c r="R8" s="214"/>
      <c r="S8" s="214"/>
      <c r="T8" s="214"/>
      <c r="U8" s="214" t="str">
        <f>IFERROR(__xludf.DUMMYFUNCTION("""COMPUTED_VALUE"""),"Glendeep")</f>
        <v>Glendeep</v>
      </c>
      <c r="V8" s="214">
        <f>IFERROR(__xludf.DUMMYFUNCTION("""COMPUTED_VALUE"""),8.0)</f>
        <v>8</v>
      </c>
      <c r="W8" s="214"/>
      <c r="X8" s="214"/>
      <c r="Y8" s="214"/>
    </row>
    <row r="9">
      <c r="A9" s="216" t="str">
        <f>IFERROR(__xludf.DUMMYFUNCTION("""COMPUTED_VALUE"""),"Skeever 8")</f>
        <v>Skeever 8</v>
      </c>
      <c r="B9" s="48" t="b">
        <f>IFERROR(__xludf.DUMMYFUNCTION("""COMPUTED_VALUE"""),FALSE)</f>
        <v>0</v>
      </c>
      <c r="C9" s="222" t="b">
        <f>IFERROR(__xludf.DUMMYFUNCTION("""COMPUTED_VALUE"""),FALSE)</f>
        <v>0</v>
      </c>
      <c r="D9" s="214" t="b">
        <f>IFERROR(__xludf.DUMMYFUNCTION("""COMPUTED_VALUE"""),FALSE)</f>
        <v>0</v>
      </c>
      <c r="E9" s="214" t="b">
        <f>IFERROR(__xludf.DUMMYFUNCTION("""COMPUTED_VALUE"""),TRUE)</f>
        <v>1</v>
      </c>
      <c r="F9" s="214" t="b">
        <f>IFERROR(__xludf.DUMMYFUNCTION("""COMPUTED_VALUE"""),FALSE)</f>
        <v>0</v>
      </c>
      <c r="G9" s="214" t="b">
        <f>IFERROR(__xludf.DUMMYFUNCTION("""COMPUTED_VALUE"""),TRUE)</f>
        <v>1</v>
      </c>
      <c r="H9" s="214" t="b">
        <f>IFERROR(__xludf.DUMMYFUNCTION("""COMPUTED_VALUE"""),FALSE)</f>
        <v>0</v>
      </c>
      <c r="I9" s="214" t="b">
        <f>IFERROR(__xludf.DUMMYFUNCTION("""COMPUTED_VALUE"""),FALSE)</f>
        <v>0</v>
      </c>
      <c r="J9" s="214" t="b">
        <f>IFERROR(__xludf.DUMMYFUNCTION("""COMPUTED_VALUE"""),TRUE)</f>
        <v>1</v>
      </c>
      <c r="K9" s="214" t="b">
        <f>IFERROR(__xludf.DUMMYFUNCTION("""COMPUTED_VALUE"""),FALSE)</f>
        <v>0</v>
      </c>
      <c r="L9" s="214" t="b">
        <f>IFERROR(__xludf.DUMMYFUNCTION("""COMPUTED_VALUE"""),TRUE)</f>
        <v>1</v>
      </c>
      <c r="M9" s="214" t="str">
        <f>IFERROR(__xludf.DUMMYFUNCTION("""COMPUTED_VALUE"""),"Sythwan used gravitational pull; seemed inclined to leave us alone (having looted the third member).  They also hit Cursed Skeever right after us, I think, so they may be (a) rich or (b) damaged. -LN, noon")</f>
        <v>Sythwan used gravitational pull; seemed inclined to leave us alone (having looted the third member).  They also hit Cursed Skeever right after us, I think, so they may be (a) rich or (b) damaged. -LN, noon</v>
      </c>
      <c r="N9" s="214"/>
      <c r="O9" s="214"/>
      <c r="P9" s="214"/>
      <c r="Q9" s="214"/>
      <c r="R9" s="214"/>
      <c r="S9" s="214"/>
      <c r="T9" s="214"/>
      <c r="U9" s="214" t="str">
        <f>IFERROR(__xludf.DUMMYFUNCTION("""COMPUTED_VALUE"""),"Keer")</f>
        <v>Keer</v>
      </c>
      <c r="V9" s="214">
        <f>IFERROR(__xludf.DUMMYFUNCTION("""COMPUTED_VALUE"""),9.0)</f>
        <v>9</v>
      </c>
      <c r="W9" s="214"/>
      <c r="X9" s="214"/>
      <c r="Y9" s="214"/>
    </row>
    <row r="10">
      <c r="A10" s="216" t="str">
        <f>IFERROR(__xludf.DUMMYFUNCTION("""COMPUTED_VALUE"""),"Skeever 9")</f>
        <v>Skeever 9</v>
      </c>
      <c r="B10" s="48" t="b">
        <f>IFERROR(__xludf.DUMMYFUNCTION("""COMPUTED_VALUE"""),TRUE)</f>
        <v>1</v>
      </c>
      <c r="C10" s="138" t="b">
        <f>IFERROR(__xludf.DUMMYFUNCTION("""COMPUTED_VALUE"""),FALSE)</f>
        <v>0</v>
      </c>
      <c r="D10" s="214" t="b">
        <f>IFERROR(__xludf.DUMMYFUNCTION("""COMPUTED_VALUE"""),TRUE)</f>
        <v>1</v>
      </c>
      <c r="E10" s="214" t="b">
        <f>IFERROR(__xludf.DUMMYFUNCTION("""COMPUTED_VALUE"""),FALSE)</f>
        <v>0</v>
      </c>
      <c r="F10" s="214" t="b">
        <f>IFERROR(__xludf.DUMMYFUNCTION("""COMPUTED_VALUE"""),TRUE)</f>
        <v>1</v>
      </c>
      <c r="G10" s="214" t="b">
        <f>IFERROR(__xludf.DUMMYFUNCTION("""COMPUTED_VALUE"""),FALSE)</f>
        <v>0</v>
      </c>
      <c r="H10" s="214" t="b">
        <f>IFERROR(__xludf.DUMMYFUNCTION("""COMPUTED_VALUE"""),FALSE)</f>
        <v>0</v>
      </c>
      <c r="I10" s="214" t="b">
        <f>IFERROR(__xludf.DUMMYFUNCTION("""COMPUTED_VALUE"""),TRUE)</f>
        <v>1</v>
      </c>
      <c r="J10" s="214" t="b">
        <f>IFERROR(__xludf.DUMMYFUNCTION("""COMPUTED_VALUE"""),FALSE)</f>
        <v>0</v>
      </c>
      <c r="K10" s="214" t="b">
        <f>IFERROR(__xludf.DUMMYFUNCTION("""COMPUTED_VALUE"""),FALSE)</f>
        <v>0</v>
      </c>
      <c r="L10" s="214" t="b">
        <f>IFERROR(__xludf.DUMMYFUNCTION("""COMPUTED_VALUE"""),TRUE)</f>
        <v>1</v>
      </c>
      <c r="M10" s="214" t="str">
        <f>IFERROR(__xludf.DUMMYFUNCTION("""COMPUTED_VALUE"""),"p'loa and waylon used death,arden rootfoot, doloron wirlwind,glendeep gravitational pull,teleport other, frost bite. A number of hits from cursed skeever dealt out to all parties (and usually some healing needed). Arden has at least one or two very tactic"&amp;"ally impressive fighters. Would love if cursed wolven was able to hit P'loa again, the keeper really struggled and I would love for them to get a second chance to possibly step up more.")</f>
        <v>p'loa and waylon used death,arden rootfoot, doloron wirlwind,glendeep gravitational pull,teleport other, frost bite. A number of hits from cursed skeever dealt out to all parties (and usually some healing needed). Arden has at least one or two very tactically impressive fighters. Would love if cursed wolven was able to hit P'loa again, the keeper really struggled and I would love for them to get a second chance to possibly step up more.</v>
      </c>
      <c r="N10" s="214"/>
      <c r="O10" s="214"/>
      <c r="P10" s="214"/>
      <c r="Q10" s="214"/>
      <c r="R10" s="214"/>
      <c r="S10" s="214"/>
      <c r="T10" s="214"/>
      <c r="U10" s="214" t="str">
        <f>IFERROR(__xludf.DUMMYFUNCTION("""COMPUTED_VALUE"""),"Noctara")</f>
        <v>Noctara</v>
      </c>
      <c r="V10" s="214">
        <f>IFERROR(__xludf.DUMMYFUNCTION("""COMPUTED_VALUE"""),8.0)</f>
        <v>8</v>
      </c>
      <c r="W10" s="214"/>
      <c r="X10" s="214"/>
      <c r="Y10" s="214"/>
    </row>
    <row r="11">
      <c r="A11" s="216" t="str">
        <f>IFERROR(__xludf.DUMMYFUNCTION("""COMPUTED_VALUE"""),"Skeever 10")</f>
        <v>Skeever 10</v>
      </c>
      <c r="B11" s="48" t="b">
        <f>IFERROR(__xludf.DUMMYFUNCTION("""COMPUTED_VALUE"""),FALSE)</f>
        <v>0</v>
      </c>
      <c r="C11" s="138" t="b">
        <f>IFERROR(__xludf.DUMMYFUNCTION("""COMPUTED_VALUE"""),FALSE)</f>
        <v>0</v>
      </c>
      <c r="D11" s="214" t="b">
        <f>IFERROR(__xludf.DUMMYFUNCTION("""COMPUTED_VALUE"""),TRUE)</f>
        <v>1</v>
      </c>
      <c r="E11" s="214" t="b">
        <f>IFERROR(__xludf.DUMMYFUNCTION("""COMPUTED_VALUE"""),FALSE)</f>
        <v>0</v>
      </c>
      <c r="F11" s="214" t="b">
        <f>IFERROR(__xludf.DUMMYFUNCTION("""COMPUTED_VALUE"""),FALSE)</f>
        <v>0</v>
      </c>
      <c r="G11" s="214" t="b">
        <f>IFERROR(__xludf.DUMMYFUNCTION("""COMPUTED_VALUE"""),FALSE)</f>
        <v>0</v>
      </c>
      <c r="H11" s="214" t="b">
        <f>IFERROR(__xludf.DUMMYFUNCTION("""COMPUTED_VALUE"""),FALSE)</f>
        <v>0</v>
      </c>
      <c r="I11" s="214" t="b">
        <f>IFERROR(__xludf.DUMMYFUNCTION("""COMPUTED_VALUE"""),FALSE)</f>
        <v>0</v>
      </c>
      <c r="J11" s="214" t="b">
        <f>IFERROR(__xludf.DUMMYFUNCTION("""COMPUTED_VALUE"""),TRUE)</f>
        <v>1</v>
      </c>
      <c r="K11" s="214" t="b">
        <f>IFERROR(__xludf.DUMMYFUNCTION("""COMPUTED_VALUE"""),TRUE)</f>
        <v>1</v>
      </c>
      <c r="L11" s="214" t="b">
        <f>IFERROR(__xludf.DUMMYFUNCTION("""COMPUTED_VALUE"""),FALSE)</f>
        <v>0</v>
      </c>
      <c r="M11" s="214" t="str">
        <f>IFERROR(__xludf.DUMMYFUNCTION("""COMPUTED_VALUE"""),"Sythwan used frost spell, UriKesh used two spells and thanked us for the fight, Doloron used sleep spell and thanked us")</f>
        <v>Sythwan used frost spell, UriKesh used two spells and thanked us for the fight, Doloron used sleep spell and thanked us</v>
      </c>
      <c r="N11" s="214"/>
      <c r="O11" s="214"/>
      <c r="P11" s="214"/>
      <c r="Q11" s="214"/>
      <c r="R11" s="214"/>
      <c r="S11" s="214"/>
      <c r="T11" s="214"/>
      <c r="U11" s="214" t="str">
        <f>IFERROR(__xludf.DUMMYFUNCTION("""COMPUTED_VALUE"""),"P'loa")</f>
        <v>P'loa</v>
      </c>
      <c r="V11" s="214">
        <f>IFERROR(__xludf.DUMMYFUNCTION("""COMPUTED_VALUE"""),8.0)</f>
        <v>8</v>
      </c>
      <c r="W11" s="214"/>
      <c r="X11" s="214"/>
      <c r="Y11" s="214"/>
    </row>
    <row r="12">
      <c r="A12" s="213" t="str">
        <f>IFERROR(__xludf.DUMMYFUNCTION("""COMPUTED_VALUE"""),"Skeever 11")</f>
        <v>Skeever 11</v>
      </c>
      <c r="B12" s="48" t="b">
        <f>IFERROR(__xludf.DUMMYFUNCTION("""COMPUTED_VALUE"""),FALSE)</f>
        <v>0</v>
      </c>
      <c r="C12" s="138" t="b">
        <f>IFERROR(__xludf.DUMMYFUNCTION("""COMPUTED_VALUE"""),TRUE)</f>
        <v>1</v>
      </c>
      <c r="D12" s="214" t="b">
        <f>IFERROR(__xludf.DUMMYFUNCTION("""COMPUTED_VALUE"""),FALSE)</f>
        <v>0</v>
      </c>
      <c r="E12" s="214" t="b">
        <f>IFERROR(__xludf.DUMMYFUNCTION("""COMPUTED_VALUE"""),TRUE)</f>
        <v>1</v>
      </c>
      <c r="F12" s="214" t="b">
        <f>IFERROR(__xludf.DUMMYFUNCTION("""COMPUTED_VALUE"""),TRUE)</f>
        <v>1</v>
      </c>
      <c r="G12" s="214" t="b">
        <f>IFERROR(__xludf.DUMMYFUNCTION("""COMPUTED_VALUE"""),TRUE)</f>
        <v>1</v>
      </c>
      <c r="H12" s="214" t="b">
        <f>IFERROR(__xludf.DUMMYFUNCTION("""COMPUTED_VALUE"""),FALSE)</f>
        <v>0</v>
      </c>
      <c r="I12" s="214" t="b">
        <f>IFERROR(__xludf.DUMMYFUNCTION("""COMPUTED_VALUE"""),FALSE)</f>
        <v>0</v>
      </c>
      <c r="J12" s="214" t="b">
        <f>IFERROR(__xludf.DUMMYFUNCTION("""COMPUTED_VALUE"""),FALSE)</f>
        <v>0</v>
      </c>
      <c r="K12" s="214" t="b">
        <f>IFERROR(__xludf.DUMMYFUNCTION("""COMPUTED_VALUE"""),FALSE)</f>
        <v>0</v>
      </c>
      <c r="L12" s="214" t="b">
        <f>IFERROR(__xludf.DUMMYFUNCTION("""COMPUTED_VALUE"""),FALSE)</f>
        <v>0</v>
      </c>
      <c r="M12" s="214"/>
      <c r="N12" s="214"/>
      <c r="O12" s="214"/>
      <c r="P12" s="214"/>
      <c r="Q12" s="214"/>
      <c r="R12" s="214"/>
      <c r="S12" s="214"/>
      <c r="T12" s="214"/>
      <c r="U12" s="214" t="str">
        <f>IFERROR(__xludf.DUMMYFUNCTION("""COMPUTED_VALUE"""),"Sythwan")</f>
        <v>Sythwan</v>
      </c>
      <c r="V12" s="214">
        <f>IFERROR(__xludf.DUMMYFUNCTION("""COMPUTED_VALUE"""),10.0)</f>
        <v>10</v>
      </c>
      <c r="W12" s="214"/>
      <c r="X12" s="214"/>
      <c r="Y12" s="214"/>
    </row>
    <row r="13">
      <c r="A13" s="213" t="str">
        <f>IFERROR(__xludf.DUMMYFUNCTION("""COMPUTED_VALUE"""),"Worlog 1")</f>
        <v>Worlog 1</v>
      </c>
      <c r="B13" s="12" t="b">
        <f>IFERROR(__xludf.DUMMYFUNCTION("""COMPUTED_VALUE"""),TRUE)</f>
        <v>1</v>
      </c>
      <c r="C13" s="138" t="b">
        <f>IFERROR(__xludf.DUMMYFUNCTION("""COMPUTED_VALUE"""),FALSE)</f>
        <v>0</v>
      </c>
      <c r="D13" s="214" t="b">
        <f>IFERROR(__xludf.DUMMYFUNCTION("""COMPUTED_VALUE"""),TRUE)</f>
        <v>1</v>
      </c>
      <c r="E13" s="214" t="b">
        <f>IFERROR(__xludf.DUMMYFUNCTION("""COMPUTED_VALUE"""),FALSE)</f>
        <v>0</v>
      </c>
      <c r="F13" s="214" t="b">
        <f>IFERROR(__xludf.DUMMYFUNCTION("""COMPUTED_VALUE"""),TRUE)</f>
        <v>1</v>
      </c>
      <c r="G13" s="214" t="b">
        <f>IFERROR(__xludf.DUMMYFUNCTION("""COMPUTED_VALUE"""),TRUE)</f>
        <v>1</v>
      </c>
      <c r="H13" s="214" t="b">
        <f>IFERROR(__xludf.DUMMYFUNCTION("""COMPUTED_VALUE"""),FALSE)</f>
        <v>0</v>
      </c>
      <c r="I13" s="214" t="b">
        <f>IFERROR(__xludf.DUMMYFUNCTION("""COMPUTED_VALUE"""),TRUE)</f>
        <v>1</v>
      </c>
      <c r="J13" s="214" t="b">
        <f>IFERROR(__xludf.DUMMYFUNCTION("""COMPUTED_VALUE"""),TRUE)</f>
        <v>1</v>
      </c>
      <c r="K13" s="214" t="b">
        <f>IFERROR(__xludf.DUMMYFUNCTION("""COMPUTED_VALUE"""),TRUE)</f>
        <v>1</v>
      </c>
      <c r="L13" s="214" t="b">
        <f>IFERROR(__xludf.DUMMYFUNCTION("""COMPUTED_VALUE"""),TRUE)</f>
        <v>1</v>
      </c>
      <c r="M13" s="214"/>
      <c r="N13" s="214"/>
      <c r="O13" s="214"/>
      <c r="P13" s="214"/>
      <c r="Q13" s="214"/>
      <c r="R13" s="214"/>
      <c r="S13" s="214"/>
      <c r="T13" s="214"/>
      <c r="U13" s="214" t="str">
        <f>IFERROR(__xludf.DUMMYFUNCTION("""COMPUTED_VALUE"""),"Uri-Kesh")</f>
        <v>Uri-Kesh</v>
      </c>
      <c r="V13" s="214">
        <f>IFERROR(__xludf.DUMMYFUNCTION("""COMPUTED_VALUE"""),5.0)</f>
        <v>5</v>
      </c>
      <c r="W13" s="214"/>
      <c r="X13" s="214"/>
      <c r="Y13" s="214"/>
    </row>
    <row r="14">
      <c r="A14" s="213" t="str">
        <f>IFERROR(__xludf.DUMMYFUNCTION("""COMPUTED_VALUE"""),"Worlog 2")</f>
        <v>Worlog 2</v>
      </c>
      <c r="B14" s="12" t="b">
        <f>IFERROR(__xludf.DUMMYFUNCTION("""COMPUTED_VALUE"""),TRUE)</f>
        <v>1</v>
      </c>
      <c r="C14" s="138" t="b">
        <f>IFERROR(__xludf.DUMMYFUNCTION("""COMPUTED_VALUE"""),FALSE)</f>
        <v>0</v>
      </c>
      <c r="D14" s="214" t="b">
        <f>IFERROR(__xludf.DUMMYFUNCTION("""COMPUTED_VALUE"""),FALSE)</f>
        <v>0</v>
      </c>
      <c r="E14" s="214" t="b">
        <f>IFERROR(__xludf.DUMMYFUNCTION("""COMPUTED_VALUE"""),FALSE)</f>
        <v>0</v>
      </c>
      <c r="F14" s="214" t="b">
        <f>IFERROR(__xludf.DUMMYFUNCTION("""COMPUTED_VALUE"""),FALSE)</f>
        <v>0</v>
      </c>
      <c r="G14" s="214" t="b">
        <f>IFERROR(__xludf.DUMMYFUNCTION("""COMPUTED_VALUE"""),FALSE)</f>
        <v>0</v>
      </c>
      <c r="H14" s="214" t="b">
        <f>IFERROR(__xludf.DUMMYFUNCTION("""COMPUTED_VALUE"""),TRUE)</f>
        <v>1</v>
      </c>
      <c r="I14" s="214" t="b">
        <f>IFERROR(__xludf.DUMMYFUNCTION("""COMPUTED_VALUE"""),FALSE)</f>
        <v>0</v>
      </c>
      <c r="J14" s="214" t="b">
        <f>IFERROR(__xludf.DUMMYFUNCTION("""COMPUTED_VALUE"""),FALSE)</f>
        <v>0</v>
      </c>
      <c r="K14" s="214" t="b">
        <f>IFERROR(__xludf.DUMMYFUNCTION("""COMPUTED_VALUE"""),FALSE)</f>
        <v>0</v>
      </c>
      <c r="L14" s="214" t="b">
        <f>IFERROR(__xludf.DUMMYFUNCTION("""COMPUTED_VALUE"""),TRUE)</f>
        <v>1</v>
      </c>
      <c r="M14" s="214" t="str">
        <f>IFERROR(__xludf.DUMMYFUNCTION("""COMPUTED_VALUE"""),"Waylon and Noctara were amped, ""That was so fun!"" on exit.  Arden Walked Through Shadows and looked proud.")</f>
        <v>Waylon and Noctara were amped, "That was so fun!" on exit.  Arden Walked Through Shadows and looked proud.</v>
      </c>
      <c r="N14" s="214"/>
      <c r="O14" s="214"/>
      <c r="P14" s="214"/>
      <c r="Q14" s="214"/>
      <c r="R14" s="214"/>
      <c r="S14" s="214"/>
      <c r="T14" s="214"/>
      <c r="U14" s="214" t="str">
        <f>IFERROR(__xludf.DUMMYFUNCTION("""COMPUTED_VALUE"""),"Waylon")</f>
        <v>Waylon</v>
      </c>
      <c r="V14" s="214">
        <f>IFERROR(__xludf.DUMMYFUNCTION("""COMPUTED_VALUE"""),14.0)</f>
        <v>14</v>
      </c>
      <c r="W14" s="214"/>
      <c r="X14" s="214"/>
      <c r="Y14" s="214"/>
    </row>
    <row r="15">
      <c r="A15" s="216" t="str">
        <f>IFERROR(__xludf.DUMMYFUNCTION("""COMPUTED_VALUE"""),"Wolven 1")</f>
        <v>Wolven 1</v>
      </c>
      <c r="B15" s="12" t="b">
        <f>IFERROR(__xludf.DUMMYFUNCTION("""COMPUTED_VALUE"""),FALSE)</f>
        <v>0</v>
      </c>
      <c r="C15" s="138" t="b">
        <f>IFERROR(__xludf.DUMMYFUNCTION("""COMPUTED_VALUE"""),FALSE)</f>
        <v>0</v>
      </c>
      <c r="D15" s="214" t="b">
        <f>IFERROR(__xludf.DUMMYFUNCTION("""COMPUTED_VALUE"""),TRUE)</f>
        <v>1</v>
      </c>
      <c r="E15" s="214" t="b">
        <f>IFERROR(__xludf.DUMMYFUNCTION("""COMPUTED_VALUE"""),TRUE)</f>
        <v>1</v>
      </c>
      <c r="F15" s="214" t="b">
        <f>IFERROR(__xludf.DUMMYFUNCTION("""COMPUTED_VALUE"""),FALSE)</f>
        <v>0</v>
      </c>
      <c r="G15" s="214" t="b">
        <f>IFERROR(__xludf.DUMMYFUNCTION("""COMPUTED_VALUE"""),FALSE)</f>
        <v>0</v>
      </c>
      <c r="H15" s="214" t="b">
        <f>IFERROR(__xludf.DUMMYFUNCTION("""COMPUTED_VALUE"""),FALSE)</f>
        <v>0</v>
      </c>
      <c r="I15" s="214" t="b">
        <f>IFERROR(__xludf.DUMMYFUNCTION("""COMPUTED_VALUE"""),FALSE)</f>
        <v>0</v>
      </c>
      <c r="J15" s="214" t="b">
        <f>IFERROR(__xludf.DUMMYFUNCTION("""COMPUTED_VALUE"""),FALSE)</f>
        <v>0</v>
      </c>
      <c r="K15" s="214" t="b">
        <f>IFERROR(__xludf.DUMMYFUNCTION("""COMPUTED_VALUE"""),TRUE)</f>
        <v>1</v>
      </c>
      <c r="L15" s="214" t="b">
        <f>IFERROR(__xludf.DUMMYFUNCTION("""COMPUTED_VALUE"""),FALSE)</f>
        <v>0</v>
      </c>
      <c r="M15" s="214" t="str">
        <f>IFERROR(__xludf.DUMMYFUNCTION("""COMPUTED_VALUE"""),"Uri-Kesh has Aloras and wants to sell it, they used an item to heal someone. Doloron caster is salty. we killed 2 of them, they cast paralyze and teleport self. Elsewhich had to use a couple keeper spells. -AMG")</f>
        <v>Uri-Kesh has Aloras and wants to sell it, they used an item to heal someone. Doloron caster is salty. we killed 2 of them, they cast paralyze and teleport self. Elsewhich had to use a couple keeper spells. -AMG</v>
      </c>
      <c r="N15" s="214"/>
      <c r="O15" s="214"/>
      <c r="P15" s="214"/>
      <c r="Q15" s="214"/>
      <c r="R15" s="214"/>
      <c r="S15" s="214"/>
      <c r="T15" s="214"/>
      <c r="U15" s="214"/>
      <c r="V15" s="214"/>
      <c r="W15" s="214"/>
      <c r="X15" s="214"/>
      <c r="Y15" s="214"/>
    </row>
    <row r="16">
      <c r="A16" s="213" t="str">
        <f>IFERROR(__xludf.DUMMYFUNCTION("""COMPUTED_VALUE"""),"Wolven 2")</f>
        <v>Wolven 2</v>
      </c>
      <c r="B16" s="12" t="b">
        <f>IFERROR(__xludf.DUMMYFUNCTION("""COMPUTED_VALUE"""),FALSE)</f>
        <v>0</v>
      </c>
      <c r="C16" s="137" t="b">
        <f>IFERROR(__xludf.DUMMYFUNCTION("""COMPUTED_VALUE"""),FALSE)</f>
        <v>0</v>
      </c>
      <c r="D16" s="214" t="b">
        <f>IFERROR(__xludf.DUMMYFUNCTION("""COMPUTED_VALUE"""),FALSE)</f>
        <v>0</v>
      </c>
      <c r="E16" s="214" t="b">
        <f>IFERROR(__xludf.DUMMYFUNCTION("""COMPUTED_VALUE"""),FALSE)</f>
        <v>0</v>
      </c>
      <c r="F16" s="214" t="b">
        <f>IFERROR(__xludf.DUMMYFUNCTION("""COMPUTED_VALUE"""),FALSE)</f>
        <v>0</v>
      </c>
      <c r="G16" s="214" t="b">
        <f>IFERROR(__xludf.DUMMYFUNCTION("""COMPUTED_VALUE"""),FALSE)</f>
        <v>0</v>
      </c>
      <c r="H16" s="214" t="b">
        <f>IFERROR(__xludf.DUMMYFUNCTION("""COMPUTED_VALUE"""),TRUE)</f>
        <v>1</v>
      </c>
      <c r="I16" s="214" t="b">
        <f>IFERROR(__xludf.DUMMYFUNCTION("""COMPUTED_VALUE"""),TRUE)</f>
        <v>1</v>
      </c>
      <c r="J16" s="214" t="b">
        <f>IFERROR(__xludf.DUMMYFUNCTION("""COMPUTED_VALUE"""),FALSE)</f>
        <v>0</v>
      </c>
      <c r="K16" s="214" t="b">
        <f>IFERROR(__xludf.DUMMYFUNCTION("""COMPUTED_VALUE"""),FALSE)</f>
        <v>0</v>
      </c>
      <c r="L16" s="214" t="b">
        <f>IFERROR(__xludf.DUMMYFUNCTION("""COMPUTED_VALUE"""),FALSE)</f>
        <v>0</v>
      </c>
      <c r="M16" s="214" t="str">
        <f>IFERROR(__xludf.DUMMYFUNCTION("""COMPUTED_VALUE"""),"both confident in combat")</f>
        <v>both confident in combat</v>
      </c>
      <c r="N16" s="214"/>
      <c r="O16" s="214"/>
      <c r="P16" s="214"/>
      <c r="Q16" s="214"/>
      <c r="R16" s="214"/>
      <c r="S16" s="214"/>
      <c r="T16" s="214"/>
      <c r="U16" s="214"/>
      <c r="V16" s="214"/>
      <c r="W16" s="214"/>
      <c r="X16" s="214"/>
      <c r="Y16" s="214"/>
    </row>
    <row r="17">
      <c r="A17" s="216" t="str">
        <f>IFERROR(__xludf.DUMMYFUNCTION("""COMPUTED_VALUE"""),"Wolven 3")</f>
        <v>Wolven 3</v>
      </c>
      <c r="B17" s="216" t="b">
        <f>IFERROR(__xludf.DUMMYFUNCTION("""COMPUTED_VALUE"""),FALSE)</f>
        <v>0</v>
      </c>
      <c r="C17" s="137" t="b">
        <f>IFERROR(__xludf.DUMMYFUNCTION("""COMPUTED_VALUE"""),FALSE)</f>
        <v>0</v>
      </c>
      <c r="D17" s="214" t="b">
        <f>IFERROR(__xludf.DUMMYFUNCTION("""COMPUTED_VALUE"""),FALSE)</f>
        <v>0</v>
      </c>
      <c r="E17" s="214" t="b">
        <f>IFERROR(__xludf.DUMMYFUNCTION("""COMPUTED_VALUE"""),FALSE)</f>
        <v>0</v>
      </c>
      <c r="F17" s="214" t="b">
        <f>IFERROR(__xludf.DUMMYFUNCTION("""COMPUTED_VALUE"""),FALSE)</f>
        <v>0</v>
      </c>
      <c r="G17" s="214" t="b">
        <f>IFERROR(__xludf.DUMMYFUNCTION("""COMPUTED_VALUE"""),FALSE)</f>
        <v>0</v>
      </c>
      <c r="H17" s="214" t="b">
        <f>IFERROR(__xludf.DUMMYFUNCTION("""COMPUTED_VALUE"""),TRUE)</f>
        <v>1</v>
      </c>
      <c r="I17" s="214" t="b">
        <f>IFERROR(__xludf.DUMMYFUNCTION("""COMPUTED_VALUE"""),FALSE)</f>
        <v>0</v>
      </c>
      <c r="J17" s="214" t="b">
        <f>IFERROR(__xludf.DUMMYFUNCTION("""COMPUTED_VALUE"""),FALSE)</f>
        <v>0</v>
      </c>
      <c r="K17" s="214" t="b">
        <f>IFERROR(__xludf.DUMMYFUNCTION("""COMPUTED_VALUE"""),FALSE)</f>
        <v>0</v>
      </c>
      <c r="L17" s="214" t="b">
        <f>IFERROR(__xludf.DUMMYFUNCTION("""COMPUTED_VALUE"""),TRUE)</f>
        <v>1</v>
      </c>
      <c r="M17" s="214" t="str">
        <f>IFERROR(__xludf.DUMMYFUNCTION("""COMPUTED_VALUE"""),"Noctara has Tick Tick Boom — Kim 3pm")</f>
        <v>Noctara has Tick Tick Boom — Kim 3pm</v>
      </c>
      <c r="N17" s="214"/>
      <c r="O17" s="214"/>
      <c r="P17" s="214"/>
      <c r="Q17" s="214"/>
      <c r="R17" s="214"/>
      <c r="S17" s="214"/>
      <c r="T17" s="214"/>
      <c r="U17" s="214"/>
      <c r="V17" s="214"/>
      <c r="W17" s="214"/>
      <c r="X17" s="214"/>
      <c r="Y17" s="214"/>
    </row>
    <row r="18">
      <c r="A18" s="216" t="str">
        <f>IFERROR(__xludf.DUMMYFUNCTION("""COMPUTED_VALUE"""),"Wolven 4")</f>
        <v>Wolven 4</v>
      </c>
      <c r="B18" s="232" t="b">
        <f>IFERROR(__xludf.DUMMYFUNCTION("""COMPUTED_VALUE"""),FALSE)</f>
        <v>0</v>
      </c>
      <c r="C18" s="217" t="b">
        <f>IFERROR(__xludf.DUMMYFUNCTION("""COMPUTED_VALUE"""),FALSE)</f>
        <v>0</v>
      </c>
      <c r="D18" s="48" t="b">
        <f>IFERROR(__xludf.DUMMYFUNCTION("""COMPUTED_VALUE"""),FALSE)</f>
        <v>0</v>
      </c>
      <c r="E18" s="214" t="b">
        <f>IFERROR(__xludf.DUMMYFUNCTION("""COMPUTED_VALUE"""),FALSE)</f>
        <v>0</v>
      </c>
      <c r="F18" s="214" t="b">
        <f>IFERROR(__xludf.DUMMYFUNCTION("""COMPUTED_VALUE"""),FALSE)</f>
        <v>0</v>
      </c>
      <c r="G18" s="214" t="b">
        <f>IFERROR(__xludf.DUMMYFUNCTION("""COMPUTED_VALUE"""),FALSE)</f>
        <v>0</v>
      </c>
      <c r="H18" s="214" t="b">
        <f>IFERROR(__xludf.DUMMYFUNCTION("""COMPUTED_VALUE"""),FALSE)</f>
        <v>0</v>
      </c>
      <c r="I18" s="214" t="b">
        <f>IFERROR(__xludf.DUMMYFUNCTION("""COMPUTED_VALUE"""),TRUE)</f>
        <v>1</v>
      </c>
      <c r="J18" s="214" t="b">
        <f>IFERROR(__xludf.DUMMYFUNCTION("""COMPUTED_VALUE"""),TRUE)</f>
        <v>1</v>
      </c>
      <c r="K18" s="214" t="b">
        <f>IFERROR(__xludf.DUMMYFUNCTION("""COMPUTED_VALUE"""),FALSE)</f>
        <v>0</v>
      </c>
      <c r="L18" s="214" t="b">
        <f>IFERROR(__xludf.DUMMYFUNCTION("""COMPUTED_VALUE"""),FALSE)</f>
        <v>0</v>
      </c>
      <c r="M18" s="214" t="str">
        <f>IFERROR(__xludf.DUMMYFUNCTION("""COMPUTED_VALUE"""),"Elsewhich: took a lot of free hits, plus death spell and entangle spell, one arm wound and one heal one
Sythwan: joined in halfway through tried to do his little damage as possible.
P'loa: used teleport, walk in shadows, line of fire, heal all prayer and "&amp;"potion of life used. Good planning and poise.")</f>
        <v>Elsewhich: took a lot of free hits, plus death spell and entangle spell, one arm wound and one heal one
Sythwan: joined in halfway through tried to do his little damage as possible.
P'loa: used teleport, walk in shadows, line of fire, heal all prayer and potion of life used. Good planning and poise.</v>
      </c>
      <c r="N18" s="214"/>
      <c r="O18" s="214"/>
      <c r="P18" s="214"/>
      <c r="Q18" s="214"/>
      <c r="R18" s="214"/>
      <c r="S18" s="214"/>
      <c r="T18" s="214"/>
      <c r="U18" s="214"/>
      <c r="V18" s="214"/>
      <c r="W18" s="214"/>
      <c r="X18" s="214"/>
      <c r="Y18" s="214"/>
    </row>
    <row r="19">
      <c r="A19" s="216" t="str">
        <f>IFERROR(__xludf.DUMMYFUNCTION("""COMPUTED_VALUE"""),"Wolven 5")</f>
        <v>Wolven 5</v>
      </c>
      <c r="B19" s="48" t="b">
        <f>IFERROR(__xludf.DUMMYFUNCTION("""COMPUTED_VALUE"""),FALSE)</f>
        <v>0</v>
      </c>
      <c r="C19" s="138" t="b">
        <f>IFERROR(__xludf.DUMMYFUNCTION("""COMPUTED_VALUE"""),FALSE)</f>
        <v>0</v>
      </c>
      <c r="D19" s="12" t="b">
        <f>IFERROR(__xludf.DUMMYFUNCTION("""COMPUTED_VALUE"""),FALSE)</f>
        <v>0</v>
      </c>
      <c r="E19" s="214" t="b">
        <f>IFERROR(__xludf.DUMMYFUNCTION("""COMPUTED_VALUE"""),FALSE)</f>
        <v>0</v>
      </c>
      <c r="F19" s="214" t="b">
        <f>IFERROR(__xludf.DUMMYFUNCTION("""COMPUTED_VALUE"""),FALSE)</f>
        <v>0</v>
      </c>
      <c r="G19" s="214" t="b">
        <f>IFERROR(__xludf.DUMMYFUNCTION("""COMPUTED_VALUE"""),FALSE)</f>
        <v>0</v>
      </c>
      <c r="H19" s="214" t="b">
        <f>IFERROR(__xludf.DUMMYFUNCTION("""COMPUTED_VALUE"""),FALSE)</f>
        <v>0</v>
      </c>
      <c r="I19" s="214" t="b">
        <f>IFERROR(__xludf.DUMMYFUNCTION("""COMPUTED_VALUE"""),FALSE)</f>
        <v>0</v>
      </c>
      <c r="J19" s="214" t="b">
        <f>IFERROR(__xludf.DUMMYFUNCTION("""COMPUTED_VALUE"""),FALSE)</f>
        <v>0</v>
      </c>
      <c r="K19" s="214" t="b">
        <f>IFERROR(__xludf.DUMMYFUNCTION("""COMPUTED_VALUE"""),FALSE)</f>
        <v>0</v>
      </c>
      <c r="L19" s="214" t="b">
        <f>IFERROR(__xludf.DUMMYFUNCTION("""COMPUTED_VALUE"""),TRUE)</f>
        <v>1</v>
      </c>
      <c r="M19" s="214" t="str">
        <f>IFERROR(__xludf.DUMMYFUNCTION("""COMPUTED_VALUE"""),"Clairia (3 person party, did not send out cursed Wolven), Waylon, Elsewhich, and Keer got individual battles. Then we had a 3-party Uberbattle with Waylon, Noctara, and Glendeep. Lots of hits and wounds, some deaths, some spells used, no extreme damage.  "&amp;"Keer used Death + another spell on CW. Waylon used wand that affects all non-humans on the Wolven. Womp womp. --HA ")</f>
        <v>Clairia (3 person party, did not send out cursed Wolven), Waylon, Elsewhich, and Keer got individual battles. Then we had a 3-party Uberbattle with Waylon, Noctara, and Glendeep. Lots of hits and wounds, some deaths, some spells used, no extreme damage.  Keer used Death + another spell on CW. Waylon used wand that affects all non-humans on the Wolven. Womp womp. --HA </v>
      </c>
      <c r="N19" s="214"/>
      <c r="O19" s="214"/>
      <c r="P19" s="214"/>
      <c r="Q19" s="214"/>
      <c r="R19" s="214"/>
      <c r="S19" s="214"/>
      <c r="T19" s="214"/>
      <c r="U19" s="214"/>
      <c r="V19" s="214"/>
      <c r="W19" s="214"/>
      <c r="X19" s="214"/>
      <c r="Y19" s="214"/>
    </row>
    <row r="20">
      <c r="A20" s="216" t="str">
        <f>IFERROR(__xludf.DUMMYFUNCTION("""COMPUTED_VALUE"""),"Wolven 6")</f>
        <v>Wolven 6</v>
      </c>
      <c r="B20" s="48" t="b">
        <f>IFERROR(__xludf.DUMMYFUNCTION("""COMPUTED_VALUE"""),FALSE)</f>
        <v>0</v>
      </c>
      <c r="C20" s="138" t="b">
        <f>IFERROR(__xludf.DUMMYFUNCTION("""COMPUTED_VALUE"""),FALSE)</f>
        <v>0</v>
      </c>
      <c r="D20" s="12" t="b">
        <f>IFERROR(__xludf.DUMMYFUNCTION("""COMPUTED_VALUE"""),FALSE)</f>
        <v>0</v>
      </c>
      <c r="E20" s="214" t="b">
        <f>IFERROR(__xludf.DUMMYFUNCTION("""COMPUTED_VALUE"""),FALSE)</f>
        <v>0</v>
      </c>
      <c r="F20" s="214" t="b">
        <f>IFERROR(__xludf.DUMMYFUNCTION("""COMPUTED_VALUE"""),FALSE)</f>
        <v>0</v>
      </c>
      <c r="G20" s="214" t="b">
        <f>IFERROR(__xludf.DUMMYFUNCTION("""COMPUTED_VALUE"""),FALSE)</f>
        <v>0</v>
      </c>
      <c r="H20" s="214" t="b">
        <f>IFERROR(__xludf.DUMMYFUNCTION("""COMPUTED_VALUE"""),FALSE)</f>
        <v>0</v>
      </c>
      <c r="I20" s="214" t="b">
        <f>IFERROR(__xludf.DUMMYFUNCTION("""COMPUTED_VALUE"""),FALSE)</f>
        <v>0</v>
      </c>
      <c r="J20" s="214" t="b">
        <f>IFERROR(__xludf.DUMMYFUNCTION("""COMPUTED_VALUE"""),FALSE)</f>
        <v>0</v>
      </c>
      <c r="K20" s="214" t="b">
        <f>IFERROR(__xludf.DUMMYFUNCTION("""COMPUTED_VALUE"""),FALSE)</f>
        <v>0</v>
      </c>
      <c r="L20" s="214" t="b">
        <f>IFERROR(__xludf.DUMMYFUNCTION("""COMPUTED_VALUE"""),FALSE)</f>
        <v>0</v>
      </c>
      <c r="M20" s="214"/>
      <c r="N20" s="214"/>
      <c r="O20" s="214"/>
      <c r="P20" s="214"/>
      <c r="Q20" s="214"/>
      <c r="R20" s="214"/>
      <c r="S20" s="214"/>
      <c r="T20" s="214"/>
      <c r="U20" s="214"/>
      <c r="V20" s="214"/>
      <c r="W20" s="214"/>
      <c r="X20" s="214"/>
      <c r="Y20" s="214"/>
    </row>
    <row r="21">
      <c r="A21" s="216" t="str">
        <f>IFERROR(__xludf.DUMMYFUNCTION("""COMPUTED_VALUE"""),"Wolven 7")</f>
        <v>Wolven 7</v>
      </c>
      <c r="B21" s="48" t="b">
        <f>IFERROR(__xludf.DUMMYFUNCTION("""COMPUTED_VALUE"""),TRUE)</f>
        <v>1</v>
      </c>
      <c r="C21" s="222" t="b">
        <f>IFERROR(__xludf.DUMMYFUNCTION("""COMPUTED_VALUE"""),FALSE)</f>
        <v>0</v>
      </c>
      <c r="D21" s="12" t="b">
        <f>IFERROR(__xludf.DUMMYFUNCTION("""COMPUTED_VALUE"""),TRUE)</f>
        <v>1</v>
      </c>
      <c r="E21" s="214" t="b">
        <f>IFERROR(__xludf.DUMMYFUNCTION("""COMPUTED_VALUE"""),FALSE)</f>
        <v>0</v>
      </c>
      <c r="F21" s="214" t="b">
        <f>IFERROR(__xludf.DUMMYFUNCTION("""COMPUTED_VALUE"""),FALSE)</f>
        <v>0</v>
      </c>
      <c r="G21" s="214" t="b">
        <f>IFERROR(__xludf.DUMMYFUNCTION("""COMPUTED_VALUE"""),FALSE)</f>
        <v>0</v>
      </c>
      <c r="H21" s="214" t="b">
        <f>IFERROR(__xludf.DUMMYFUNCTION("""COMPUTED_VALUE"""),FALSE)</f>
        <v>0</v>
      </c>
      <c r="I21" s="214" t="b">
        <f>IFERROR(__xludf.DUMMYFUNCTION("""COMPUTED_VALUE"""),FALSE)</f>
        <v>0</v>
      </c>
      <c r="J21" s="214" t="b">
        <f>IFERROR(__xludf.DUMMYFUNCTION("""COMPUTED_VALUE"""),TRUE)</f>
        <v>1</v>
      </c>
      <c r="K21" s="214" t="b">
        <f>IFERROR(__xludf.DUMMYFUNCTION("""COMPUTED_VALUE"""),FALSE)</f>
        <v>0</v>
      </c>
      <c r="L21" s="214" t="b">
        <f>IFERROR(__xludf.DUMMYFUNCTION("""COMPUTED_VALUE"""),TRUE)</f>
        <v>1</v>
      </c>
      <c r="M21" s="214" t="str">
        <f>IFERROR(__xludf.DUMMYFUNCTION("""COMPUTED_VALUE"""),"Doloron did single combat (losing a leg); Arden lost a bunch of free hits and one arm; Sythway used a wolven wand and got ander mad libs (jump to eifel tower yelling zoinks); Waylon used 3 keeper spells including life -- basically out of free hits and kee"&amp;"per spells but all were standing when they left.  Notes on Ander mad libs -- so fun and funny! Sythwan: 2 wolven holding hands (from a party spell) had to jump to the Eiffel Tower yelling ""Zoinks!"" Waylon: 1 wolven had to be violently thrifty for the ne"&amp;"xt 5 minutes when they see anything orange")</f>
        <v>Doloron did single combat (losing a leg); Arden lost a bunch of free hits and one arm; Sythway used a wolven wand and got ander mad libs (jump to eifel tower yelling zoinks); Waylon used 3 keeper spells including life -- basically out of free hits and keeper spells but all were standing when they left.  Notes on Ander mad libs -- so fun and funny! Sythwan: 2 wolven holding hands (from a party spell) had to jump to the Eiffel Tower yelling "Zoinks!" Waylon: 1 wolven had to be violently thrifty for the next 5 minutes when they see anything orange</v>
      </c>
      <c r="N21" s="214"/>
      <c r="O21" s="214"/>
      <c r="P21" s="214"/>
      <c r="Q21" s="214"/>
      <c r="R21" s="214"/>
      <c r="S21" s="214"/>
      <c r="T21" s="214"/>
      <c r="U21" s="214"/>
      <c r="V21" s="214"/>
      <c r="W21" s="214"/>
      <c r="X21" s="214"/>
      <c r="Y21" s="214"/>
    </row>
    <row r="22">
      <c r="A22" s="216" t="str">
        <f>IFERROR(__xludf.DUMMYFUNCTION("""COMPUTED_VALUE"""),"Wolven 8")</f>
        <v>Wolven 8</v>
      </c>
      <c r="B22" s="48" t="b">
        <f>IFERROR(__xludf.DUMMYFUNCTION("""COMPUTED_VALUE"""),TRUE)</f>
        <v>1</v>
      </c>
      <c r="C22" s="138" t="b">
        <f>IFERROR(__xludf.DUMMYFUNCTION("""COMPUTED_VALUE"""),FALSE)</f>
        <v>0</v>
      </c>
      <c r="D22" s="12" t="b">
        <f>IFERROR(__xludf.DUMMYFUNCTION("""COMPUTED_VALUE"""),FALSE)</f>
        <v>0</v>
      </c>
      <c r="E22" s="214" t="b">
        <f>IFERROR(__xludf.DUMMYFUNCTION("""COMPUTED_VALUE"""),FALSE)</f>
        <v>0</v>
      </c>
      <c r="F22" s="214" t="b">
        <f>IFERROR(__xludf.DUMMYFUNCTION("""COMPUTED_VALUE"""),TRUE)</f>
        <v>1</v>
      </c>
      <c r="G22" s="214" t="b">
        <f>IFERROR(__xludf.DUMMYFUNCTION("""COMPUTED_VALUE"""),FALSE)</f>
        <v>0</v>
      </c>
      <c r="H22" s="214" t="b">
        <f>IFERROR(__xludf.DUMMYFUNCTION("""COMPUTED_VALUE"""),TRUE)</f>
        <v>1</v>
      </c>
      <c r="I22" s="214" t="b">
        <f>IFERROR(__xludf.DUMMYFUNCTION("""COMPUTED_VALUE"""),TRUE)</f>
        <v>1</v>
      </c>
      <c r="J22" s="214" t="b">
        <f>IFERROR(__xludf.DUMMYFUNCTION("""COMPUTED_VALUE"""),TRUE)</f>
        <v>1</v>
      </c>
      <c r="K22" s="214" t="b">
        <f>IFERROR(__xludf.DUMMYFUNCTION("""COMPUTED_VALUE"""),TRUE)</f>
        <v>1</v>
      </c>
      <c r="L22" s="214" t="b">
        <f>IFERROR(__xludf.DUMMYFUNCTION("""COMPUTED_VALUE"""),TRUE)</f>
        <v>1</v>
      </c>
      <c r="M22" s="214" t="str">
        <f>IFERROR(__xludf.DUMMYFUNCTION("""COMPUTED_VALUE"""),"2 of us got separated and ran into Arden who used Basket of Wolven Slaying. We then ran into Uri Kesh who used Combat Focus. Finally we met up with the rest of our group and ran into Noctara who used Hidden Path. On way back to basement we ran into both W"&amp;"aylon and Sythwan and both parties used Hidden Path to elude us. Glendeep used a ""Ranger Full Party Decloak"" maneuver on Hatchet &amp; Co. They hidden path-ed right into our midst and then hacked us apart. And then they killed Hatchet with a Death spell!")</f>
        <v>2 of us got separated and ran into Arden who used Basket of Wolven Slaying. We then ran into Uri Kesh who used Combat Focus. Finally we met up with the rest of our group and ran into Noctara who used Hidden Path. On way back to basement we ran into both Waylon and Sythwan and both parties used Hidden Path to elude us. Glendeep used a "Ranger Full Party Decloak" maneuver on Hatchet &amp; Co. They hidden path-ed right into our midst and then hacked us apart. And then they killed Hatchet with a Death spell!</v>
      </c>
      <c r="N22" s="214"/>
      <c r="O22" s="214"/>
      <c r="P22" s="214"/>
      <c r="Q22" s="214"/>
      <c r="R22" s="214"/>
      <c r="S22" s="214"/>
      <c r="T22" s="214"/>
      <c r="U22" s="214"/>
      <c r="V22" s="214"/>
      <c r="W22" s="214"/>
      <c r="X22" s="214"/>
      <c r="Y22" s="214"/>
    </row>
    <row r="23">
      <c r="A23" s="216" t="str">
        <f>IFERROR(__xludf.DUMMYFUNCTION("""COMPUTED_VALUE"""),"Wolven 9")</f>
        <v>Wolven 9</v>
      </c>
      <c r="B23" s="48" t="b">
        <f>IFERROR(__xludf.DUMMYFUNCTION("""COMPUTED_VALUE"""),FALSE)</f>
        <v>0</v>
      </c>
      <c r="C23" s="222" t="b">
        <f>IFERROR(__xludf.DUMMYFUNCTION("""COMPUTED_VALUE"""),TRUE)</f>
        <v>1</v>
      </c>
      <c r="D23" s="12" t="b">
        <f>IFERROR(__xludf.DUMMYFUNCTION("""COMPUTED_VALUE"""),FALSE)</f>
        <v>0</v>
      </c>
      <c r="E23" s="214" t="b">
        <f>IFERROR(__xludf.DUMMYFUNCTION("""COMPUTED_VALUE"""),TRUE)</f>
        <v>1</v>
      </c>
      <c r="F23" s="214" t="b">
        <f>IFERROR(__xludf.DUMMYFUNCTION("""COMPUTED_VALUE"""),TRUE)</f>
        <v>1</v>
      </c>
      <c r="G23" s="214" t="b">
        <f>IFERROR(__xludf.DUMMYFUNCTION("""COMPUTED_VALUE"""),FALSE)</f>
        <v>0</v>
      </c>
      <c r="H23" s="214" t="b">
        <f>IFERROR(__xludf.DUMMYFUNCTION("""COMPUTED_VALUE"""),FALSE)</f>
        <v>0</v>
      </c>
      <c r="I23" s="214" t="b">
        <f>IFERROR(__xludf.DUMMYFUNCTION("""COMPUTED_VALUE"""),TRUE)</f>
        <v>1</v>
      </c>
      <c r="J23" s="214" t="b">
        <f>IFERROR(__xludf.DUMMYFUNCTION("""COMPUTED_VALUE"""),FALSE)</f>
        <v>0</v>
      </c>
      <c r="K23" s="214" t="b">
        <f>IFERROR(__xludf.DUMMYFUNCTION("""COMPUTED_VALUE"""),FALSE)</f>
        <v>0</v>
      </c>
      <c r="L23" s="214" t="b">
        <f>IFERROR(__xludf.DUMMYFUNCTION("""COMPUTED_VALUE"""),FALSE)</f>
        <v>0</v>
      </c>
      <c r="M23" s="214" t="str">
        <f>IFERROR(__xludf.DUMMYFUNCTION("""COMPUTED_VALUE"""),"Uri-Kesh passed with secret path, Gleendeep fought with moderate wounding, Clairia barely fought with minor injury, Elsewhich called 1-1 combat and killed Rowan (got scared after Fury killed her own herald for failing to make them kneel), P'loa tried to c"&amp;"all secret path but Fury cast smash the patriarchy and eventually died while every wolven and p'loan fought on their knees = one P'loan dead")</f>
        <v>Uri-Kesh passed with secret path, Gleendeep fought with moderate wounding, Clairia barely fought with minor injury, Elsewhich called 1-1 combat and killed Rowan (got scared after Fury killed her own herald for failing to make them kneel), P'loa tried to call secret path but Fury cast smash the patriarchy and eventually died while every wolven and p'loan fought on their knees = one P'loan dead</v>
      </c>
      <c r="N23" s="214"/>
      <c r="O23" s="214"/>
      <c r="P23" s="214"/>
      <c r="Q23" s="214"/>
      <c r="R23" s="214"/>
      <c r="S23" s="214"/>
      <c r="T23" s="214"/>
      <c r="U23" s="214"/>
      <c r="V23" s="214"/>
      <c r="W23" s="214"/>
      <c r="X23" s="214"/>
      <c r="Y23" s="214"/>
    </row>
    <row r="24">
      <c r="A24" s="216" t="str">
        <f>IFERROR(__xludf.DUMMYFUNCTION("""COMPUTED_VALUE"""),"Wolven 10")</f>
        <v>Wolven 10</v>
      </c>
      <c r="B24" s="48" t="b">
        <f>IFERROR(__xludf.DUMMYFUNCTION("""COMPUTED_VALUE"""),FALSE)</f>
        <v>0</v>
      </c>
      <c r="C24" s="138" t="b">
        <f>IFERROR(__xludf.DUMMYFUNCTION("""COMPUTED_VALUE"""),FALSE)</f>
        <v>0</v>
      </c>
      <c r="D24" s="12" t="b">
        <f>IFERROR(__xludf.DUMMYFUNCTION("""COMPUTED_VALUE"""),FALSE)</f>
        <v>0</v>
      </c>
      <c r="E24" s="214" t="b">
        <f>IFERROR(__xludf.DUMMYFUNCTION("""COMPUTED_VALUE"""),FALSE)</f>
        <v>0</v>
      </c>
      <c r="F24" s="214" t="b">
        <f>IFERROR(__xludf.DUMMYFUNCTION("""COMPUTED_VALUE"""),FALSE)</f>
        <v>0</v>
      </c>
      <c r="G24" s="214" t="b">
        <f>IFERROR(__xludf.DUMMYFUNCTION("""COMPUTED_VALUE"""),TRUE)</f>
        <v>1</v>
      </c>
      <c r="H24" s="214" t="b">
        <f>IFERROR(__xludf.DUMMYFUNCTION("""COMPUTED_VALUE"""),TRUE)</f>
        <v>1</v>
      </c>
      <c r="I24" s="214" t="b">
        <f>IFERROR(__xludf.DUMMYFUNCTION("""COMPUTED_VALUE"""),FALSE)</f>
        <v>0</v>
      </c>
      <c r="J24" s="214" t="b">
        <f>IFERROR(__xludf.DUMMYFUNCTION("""COMPUTED_VALUE"""),FALSE)</f>
        <v>0</v>
      </c>
      <c r="K24" s="214" t="b">
        <f>IFERROR(__xludf.DUMMYFUNCTION("""COMPUTED_VALUE"""),FALSE)</f>
        <v>0</v>
      </c>
      <c r="L24" s="214" t="b">
        <f>IFERROR(__xludf.DUMMYFUNCTION("""COMPUTED_VALUE"""),TRUE)</f>
        <v>1</v>
      </c>
      <c r="M24" s="214" t="str">
        <f>IFERROR(__xludf.DUMMYFUNCTION("""COMPUTED_VALUE"""),"Noctara got Fortuna D'Oro. They knew what it was right away and were very excited. ")</f>
        <v>Noctara got Fortuna D'Oro. They knew what it was right away and were very excited. </v>
      </c>
      <c r="N24" s="214"/>
      <c r="O24" s="214"/>
      <c r="P24" s="214"/>
      <c r="Q24" s="214"/>
      <c r="R24" s="214"/>
      <c r="S24" s="214"/>
      <c r="T24" s="214"/>
      <c r="U24" s="214"/>
      <c r="V24" s="214"/>
      <c r="W24" s="214"/>
      <c r="X24" s="214"/>
      <c r="Y24" s="214"/>
    </row>
    <row r="25">
      <c r="A25" s="216" t="str">
        <f>IFERROR(__xludf.DUMMYFUNCTION("""COMPUTED_VALUE"""),"Wolven 11")</f>
        <v>Wolven 11</v>
      </c>
      <c r="B25" s="48" t="b">
        <f>IFERROR(__xludf.DUMMYFUNCTION("""COMPUTED_VALUE"""),FALSE)</f>
        <v>0</v>
      </c>
      <c r="C25" s="138" t="b">
        <f>IFERROR(__xludf.DUMMYFUNCTION("""COMPUTED_VALUE"""),FALSE)</f>
        <v>0</v>
      </c>
      <c r="D25" s="12" t="b">
        <f>IFERROR(__xludf.DUMMYFUNCTION("""COMPUTED_VALUE"""),TRUE)</f>
        <v>1</v>
      </c>
      <c r="E25" s="214" t="b">
        <f>IFERROR(__xludf.DUMMYFUNCTION("""COMPUTED_VALUE"""),FALSE)</f>
        <v>0</v>
      </c>
      <c r="F25" s="214" t="b">
        <f>IFERROR(__xludf.DUMMYFUNCTION("""COMPUTED_VALUE"""),FALSE)</f>
        <v>0</v>
      </c>
      <c r="G25" s="214" t="b">
        <f>IFERROR(__xludf.DUMMYFUNCTION("""COMPUTED_VALUE"""),FALSE)</f>
        <v>0</v>
      </c>
      <c r="H25" s="214" t="b">
        <f>IFERROR(__xludf.DUMMYFUNCTION("""COMPUTED_VALUE"""),FALSE)</f>
        <v>0</v>
      </c>
      <c r="I25" s="214" t="b">
        <f>IFERROR(__xludf.DUMMYFUNCTION("""COMPUTED_VALUE"""),FALSE)</f>
        <v>0</v>
      </c>
      <c r="J25" s="214" t="b">
        <f>IFERROR(__xludf.DUMMYFUNCTION("""COMPUTED_VALUE"""),FALSE)</f>
        <v>0</v>
      </c>
      <c r="K25" s="214" t="b">
        <f>IFERROR(__xludf.DUMMYFUNCTION("""COMPUTED_VALUE"""),FALSE)</f>
        <v>0</v>
      </c>
      <c r="L25" s="214" t="b">
        <f>IFERROR(__xludf.DUMMYFUNCTION("""COMPUTED_VALUE"""),FALSE)</f>
        <v>0</v>
      </c>
      <c r="M25" s="214"/>
      <c r="N25" s="214"/>
      <c r="O25" s="214"/>
      <c r="P25" s="214"/>
      <c r="Q25" s="214"/>
      <c r="R25" s="214"/>
      <c r="S25" s="214"/>
      <c r="T25" s="214"/>
      <c r="U25" s="214"/>
      <c r="V25" s="214"/>
      <c r="W25" s="214"/>
      <c r="X25" s="214"/>
      <c r="Y25" s="214"/>
    </row>
    <row r="26">
      <c r="A26" s="32" t="str">
        <f>IFERROR(__xludf.DUMMYFUNCTION("""COMPUTED_VALUE"""),"Wolven 12")</f>
        <v>Wolven 12</v>
      </c>
      <c r="B26" s="48" t="b">
        <f>IFERROR(__xludf.DUMMYFUNCTION("""COMPUTED_VALUE"""),TRUE)</f>
        <v>1</v>
      </c>
      <c r="C26" s="138" t="b">
        <f>IFERROR(__xludf.DUMMYFUNCTION("""COMPUTED_VALUE"""),FALSE)</f>
        <v>0</v>
      </c>
      <c r="D26" s="12" t="b">
        <f>IFERROR(__xludf.DUMMYFUNCTION("""COMPUTED_VALUE"""),FALSE)</f>
        <v>0</v>
      </c>
      <c r="E26" s="214" t="b">
        <f>IFERROR(__xludf.DUMMYFUNCTION("""COMPUTED_VALUE"""),FALSE)</f>
        <v>0</v>
      </c>
      <c r="F26" s="214" t="b">
        <f>IFERROR(__xludf.DUMMYFUNCTION("""COMPUTED_VALUE"""),TRUE)</f>
        <v>1</v>
      </c>
      <c r="G26" s="214" t="b">
        <f>IFERROR(__xludf.DUMMYFUNCTION("""COMPUTED_VALUE"""),FALSE)</f>
        <v>0</v>
      </c>
      <c r="H26" s="214" t="b">
        <f>IFERROR(__xludf.DUMMYFUNCTION("""COMPUTED_VALUE"""),FALSE)</f>
        <v>0</v>
      </c>
      <c r="I26" s="214" t="b">
        <f>IFERROR(__xludf.DUMMYFUNCTION("""COMPUTED_VALUE"""),FALSE)</f>
        <v>0</v>
      </c>
      <c r="J26" s="214" t="b">
        <f>IFERROR(__xludf.DUMMYFUNCTION("""COMPUTED_VALUE"""),FALSE)</f>
        <v>0</v>
      </c>
      <c r="K26" s="214" t="b">
        <f>IFERROR(__xludf.DUMMYFUNCTION("""COMPUTED_VALUE"""),FALSE)</f>
        <v>0</v>
      </c>
      <c r="L26" s="214" t="b">
        <f>IFERROR(__xludf.DUMMYFUNCTION("""COMPUTED_VALUE"""),FALSE)</f>
        <v>0</v>
      </c>
      <c r="M26" s="214" t="str">
        <f>IFERROR(__xludf.DUMMYFUNCTION("""COMPUTED_VALUE"""),"Single combat between seeker from Glendeep and Anderson.")</f>
        <v>Single combat between seeker from Glendeep and Anderson.</v>
      </c>
      <c r="N26" s="214"/>
      <c r="O26" s="214"/>
      <c r="P26" s="214"/>
      <c r="Q26" s="214"/>
      <c r="R26" s="214"/>
      <c r="S26" s="214"/>
      <c r="T26" s="214"/>
      <c r="U26" s="214"/>
      <c r="V26" s="214"/>
      <c r="W26" s="214"/>
      <c r="X26" s="214"/>
      <c r="Y26" s="214"/>
    </row>
    <row r="27">
      <c r="A27" s="32" t="str">
        <f>IFERROR(__xludf.DUMMYFUNCTION("""COMPUTED_VALUE"""),"Bachelorette 1")</f>
        <v>Bachelorette 1</v>
      </c>
      <c r="B27" s="48" t="b">
        <f>IFERROR(__xludf.DUMMYFUNCTION("""COMPUTED_VALUE"""),TRUE)</f>
        <v>1</v>
      </c>
      <c r="C27" s="138" t="b">
        <f>IFERROR(__xludf.DUMMYFUNCTION("""COMPUTED_VALUE"""),TRUE)</f>
        <v>1</v>
      </c>
      <c r="D27" s="12" t="b">
        <f>IFERROR(__xludf.DUMMYFUNCTION("""COMPUTED_VALUE"""),FALSE)</f>
        <v>0</v>
      </c>
      <c r="E27" s="214" t="b">
        <f>IFERROR(__xludf.DUMMYFUNCTION("""COMPUTED_VALUE"""),FALSE)</f>
        <v>0</v>
      </c>
      <c r="F27" s="214" t="b">
        <f>IFERROR(__xludf.DUMMYFUNCTION("""COMPUTED_VALUE"""),TRUE)</f>
        <v>1</v>
      </c>
      <c r="G27" s="214" t="b">
        <f>IFERROR(__xludf.DUMMYFUNCTION("""COMPUTED_VALUE"""),TRUE)</f>
        <v>1</v>
      </c>
      <c r="H27" s="214" t="b">
        <f>IFERROR(__xludf.DUMMYFUNCTION("""COMPUTED_VALUE"""),FALSE)</f>
        <v>0</v>
      </c>
      <c r="I27" s="214" t="b">
        <f>IFERROR(__xludf.DUMMYFUNCTION("""COMPUTED_VALUE"""),TRUE)</f>
        <v>1</v>
      </c>
      <c r="J27" s="214" t="b">
        <f>IFERROR(__xludf.DUMMYFUNCTION("""COMPUTED_VALUE"""),TRUE)</f>
        <v>1</v>
      </c>
      <c r="K27" s="214" t="b">
        <f>IFERROR(__xludf.DUMMYFUNCTION("""COMPUTED_VALUE"""),FALSE)</f>
        <v>0</v>
      </c>
      <c r="L27" s="214" t="b">
        <f>IFERROR(__xludf.DUMMYFUNCTION("""COMPUTED_VALUE"""),TRUE)</f>
        <v>1</v>
      </c>
      <c r="M27" s="214" t="str">
        <f>IFERROR(__xludf.DUMMYFUNCTION("""COMPUTED_VALUE"""),"Great single combat with seeker from Arden. Party was super supportive of cheering her on even with self doubt (I'm too short to really hit her!)")</f>
        <v>Great single combat with seeker from Arden. Party was super supportive of cheering her on even with self doubt (I'm too short to really hit her!)</v>
      </c>
      <c r="N27" s="214"/>
      <c r="O27" s="214"/>
      <c r="P27" s="214"/>
      <c r="Q27" s="214"/>
      <c r="R27" s="214"/>
      <c r="S27" s="214"/>
      <c r="T27" s="214"/>
      <c r="U27" s="214"/>
      <c r="V27" s="214"/>
      <c r="W27" s="214"/>
      <c r="X27" s="214"/>
      <c r="Y27" s="214"/>
    </row>
    <row r="28">
      <c r="A28" s="32" t="str">
        <f>IFERROR(__xludf.DUMMYFUNCTION("""COMPUTED_VALUE"""),"Bachelorette 2")</f>
        <v>Bachelorette 2</v>
      </c>
      <c r="B28" s="48" t="b">
        <f>IFERROR(__xludf.DUMMYFUNCTION("""COMPUTED_VALUE"""),TRUE)</f>
        <v>1</v>
      </c>
      <c r="C28" s="222" t="b">
        <f>IFERROR(__xludf.DUMMYFUNCTION("""COMPUTED_VALUE"""),FALSE)</f>
        <v>0</v>
      </c>
      <c r="D28" s="12" t="b">
        <f>IFERROR(__xludf.DUMMYFUNCTION("""COMPUTED_VALUE"""),FALSE)</f>
        <v>0</v>
      </c>
      <c r="E28" s="214" t="b">
        <f>IFERROR(__xludf.DUMMYFUNCTION("""COMPUTED_VALUE"""),TRUE)</f>
        <v>1</v>
      </c>
      <c r="F28" s="214" t="b">
        <f>IFERROR(__xludf.DUMMYFUNCTION("""COMPUTED_VALUE"""),FALSE)</f>
        <v>0</v>
      </c>
      <c r="G28" s="214" t="b">
        <f>IFERROR(__xludf.DUMMYFUNCTION("""COMPUTED_VALUE"""),TRUE)</f>
        <v>1</v>
      </c>
      <c r="H28" s="214" t="b">
        <f>IFERROR(__xludf.DUMMYFUNCTION("""COMPUTED_VALUE"""),FALSE)</f>
        <v>0</v>
      </c>
      <c r="I28" s="214" t="b">
        <f>IFERROR(__xludf.DUMMYFUNCTION("""COMPUTED_VALUE"""),FALSE)</f>
        <v>0</v>
      </c>
      <c r="J28" s="214" t="b">
        <f>IFERROR(__xludf.DUMMYFUNCTION("""COMPUTED_VALUE"""),TRUE)</f>
        <v>1</v>
      </c>
      <c r="K28" s="214" t="b">
        <f>IFERROR(__xludf.DUMMYFUNCTION("""COMPUTED_VALUE"""),FALSE)</f>
        <v>0</v>
      </c>
      <c r="L28" s="214" t="b">
        <f>IFERROR(__xludf.DUMMYFUNCTION("""COMPUTED_VALUE"""),TRUE)</f>
        <v>1</v>
      </c>
      <c r="M28" s="214" t="str">
        <f>IFERROR(__xludf.DUMMYFUNCTION("""COMPUTED_VALUE"""),"Waylon - used Single Combat, then passed us again with Sythwan, used Root Foot, only hit two. Keer and Arden were non-combat (Keer used Secret Path and snuck past us ""sleeping"" and Arden watched us dance/attack each other. All parties were very friendly"&amp;" toward us and seemed in good spirits throughout and after fight. - ESD")</f>
        <v>Waylon - used Single Combat, then passed us again with Sythwan, used Root Foot, only hit two. Keer and Arden were non-combat (Keer used Secret Path and snuck past us "sleeping" and Arden watched us dance/attack each other. All parties were very friendly toward us and seemed in good spirits throughout and after fight. - ESD</v>
      </c>
      <c r="N28" s="214"/>
      <c r="O28" s="214"/>
      <c r="P28" s="214"/>
      <c r="Q28" s="214"/>
      <c r="R28" s="214"/>
      <c r="S28" s="214"/>
      <c r="T28" s="214"/>
      <c r="U28" s="214"/>
      <c r="V28" s="214"/>
      <c r="W28" s="214"/>
      <c r="X28" s="214"/>
      <c r="Y28" s="214"/>
    </row>
    <row r="29">
      <c r="A29" s="32" t="str">
        <f>IFERROR(__xludf.DUMMYFUNCTION("""COMPUTED_VALUE"""),"Wolven 13")</f>
        <v>Wolven 13</v>
      </c>
      <c r="B29" s="48" t="str">
        <f>IFERROR(__xludf.DUMMYFUNCTION("""COMPUTED_VALUE"""),"x")</f>
        <v>x</v>
      </c>
      <c r="C29" s="138"/>
      <c r="D29" s="12"/>
      <c r="E29" s="214"/>
      <c r="F29" s="214"/>
      <c r="G29" s="214"/>
      <c r="H29" s="214"/>
      <c r="I29" s="214"/>
      <c r="J29" s="214"/>
      <c r="K29" s="214"/>
      <c r="L29" s="214"/>
      <c r="M29" s="214" t="str">
        <f>IFERROR(__xludf.DUMMYFUNCTION("""COMPUTED_VALUE"""),"Arden used Petrify, along with at least two Keeper heals, good combat, all engaged and working together.")</f>
        <v>Arden used Petrify, along with at least two Keeper heals, good combat, all engaged and working together.</v>
      </c>
      <c r="N29" s="214"/>
      <c r="O29" s="214"/>
      <c r="P29" s="214"/>
      <c r="Q29" s="214"/>
      <c r="R29" s="214"/>
      <c r="S29" s="214"/>
      <c r="T29" s="214"/>
      <c r="U29" s="214"/>
      <c r="V29" s="214"/>
      <c r="W29" s="214"/>
      <c r="X29" s="214"/>
      <c r="Y29" s="214"/>
    </row>
    <row r="30">
      <c r="A30" s="32"/>
      <c r="B30" s="48"/>
      <c r="C30" s="138"/>
      <c r="D30" s="12"/>
      <c r="E30" s="214"/>
      <c r="F30" s="214"/>
      <c r="G30" s="214"/>
      <c r="H30" s="214"/>
      <c r="I30" s="214"/>
      <c r="J30" s="214"/>
      <c r="K30" s="214"/>
      <c r="L30" s="214"/>
      <c r="M30" s="214" t="str">
        <f>IFERROR(__xludf.DUMMYFUNCTION("""COMPUTED_VALUE"""),"Saw eliswhich first 3 down one brought back by potion. Single combat with Waylon seeker down. Arden chased into dinner no combat. Light combat sythwan and waylon. Keer used hide in shadows. Bacherlorette 2")</f>
        <v>Saw eliswhich first 3 down one brought back by potion. Single combat with Waylon seeker down. Arden chased into dinner no combat. Light combat sythwan and waylon. Keer used hide in shadows. Bacherlorette 2</v>
      </c>
      <c r="N30" s="214"/>
      <c r="O30" s="214"/>
      <c r="P30" s="214"/>
      <c r="Q30" s="214"/>
      <c r="R30" s="214"/>
      <c r="S30" s="214"/>
      <c r="T30" s="214"/>
      <c r="U30" s="214"/>
      <c r="V30" s="214"/>
      <c r="W30" s="214"/>
      <c r="X30" s="214"/>
      <c r="Y30" s="214"/>
    </row>
    <row r="31">
      <c r="A31" s="32"/>
      <c r="B31" s="48"/>
      <c r="C31" s="138"/>
      <c r="D31" s="12"/>
    </row>
    <row r="32">
      <c r="A32" s="32"/>
      <c r="B32" s="48"/>
      <c r="C32" s="138"/>
      <c r="D32" s="12"/>
    </row>
    <row r="33">
      <c r="A33" s="32"/>
      <c r="B33" s="48"/>
      <c r="C33" s="138"/>
      <c r="D33" s="12"/>
    </row>
    <row r="34">
      <c r="A34" s="32"/>
      <c r="B34" s="48"/>
      <c r="C34" s="138"/>
      <c r="D34" s="12"/>
    </row>
    <row r="35">
      <c r="A35" s="32"/>
      <c r="B35" s="48"/>
      <c r="C35" s="138"/>
      <c r="D35" s="12"/>
    </row>
    <row r="36">
      <c r="A36" s="32"/>
      <c r="B36" s="48"/>
      <c r="C36" s="138"/>
      <c r="D36" s="12"/>
    </row>
    <row r="37">
      <c r="A37" s="32"/>
      <c r="B37" s="48"/>
      <c r="C37" s="138"/>
      <c r="D37" s="12"/>
    </row>
    <row r="38">
      <c r="A38" s="32"/>
      <c r="B38" s="48"/>
      <c r="C38" s="138"/>
      <c r="D38" s="12"/>
    </row>
    <row r="39">
      <c r="A39" s="32"/>
      <c r="B39" s="48"/>
      <c r="C39" s="138"/>
      <c r="D39" s="12"/>
    </row>
    <row r="40">
      <c r="A40" s="32"/>
      <c r="B40" s="48"/>
      <c r="C40" s="138"/>
      <c r="D40" s="12"/>
    </row>
    <row r="41">
      <c r="A41" s="32"/>
      <c r="B41" s="48"/>
      <c r="C41" s="138"/>
      <c r="D41" s="12"/>
    </row>
    <row r="42">
      <c r="A42" s="32"/>
      <c r="B42" s="48"/>
      <c r="C42" s="138"/>
      <c r="D42" s="12"/>
    </row>
    <row r="43">
      <c r="A43" s="32"/>
      <c r="B43" s="48"/>
      <c r="C43" s="138"/>
      <c r="D43" s="12"/>
    </row>
    <row r="44">
      <c r="A44" s="32"/>
      <c r="B44" s="48"/>
      <c r="C44" s="138"/>
      <c r="D44" s="12"/>
    </row>
    <row r="45">
      <c r="A45" s="32"/>
      <c r="B45" s="48"/>
      <c r="C45" s="138"/>
      <c r="D45" s="12"/>
    </row>
    <row r="46">
      <c r="A46" s="32"/>
      <c r="B46" s="48"/>
      <c r="C46" s="138"/>
      <c r="D46" s="12"/>
    </row>
    <row r="47">
      <c r="B47" s="12"/>
      <c r="C47" s="137"/>
    </row>
    <row r="48">
      <c r="B48" s="12"/>
      <c r="C48" s="137"/>
    </row>
    <row r="49">
      <c r="B49" s="12"/>
      <c r="C49" s="137"/>
    </row>
    <row r="50">
      <c r="B50" s="12"/>
      <c r="C50" s="137"/>
    </row>
    <row r="51">
      <c r="B51" s="12"/>
      <c r="C51" s="137"/>
    </row>
    <row r="52">
      <c r="B52" s="12"/>
      <c r="C52" s="137"/>
    </row>
    <row r="53">
      <c r="B53" s="12"/>
      <c r="C53" s="137"/>
    </row>
    <row r="54">
      <c r="B54" s="12"/>
      <c r="C54" s="137"/>
    </row>
    <row r="55">
      <c r="B55" s="12"/>
      <c r="C55" s="137"/>
    </row>
    <row r="56">
      <c r="B56" s="12"/>
      <c r="C56" s="137"/>
    </row>
    <row r="57">
      <c r="B57" s="12"/>
      <c r="C57" s="137"/>
    </row>
    <row r="58">
      <c r="B58" s="12"/>
      <c r="C58" s="137"/>
    </row>
    <row r="59">
      <c r="B59" s="12"/>
      <c r="C59" s="137"/>
    </row>
    <row r="60">
      <c r="B60" s="12"/>
      <c r="C60" s="137"/>
    </row>
    <row r="61">
      <c r="B61" s="12"/>
      <c r="C61" s="137"/>
    </row>
    <row r="62">
      <c r="B62" s="12"/>
      <c r="C62" s="137"/>
    </row>
    <row r="63">
      <c r="B63" s="12"/>
      <c r="C63" s="137"/>
    </row>
    <row r="64">
      <c r="B64" s="12"/>
      <c r="C64" s="137"/>
    </row>
    <row r="65">
      <c r="B65" s="12"/>
      <c r="C65" s="137"/>
    </row>
    <row r="66">
      <c r="B66" s="12"/>
      <c r="C66" s="137"/>
    </row>
    <row r="67">
      <c r="B67" s="12"/>
      <c r="C67" s="137"/>
    </row>
    <row r="68">
      <c r="B68" s="12"/>
      <c r="C68" s="137"/>
    </row>
    <row r="69">
      <c r="B69" s="12"/>
      <c r="C69" s="137"/>
    </row>
    <row r="70">
      <c r="B70" s="12"/>
      <c r="C70" s="137"/>
    </row>
    <row r="71">
      <c r="B71" s="12"/>
      <c r="C71" s="137"/>
    </row>
    <row r="72">
      <c r="B72" s="12"/>
      <c r="C72" s="137"/>
    </row>
    <row r="73">
      <c r="B73" s="12"/>
      <c r="C73" s="137"/>
    </row>
    <row r="74">
      <c r="B74" s="12"/>
      <c r="C74" s="137"/>
    </row>
    <row r="75">
      <c r="B75" s="12"/>
      <c r="C75" s="137"/>
    </row>
    <row r="76">
      <c r="B76" s="12"/>
      <c r="C76" s="137"/>
    </row>
    <row r="77">
      <c r="B77" s="12"/>
      <c r="C77" s="137"/>
    </row>
    <row r="78">
      <c r="B78" s="12"/>
      <c r="C78" s="137"/>
    </row>
    <row r="79">
      <c r="B79" s="12"/>
      <c r="C79" s="137"/>
    </row>
    <row r="80">
      <c r="B80" s="12"/>
      <c r="C80" s="137"/>
    </row>
    <row r="81">
      <c r="B81" s="12"/>
      <c r="C81" s="137"/>
    </row>
    <row r="82">
      <c r="B82" s="12"/>
      <c r="C82" s="137"/>
    </row>
    <row r="83">
      <c r="B83" s="12"/>
      <c r="C83" s="137"/>
    </row>
    <row r="84">
      <c r="B84" s="12"/>
      <c r="C84" s="137"/>
    </row>
    <row r="85">
      <c r="B85" s="12"/>
      <c r="C85" s="137"/>
    </row>
    <row r="86">
      <c r="B86" s="12"/>
      <c r="C86" s="137"/>
    </row>
    <row r="87">
      <c r="B87" s="12"/>
      <c r="C87" s="137"/>
    </row>
    <row r="88">
      <c r="B88" s="12"/>
      <c r="C88" s="137"/>
    </row>
    <row r="89">
      <c r="B89" s="12"/>
      <c r="C89" s="137"/>
    </row>
    <row r="90">
      <c r="B90" s="12"/>
      <c r="C90" s="137"/>
    </row>
    <row r="91">
      <c r="B91" s="12"/>
      <c r="C91" s="137"/>
    </row>
    <row r="92">
      <c r="B92" s="12"/>
      <c r="C92" s="137"/>
    </row>
    <row r="93">
      <c r="B93" s="12"/>
      <c r="C93" s="137"/>
    </row>
    <row r="94">
      <c r="B94" s="12"/>
      <c r="C94" s="137"/>
    </row>
    <row r="95">
      <c r="B95" s="12"/>
      <c r="C95" s="137"/>
    </row>
    <row r="96">
      <c r="B96" s="12"/>
      <c r="C96" s="137"/>
    </row>
    <row r="97">
      <c r="B97" s="12"/>
      <c r="C97" s="137"/>
    </row>
    <row r="98">
      <c r="B98" s="12"/>
      <c r="C98" s="137"/>
    </row>
    <row r="99">
      <c r="B99" s="12"/>
      <c r="C99" s="137"/>
    </row>
    <row r="100">
      <c r="B100" s="12"/>
      <c r="C100" s="137"/>
    </row>
    <row r="101">
      <c r="B101" s="12"/>
      <c r="C101" s="137"/>
    </row>
    <row r="102">
      <c r="B102" s="12"/>
      <c r="C102" s="137"/>
    </row>
    <row r="103">
      <c r="B103" s="12"/>
      <c r="C103" s="137"/>
    </row>
    <row r="104">
      <c r="B104" s="12"/>
      <c r="C104" s="137"/>
    </row>
    <row r="105">
      <c r="B105" s="12"/>
      <c r="C105" s="137"/>
    </row>
    <row r="106">
      <c r="B106" s="12"/>
      <c r="C106" s="137"/>
    </row>
    <row r="107">
      <c r="B107" s="12"/>
      <c r="C107" s="137"/>
    </row>
    <row r="108">
      <c r="B108" s="12"/>
      <c r="C108" s="137"/>
    </row>
    <row r="109">
      <c r="B109" s="12"/>
      <c r="C109" s="137"/>
    </row>
    <row r="110">
      <c r="B110" s="12"/>
      <c r="C110" s="137"/>
    </row>
    <row r="111">
      <c r="B111" s="12"/>
      <c r="C111" s="137"/>
    </row>
    <row r="112">
      <c r="B112" s="12"/>
      <c r="C112" s="137"/>
    </row>
    <row r="113">
      <c r="B113" s="12"/>
      <c r="C113" s="137"/>
    </row>
    <row r="114">
      <c r="B114" s="12"/>
      <c r="C114" s="137"/>
    </row>
    <row r="115">
      <c r="B115" s="12"/>
      <c r="C115" s="137"/>
    </row>
    <row r="116">
      <c r="B116" s="12"/>
      <c r="C116" s="137"/>
    </row>
    <row r="117">
      <c r="B117" s="12"/>
      <c r="C117" s="137"/>
    </row>
    <row r="118">
      <c r="B118" s="12"/>
      <c r="C118" s="137"/>
    </row>
    <row r="119">
      <c r="B119" s="12"/>
      <c r="C119" s="137"/>
    </row>
    <row r="120">
      <c r="B120" s="12"/>
      <c r="C120" s="137"/>
    </row>
    <row r="121">
      <c r="B121" s="12"/>
      <c r="C121" s="137"/>
    </row>
    <row r="122">
      <c r="B122" s="12"/>
      <c r="C122" s="137"/>
    </row>
    <row r="123">
      <c r="B123" s="12"/>
      <c r="C123" s="137"/>
    </row>
    <row r="124">
      <c r="B124" s="12"/>
      <c r="C124" s="137"/>
    </row>
    <row r="125">
      <c r="B125" s="12"/>
      <c r="C125" s="137"/>
    </row>
    <row r="126">
      <c r="B126" s="12"/>
      <c r="C126" s="137"/>
    </row>
    <row r="127">
      <c r="B127" s="12"/>
      <c r="C127" s="137"/>
    </row>
    <row r="128">
      <c r="B128" s="12"/>
      <c r="C128" s="137"/>
    </row>
    <row r="129">
      <c r="B129" s="12"/>
      <c r="C129" s="137"/>
    </row>
    <row r="130">
      <c r="B130" s="12"/>
      <c r="C130" s="137"/>
    </row>
    <row r="131">
      <c r="B131" s="12"/>
      <c r="C131" s="137"/>
    </row>
    <row r="132">
      <c r="B132" s="12"/>
      <c r="C132" s="137"/>
    </row>
    <row r="133">
      <c r="B133" s="12"/>
      <c r="C133" s="137"/>
    </row>
    <row r="134">
      <c r="B134" s="12"/>
      <c r="C134" s="137"/>
    </row>
    <row r="135">
      <c r="B135" s="12"/>
      <c r="C135" s="137"/>
    </row>
    <row r="136">
      <c r="B136" s="12"/>
      <c r="C136" s="137"/>
    </row>
    <row r="137">
      <c r="B137" s="12"/>
      <c r="C137" s="137"/>
    </row>
    <row r="138">
      <c r="B138" s="12"/>
      <c r="C138" s="137"/>
    </row>
    <row r="139">
      <c r="B139" s="12"/>
      <c r="C139" s="137"/>
    </row>
    <row r="140">
      <c r="B140" s="12"/>
      <c r="C140" s="137"/>
    </row>
    <row r="141">
      <c r="B141" s="12"/>
      <c r="C141" s="137"/>
    </row>
    <row r="142">
      <c r="B142" s="12"/>
      <c r="C142" s="137"/>
    </row>
    <row r="143">
      <c r="B143" s="12"/>
      <c r="C143" s="137"/>
    </row>
    <row r="144">
      <c r="B144" s="12"/>
      <c r="C144" s="137"/>
    </row>
    <row r="145">
      <c r="B145" s="12"/>
      <c r="C145" s="137"/>
    </row>
    <row r="146">
      <c r="B146" s="12"/>
      <c r="C146" s="137"/>
    </row>
    <row r="147">
      <c r="B147" s="12"/>
      <c r="C147" s="137"/>
    </row>
    <row r="148">
      <c r="B148" s="12"/>
      <c r="C148" s="137"/>
    </row>
    <row r="149">
      <c r="B149" s="12"/>
      <c r="C149" s="137"/>
    </row>
    <row r="150">
      <c r="B150" s="12"/>
      <c r="C150" s="137"/>
    </row>
    <row r="151">
      <c r="B151" s="12"/>
      <c r="C151" s="137"/>
    </row>
    <row r="152">
      <c r="B152" s="12"/>
      <c r="C152" s="137"/>
    </row>
    <row r="153">
      <c r="B153" s="12"/>
      <c r="C153" s="137"/>
    </row>
    <row r="154">
      <c r="B154" s="12"/>
      <c r="C154" s="137"/>
    </row>
    <row r="155">
      <c r="B155" s="12"/>
      <c r="C155" s="137"/>
    </row>
    <row r="156">
      <c r="B156" s="12"/>
      <c r="C156" s="137"/>
    </row>
    <row r="157">
      <c r="B157" s="12"/>
      <c r="C157" s="137"/>
    </row>
    <row r="158">
      <c r="B158" s="12"/>
      <c r="C158" s="137"/>
    </row>
    <row r="159">
      <c r="B159" s="12"/>
      <c r="C159" s="137"/>
    </row>
    <row r="160">
      <c r="B160" s="12"/>
      <c r="C160" s="137"/>
    </row>
    <row r="161">
      <c r="B161" s="12"/>
      <c r="C161" s="137"/>
    </row>
    <row r="162">
      <c r="B162" s="12"/>
      <c r="C162" s="137"/>
    </row>
    <row r="163">
      <c r="B163" s="12"/>
      <c r="C163" s="137"/>
    </row>
    <row r="164">
      <c r="B164" s="12"/>
      <c r="C164" s="137"/>
    </row>
    <row r="165">
      <c r="B165" s="12"/>
      <c r="C165" s="137"/>
    </row>
    <row r="166">
      <c r="B166" s="12"/>
      <c r="C166" s="137"/>
    </row>
    <row r="167">
      <c r="B167" s="12"/>
      <c r="C167" s="137"/>
    </row>
    <row r="168">
      <c r="B168" s="12"/>
      <c r="C168" s="137"/>
    </row>
    <row r="169">
      <c r="B169" s="12"/>
      <c r="C169" s="137"/>
    </row>
    <row r="170">
      <c r="B170" s="12"/>
      <c r="C170" s="137"/>
    </row>
    <row r="171">
      <c r="B171" s="12"/>
      <c r="C171" s="137"/>
    </row>
    <row r="172">
      <c r="B172" s="12"/>
      <c r="C172" s="137"/>
    </row>
    <row r="173">
      <c r="B173" s="12"/>
      <c r="C173" s="137"/>
    </row>
    <row r="174">
      <c r="B174" s="12"/>
      <c r="C174" s="137"/>
    </row>
    <row r="175">
      <c r="B175" s="12"/>
      <c r="C175" s="137"/>
    </row>
    <row r="176">
      <c r="B176" s="12"/>
      <c r="C176" s="137"/>
    </row>
    <row r="177">
      <c r="B177" s="12"/>
      <c r="C177" s="137"/>
    </row>
    <row r="178">
      <c r="B178" s="12"/>
      <c r="C178" s="137"/>
    </row>
    <row r="179">
      <c r="B179" s="12"/>
      <c r="C179" s="137"/>
    </row>
    <row r="180">
      <c r="B180" s="12"/>
      <c r="C180" s="137"/>
    </row>
    <row r="181">
      <c r="B181" s="12"/>
      <c r="C181" s="137"/>
    </row>
    <row r="182">
      <c r="B182" s="12"/>
      <c r="C182" s="137"/>
    </row>
    <row r="183">
      <c r="B183" s="12"/>
      <c r="C183" s="137"/>
    </row>
    <row r="184">
      <c r="B184" s="12"/>
      <c r="C184" s="137"/>
    </row>
    <row r="185">
      <c r="B185" s="12"/>
      <c r="C185" s="137"/>
    </row>
    <row r="186">
      <c r="B186" s="12"/>
      <c r="C186" s="137"/>
    </row>
    <row r="187">
      <c r="B187" s="12"/>
      <c r="C187" s="137"/>
    </row>
    <row r="188">
      <c r="B188" s="12"/>
      <c r="C188" s="137"/>
    </row>
    <row r="189">
      <c r="B189" s="12"/>
      <c r="C189" s="137"/>
    </row>
    <row r="190">
      <c r="B190" s="12"/>
      <c r="C190" s="137"/>
    </row>
    <row r="191">
      <c r="B191" s="12"/>
      <c r="C191" s="137"/>
    </row>
    <row r="192">
      <c r="B192" s="12"/>
      <c r="C192" s="137"/>
    </row>
    <row r="193">
      <c r="B193" s="12"/>
      <c r="C193" s="137"/>
    </row>
    <row r="194">
      <c r="B194" s="12"/>
      <c r="C194" s="137"/>
    </row>
    <row r="195">
      <c r="B195" s="12"/>
      <c r="C195" s="137"/>
    </row>
    <row r="196">
      <c r="B196" s="12"/>
      <c r="C196" s="137"/>
    </row>
    <row r="197">
      <c r="B197" s="12"/>
      <c r="C197" s="137"/>
    </row>
    <row r="198">
      <c r="B198" s="12"/>
      <c r="C198" s="137"/>
    </row>
    <row r="199">
      <c r="B199" s="12"/>
      <c r="C199" s="137"/>
    </row>
    <row r="200">
      <c r="B200" s="12"/>
      <c r="C200" s="137"/>
    </row>
    <row r="201">
      <c r="B201" s="12"/>
      <c r="C201" s="137"/>
    </row>
    <row r="202">
      <c r="B202" s="12"/>
      <c r="C202" s="137"/>
    </row>
    <row r="203">
      <c r="B203" s="12"/>
      <c r="C203" s="137"/>
    </row>
    <row r="204">
      <c r="B204" s="12"/>
      <c r="C204" s="137"/>
    </row>
    <row r="205">
      <c r="B205" s="12"/>
      <c r="C205" s="137"/>
    </row>
    <row r="206">
      <c r="B206" s="12"/>
      <c r="C206" s="137"/>
    </row>
    <row r="207">
      <c r="B207" s="12"/>
      <c r="C207" s="137"/>
    </row>
    <row r="208">
      <c r="B208" s="12"/>
      <c r="C208" s="137"/>
    </row>
    <row r="209">
      <c r="B209" s="12"/>
      <c r="C209" s="137"/>
    </row>
    <row r="210">
      <c r="B210" s="12"/>
      <c r="C210" s="137"/>
    </row>
    <row r="211">
      <c r="B211" s="12"/>
      <c r="C211" s="137"/>
    </row>
    <row r="212">
      <c r="B212" s="12"/>
      <c r="C212" s="137"/>
    </row>
    <row r="213">
      <c r="B213" s="12"/>
      <c r="C213" s="137"/>
    </row>
    <row r="214">
      <c r="B214" s="12"/>
      <c r="C214" s="137"/>
    </row>
    <row r="215">
      <c r="B215" s="12"/>
      <c r="C215" s="137"/>
    </row>
    <row r="216">
      <c r="B216" s="12"/>
      <c r="C216" s="137"/>
    </row>
    <row r="217">
      <c r="B217" s="12"/>
      <c r="C217" s="137"/>
    </row>
    <row r="218">
      <c r="B218" s="12"/>
      <c r="C218" s="137"/>
    </row>
    <row r="219">
      <c r="B219" s="12"/>
      <c r="C219" s="137"/>
    </row>
    <row r="220">
      <c r="B220" s="12"/>
      <c r="C220" s="137"/>
    </row>
    <row r="221">
      <c r="B221" s="12"/>
      <c r="C221" s="137"/>
    </row>
    <row r="222">
      <c r="B222" s="12"/>
      <c r="C222" s="137"/>
    </row>
    <row r="223">
      <c r="B223" s="12"/>
      <c r="C223" s="137"/>
    </row>
    <row r="224">
      <c r="B224" s="12"/>
      <c r="C224" s="137"/>
    </row>
    <row r="225">
      <c r="B225" s="12"/>
      <c r="C225" s="137"/>
    </row>
    <row r="226">
      <c r="B226" s="12"/>
      <c r="C226" s="137"/>
    </row>
    <row r="227">
      <c r="B227" s="12"/>
      <c r="C227" s="137"/>
    </row>
    <row r="228">
      <c r="B228" s="12"/>
      <c r="C228" s="137"/>
    </row>
    <row r="229">
      <c r="B229" s="12"/>
      <c r="C229" s="137"/>
    </row>
    <row r="230">
      <c r="B230" s="12"/>
      <c r="C230" s="137"/>
    </row>
    <row r="231">
      <c r="B231" s="12"/>
      <c r="C231" s="137"/>
    </row>
    <row r="232">
      <c r="B232" s="12"/>
      <c r="C232" s="137"/>
    </row>
    <row r="233">
      <c r="B233" s="12"/>
      <c r="C233" s="137"/>
    </row>
    <row r="234">
      <c r="B234" s="12"/>
      <c r="C234" s="137"/>
    </row>
    <row r="235">
      <c r="B235" s="12"/>
      <c r="C235" s="137"/>
    </row>
    <row r="236">
      <c r="B236" s="12"/>
      <c r="C236" s="137"/>
    </row>
    <row r="237">
      <c r="B237" s="12"/>
      <c r="C237" s="137"/>
    </row>
    <row r="238">
      <c r="B238" s="12"/>
      <c r="C238" s="137"/>
    </row>
    <row r="239">
      <c r="B239" s="12"/>
      <c r="C239" s="137"/>
    </row>
    <row r="240">
      <c r="B240" s="12"/>
      <c r="C240" s="137"/>
    </row>
    <row r="241">
      <c r="B241" s="12"/>
      <c r="C241" s="137"/>
    </row>
    <row r="242">
      <c r="B242" s="12"/>
      <c r="C242" s="137"/>
    </row>
    <row r="243">
      <c r="B243" s="12"/>
      <c r="C243" s="137"/>
    </row>
    <row r="244">
      <c r="B244" s="12"/>
      <c r="C244" s="137"/>
    </row>
    <row r="245">
      <c r="B245" s="12"/>
      <c r="C245" s="137"/>
    </row>
    <row r="246">
      <c r="B246" s="12"/>
      <c r="C246" s="137"/>
    </row>
    <row r="247">
      <c r="B247" s="12"/>
      <c r="C247" s="137"/>
    </row>
    <row r="248">
      <c r="B248" s="12"/>
      <c r="C248" s="137"/>
    </row>
    <row r="249">
      <c r="B249" s="12"/>
      <c r="C249" s="137"/>
    </row>
    <row r="250">
      <c r="B250" s="12"/>
      <c r="C250" s="137"/>
    </row>
    <row r="251">
      <c r="B251" s="12"/>
      <c r="C251" s="137"/>
    </row>
    <row r="252">
      <c r="B252" s="12"/>
      <c r="C252" s="137"/>
    </row>
    <row r="253">
      <c r="B253" s="12"/>
      <c r="C253" s="137"/>
    </row>
    <row r="254">
      <c r="B254" s="12"/>
      <c r="C254" s="137"/>
    </row>
    <row r="255">
      <c r="B255" s="12"/>
      <c r="C255" s="137"/>
    </row>
    <row r="256">
      <c r="B256" s="12"/>
      <c r="C256" s="137"/>
    </row>
    <row r="257">
      <c r="B257" s="12"/>
      <c r="C257" s="137"/>
    </row>
    <row r="258">
      <c r="B258" s="12"/>
      <c r="C258" s="137"/>
    </row>
    <row r="259">
      <c r="B259" s="12"/>
      <c r="C259" s="137"/>
    </row>
    <row r="260">
      <c r="B260" s="12"/>
      <c r="C260" s="137"/>
    </row>
    <row r="261">
      <c r="B261" s="12"/>
      <c r="C261" s="137"/>
    </row>
    <row r="262">
      <c r="B262" s="12"/>
      <c r="C262" s="137"/>
    </row>
    <row r="263">
      <c r="B263" s="12"/>
      <c r="C263" s="137"/>
    </row>
    <row r="264">
      <c r="B264" s="12"/>
      <c r="C264" s="137"/>
    </row>
    <row r="265">
      <c r="B265" s="12"/>
      <c r="C265" s="137"/>
    </row>
    <row r="266">
      <c r="B266" s="12"/>
      <c r="C266" s="137"/>
    </row>
    <row r="267">
      <c r="B267" s="12"/>
      <c r="C267" s="137"/>
    </row>
    <row r="268">
      <c r="B268" s="12"/>
      <c r="C268" s="137"/>
    </row>
    <row r="269">
      <c r="B269" s="12"/>
      <c r="C269" s="137"/>
    </row>
    <row r="270">
      <c r="B270" s="12"/>
      <c r="C270" s="137"/>
    </row>
    <row r="271">
      <c r="B271" s="12"/>
      <c r="C271" s="137"/>
    </row>
    <row r="272">
      <c r="B272" s="12"/>
      <c r="C272" s="137"/>
    </row>
    <row r="273">
      <c r="B273" s="12"/>
      <c r="C273" s="137"/>
    </row>
    <row r="274">
      <c r="B274" s="12"/>
      <c r="C274" s="137"/>
    </row>
    <row r="275">
      <c r="B275" s="12"/>
      <c r="C275" s="137"/>
    </row>
    <row r="276">
      <c r="B276" s="12"/>
      <c r="C276" s="137"/>
    </row>
    <row r="277">
      <c r="B277" s="12"/>
      <c r="C277" s="137"/>
    </row>
    <row r="278">
      <c r="B278" s="12"/>
      <c r="C278" s="137"/>
    </row>
    <row r="279">
      <c r="B279" s="12"/>
      <c r="C279" s="137"/>
    </row>
    <row r="280">
      <c r="B280" s="12"/>
      <c r="C280" s="137"/>
    </row>
    <row r="281">
      <c r="B281" s="12"/>
      <c r="C281" s="137"/>
    </row>
    <row r="282">
      <c r="B282" s="12"/>
      <c r="C282" s="137"/>
    </row>
    <row r="283">
      <c r="B283" s="12"/>
      <c r="C283" s="137"/>
    </row>
    <row r="284">
      <c r="B284" s="12"/>
      <c r="C284" s="137"/>
    </row>
    <row r="285">
      <c r="B285" s="12"/>
      <c r="C285" s="137"/>
    </row>
    <row r="286">
      <c r="B286" s="12"/>
      <c r="C286" s="137"/>
    </row>
    <row r="287">
      <c r="B287" s="12"/>
      <c r="C287" s="137"/>
    </row>
    <row r="288">
      <c r="B288" s="12"/>
      <c r="C288" s="137"/>
    </row>
    <row r="289">
      <c r="B289" s="12"/>
      <c r="C289" s="137"/>
    </row>
    <row r="290">
      <c r="B290" s="12"/>
      <c r="C290" s="137"/>
    </row>
    <row r="291">
      <c r="B291" s="12"/>
      <c r="C291" s="137"/>
    </row>
    <row r="292">
      <c r="B292" s="12"/>
      <c r="C292" s="137"/>
    </row>
    <row r="293">
      <c r="B293" s="12"/>
      <c r="C293" s="137"/>
    </row>
    <row r="294">
      <c r="B294" s="12"/>
      <c r="C294" s="137"/>
    </row>
    <row r="295">
      <c r="B295" s="12"/>
      <c r="C295" s="137"/>
    </row>
    <row r="296">
      <c r="B296" s="12"/>
      <c r="C296" s="137"/>
    </row>
    <row r="297">
      <c r="B297" s="12"/>
      <c r="C297" s="137"/>
    </row>
    <row r="298">
      <c r="B298" s="12"/>
      <c r="C298" s="137"/>
    </row>
    <row r="299">
      <c r="B299" s="12"/>
      <c r="C299" s="137"/>
    </row>
    <row r="300">
      <c r="B300" s="12"/>
      <c r="C300" s="137"/>
    </row>
    <row r="301">
      <c r="B301" s="12"/>
      <c r="C301" s="137"/>
    </row>
    <row r="302">
      <c r="B302" s="12"/>
      <c r="C302" s="137"/>
    </row>
    <row r="303">
      <c r="B303" s="12"/>
      <c r="C303" s="137"/>
    </row>
    <row r="304">
      <c r="B304" s="12"/>
      <c r="C304" s="137"/>
    </row>
    <row r="305">
      <c r="B305" s="12"/>
      <c r="C305" s="137"/>
    </row>
    <row r="306">
      <c r="B306" s="12"/>
      <c r="C306" s="137"/>
    </row>
    <row r="307">
      <c r="B307" s="12"/>
      <c r="C307" s="137"/>
    </row>
    <row r="308">
      <c r="B308" s="12"/>
      <c r="C308" s="137"/>
    </row>
    <row r="309">
      <c r="B309" s="12"/>
      <c r="C309" s="137"/>
    </row>
    <row r="310">
      <c r="B310" s="12"/>
      <c r="C310" s="137"/>
    </row>
    <row r="311">
      <c r="B311" s="12"/>
      <c r="C311" s="137"/>
    </row>
    <row r="312">
      <c r="B312" s="12"/>
      <c r="C312" s="137"/>
    </row>
    <row r="313">
      <c r="B313" s="12"/>
      <c r="C313" s="137"/>
    </row>
    <row r="314">
      <c r="B314" s="12"/>
      <c r="C314" s="137"/>
    </row>
    <row r="315">
      <c r="B315" s="12"/>
      <c r="C315" s="137"/>
    </row>
    <row r="316">
      <c r="B316" s="12"/>
      <c r="C316" s="137"/>
    </row>
    <row r="317">
      <c r="B317" s="12"/>
      <c r="C317" s="137"/>
    </row>
    <row r="318">
      <c r="B318" s="12"/>
      <c r="C318" s="137"/>
    </row>
    <row r="319">
      <c r="B319" s="12"/>
      <c r="C319" s="137"/>
    </row>
    <row r="320">
      <c r="B320" s="12"/>
      <c r="C320" s="137"/>
    </row>
    <row r="321">
      <c r="B321" s="12"/>
      <c r="C321" s="137"/>
    </row>
    <row r="322">
      <c r="B322" s="12"/>
      <c r="C322" s="137"/>
    </row>
    <row r="323">
      <c r="B323" s="12"/>
      <c r="C323" s="137"/>
    </row>
    <row r="324">
      <c r="B324" s="12"/>
      <c r="C324" s="137"/>
    </row>
    <row r="325">
      <c r="B325" s="12"/>
      <c r="C325" s="137"/>
    </row>
    <row r="326">
      <c r="B326" s="12"/>
      <c r="C326" s="137"/>
    </row>
    <row r="327">
      <c r="B327" s="12"/>
      <c r="C327" s="137"/>
    </row>
    <row r="328">
      <c r="B328" s="12"/>
      <c r="C328" s="137"/>
    </row>
    <row r="329">
      <c r="B329" s="12"/>
      <c r="C329" s="137"/>
    </row>
    <row r="330">
      <c r="B330" s="12"/>
      <c r="C330" s="137"/>
    </row>
    <row r="331">
      <c r="B331" s="12"/>
      <c r="C331" s="137"/>
    </row>
    <row r="332">
      <c r="B332" s="12"/>
      <c r="C332" s="137"/>
    </row>
    <row r="333">
      <c r="B333" s="12"/>
      <c r="C333" s="137"/>
    </row>
    <row r="334">
      <c r="B334" s="12"/>
      <c r="C334" s="137"/>
    </row>
    <row r="335">
      <c r="B335" s="12"/>
      <c r="C335" s="137"/>
    </row>
    <row r="336">
      <c r="B336" s="12"/>
      <c r="C336" s="137"/>
    </row>
    <row r="337">
      <c r="B337" s="12"/>
      <c r="C337" s="137"/>
    </row>
    <row r="338">
      <c r="B338" s="12"/>
      <c r="C338" s="137"/>
    </row>
    <row r="339">
      <c r="B339" s="12"/>
      <c r="C339" s="137"/>
    </row>
    <row r="340">
      <c r="B340" s="12"/>
      <c r="C340" s="137"/>
    </row>
    <row r="341">
      <c r="B341" s="12"/>
      <c r="C341" s="137"/>
    </row>
    <row r="342">
      <c r="B342" s="12"/>
      <c r="C342" s="137"/>
    </row>
    <row r="343">
      <c r="B343" s="12"/>
      <c r="C343" s="137"/>
    </row>
    <row r="344">
      <c r="B344" s="12"/>
      <c r="C344" s="137"/>
    </row>
    <row r="345">
      <c r="B345" s="12"/>
      <c r="C345" s="137"/>
    </row>
    <row r="346">
      <c r="B346" s="12"/>
      <c r="C346" s="137"/>
    </row>
    <row r="347">
      <c r="B347" s="12"/>
      <c r="C347" s="137"/>
    </row>
    <row r="348">
      <c r="B348" s="12"/>
      <c r="C348" s="137"/>
    </row>
    <row r="349">
      <c r="B349" s="12"/>
      <c r="C349" s="137"/>
    </row>
    <row r="350">
      <c r="B350" s="12"/>
      <c r="C350" s="137"/>
    </row>
    <row r="351">
      <c r="B351" s="12"/>
      <c r="C351" s="137"/>
    </row>
    <row r="352">
      <c r="B352" s="12"/>
      <c r="C352" s="137"/>
    </row>
    <row r="353">
      <c r="B353" s="12"/>
      <c r="C353" s="137"/>
    </row>
    <row r="354">
      <c r="B354" s="12"/>
      <c r="C354" s="137"/>
    </row>
    <row r="355">
      <c r="B355" s="12"/>
      <c r="C355" s="137"/>
    </row>
    <row r="356">
      <c r="B356" s="12"/>
      <c r="C356" s="137"/>
    </row>
    <row r="357">
      <c r="B357" s="12"/>
      <c r="C357" s="137"/>
    </row>
    <row r="358">
      <c r="B358" s="12"/>
      <c r="C358" s="137"/>
    </row>
    <row r="359">
      <c r="B359" s="12"/>
      <c r="C359" s="137"/>
    </row>
    <row r="360">
      <c r="B360" s="12"/>
      <c r="C360" s="137"/>
    </row>
    <row r="361">
      <c r="B361" s="12"/>
      <c r="C361" s="137"/>
    </row>
    <row r="362">
      <c r="B362" s="12"/>
      <c r="C362" s="137"/>
    </row>
    <row r="363">
      <c r="B363" s="12"/>
      <c r="C363" s="137"/>
    </row>
    <row r="364">
      <c r="B364" s="12"/>
      <c r="C364" s="137"/>
    </row>
    <row r="365">
      <c r="B365" s="12"/>
      <c r="C365" s="137"/>
    </row>
    <row r="366">
      <c r="B366" s="12"/>
      <c r="C366" s="137"/>
    </row>
    <row r="367">
      <c r="B367" s="12"/>
      <c r="C367" s="137"/>
    </row>
    <row r="368">
      <c r="B368" s="12"/>
      <c r="C368" s="137"/>
    </row>
    <row r="369">
      <c r="B369" s="12"/>
      <c r="C369" s="137"/>
    </row>
    <row r="370">
      <c r="B370" s="12"/>
      <c r="C370" s="137"/>
    </row>
    <row r="371">
      <c r="B371" s="12"/>
      <c r="C371" s="137"/>
    </row>
    <row r="372">
      <c r="B372" s="12"/>
      <c r="C372" s="137"/>
    </row>
    <row r="373">
      <c r="B373" s="12"/>
      <c r="C373" s="137"/>
    </row>
    <row r="374">
      <c r="B374" s="12"/>
      <c r="C374" s="137"/>
    </row>
    <row r="375">
      <c r="B375" s="12"/>
      <c r="C375" s="137"/>
    </row>
    <row r="376">
      <c r="B376" s="12"/>
      <c r="C376" s="137"/>
    </row>
    <row r="377">
      <c r="B377" s="12"/>
      <c r="C377" s="137"/>
    </row>
    <row r="378">
      <c r="B378" s="12"/>
      <c r="C378" s="137"/>
    </row>
    <row r="379">
      <c r="B379" s="12"/>
      <c r="C379" s="137"/>
    </row>
    <row r="380">
      <c r="B380" s="12"/>
      <c r="C380" s="137"/>
    </row>
    <row r="381">
      <c r="B381" s="12"/>
      <c r="C381" s="137"/>
    </row>
    <row r="382">
      <c r="B382" s="12"/>
      <c r="C382" s="137"/>
    </row>
    <row r="383">
      <c r="B383" s="12"/>
      <c r="C383" s="137"/>
    </row>
    <row r="384">
      <c r="B384" s="12"/>
      <c r="C384" s="137"/>
    </row>
    <row r="385">
      <c r="B385" s="12"/>
      <c r="C385" s="137"/>
    </row>
    <row r="386">
      <c r="B386" s="12"/>
      <c r="C386" s="137"/>
    </row>
    <row r="387">
      <c r="B387" s="12"/>
      <c r="C387" s="137"/>
    </row>
    <row r="388">
      <c r="B388" s="12"/>
      <c r="C388" s="137"/>
    </row>
    <row r="389">
      <c r="B389" s="12"/>
      <c r="C389" s="137"/>
    </row>
    <row r="390">
      <c r="B390" s="12"/>
      <c r="C390" s="137"/>
    </row>
    <row r="391">
      <c r="B391" s="12"/>
      <c r="C391" s="137"/>
    </row>
    <row r="392">
      <c r="B392" s="12"/>
      <c r="C392" s="137"/>
    </row>
    <row r="393">
      <c r="B393" s="12"/>
      <c r="C393" s="137"/>
    </row>
    <row r="394">
      <c r="B394" s="12"/>
      <c r="C394" s="137"/>
    </row>
    <row r="395">
      <c r="B395" s="12"/>
      <c r="C395" s="137"/>
    </row>
    <row r="396">
      <c r="B396" s="12"/>
      <c r="C396" s="137"/>
    </row>
    <row r="397">
      <c r="B397" s="12"/>
      <c r="C397" s="137"/>
    </row>
    <row r="398">
      <c r="B398" s="12"/>
      <c r="C398" s="137"/>
    </row>
    <row r="399">
      <c r="B399" s="12"/>
      <c r="C399" s="137"/>
    </row>
    <row r="400">
      <c r="B400" s="12"/>
      <c r="C400" s="137"/>
    </row>
    <row r="401">
      <c r="B401" s="12"/>
      <c r="C401" s="137"/>
    </row>
    <row r="402">
      <c r="B402" s="12"/>
      <c r="C402" s="137"/>
    </row>
    <row r="403">
      <c r="B403" s="12"/>
      <c r="C403" s="137"/>
    </row>
    <row r="404">
      <c r="B404" s="12"/>
      <c r="C404" s="137"/>
    </row>
    <row r="405">
      <c r="B405" s="12"/>
      <c r="C405" s="137"/>
    </row>
    <row r="406">
      <c r="B406" s="12"/>
      <c r="C406" s="137"/>
    </row>
    <row r="407">
      <c r="B407" s="12"/>
      <c r="C407" s="137"/>
    </row>
    <row r="408">
      <c r="B408" s="12"/>
      <c r="C408" s="137"/>
    </row>
    <row r="409">
      <c r="B409" s="12"/>
      <c r="C409" s="137"/>
    </row>
    <row r="410">
      <c r="B410" s="12"/>
      <c r="C410" s="137"/>
    </row>
    <row r="411">
      <c r="B411" s="12"/>
      <c r="C411" s="137"/>
    </row>
    <row r="412">
      <c r="B412" s="12"/>
      <c r="C412" s="137"/>
    </row>
    <row r="413">
      <c r="B413" s="12"/>
      <c r="C413" s="137"/>
    </row>
    <row r="414">
      <c r="B414" s="12"/>
      <c r="C414" s="137"/>
    </row>
    <row r="415">
      <c r="B415" s="12"/>
      <c r="C415" s="137"/>
    </row>
    <row r="416">
      <c r="B416" s="12"/>
      <c r="C416" s="137"/>
    </row>
    <row r="417">
      <c r="B417" s="12"/>
      <c r="C417" s="137"/>
    </row>
    <row r="418">
      <c r="B418" s="12"/>
      <c r="C418" s="137"/>
    </row>
    <row r="419">
      <c r="B419" s="12"/>
      <c r="C419" s="137"/>
    </row>
    <row r="420">
      <c r="B420" s="12"/>
      <c r="C420" s="137"/>
    </row>
    <row r="421">
      <c r="B421" s="12"/>
      <c r="C421" s="137"/>
    </row>
    <row r="422">
      <c r="B422" s="12"/>
      <c r="C422" s="137"/>
    </row>
    <row r="423">
      <c r="B423" s="12"/>
      <c r="C423" s="137"/>
    </row>
    <row r="424">
      <c r="B424" s="12"/>
      <c r="C424" s="137"/>
    </row>
    <row r="425">
      <c r="B425" s="12"/>
      <c r="C425" s="137"/>
    </row>
    <row r="426">
      <c r="B426" s="12"/>
      <c r="C426" s="137"/>
    </row>
    <row r="427">
      <c r="B427" s="12"/>
      <c r="C427" s="137"/>
    </row>
    <row r="428">
      <c r="B428" s="12"/>
      <c r="C428" s="137"/>
    </row>
    <row r="429">
      <c r="B429" s="12"/>
      <c r="C429" s="137"/>
    </row>
    <row r="430">
      <c r="B430" s="12"/>
      <c r="C430" s="137"/>
    </row>
    <row r="431">
      <c r="B431" s="12"/>
      <c r="C431" s="137"/>
    </row>
    <row r="432">
      <c r="B432" s="12"/>
      <c r="C432" s="137"/>
    </row>
    <row r="433">
      <c r="B433" s="12"/>
      <c r="C433" s="137"/>
    </row>
    <row r="434">
      <c r="B434" s="12"/>
      <c r="C434" s="137"/>
    </row>
    <row r="435">
      <c r="B435" s="12"/>
      <c r="C435" s="137"/>
    </row>
    <row r="436">
      <c r="B436" s="12"/>
      <c r="C436" s="137"/>
    </row>
    <row r="437">
      <c r="B437" s="12"/>
      <c r="C437" s="137"/>
    </row>
    <row r="438">
      <c r="B438" s="12"/>
      <c r="C438" s="137"/>
    </row>
    <row r="439">
      <c r="B439" s="12"/>
      <c r="C439" s="137"/>
    </row>
    <row r="440">
      <c r="B440" s="12"/>
      <c r="C440" s="137"/>
    </row>
    <row r="441">
      <c r="B441" s="12"/>
      <c r="C441" s="137"/>
    </row>
    <row r="442">
      <c r="B442" s="12"/>
      <c r="C442" s="137"/>
    </row>
    <row r="443">
      <c r="B443" s="12"/>
      <c r="C443" s="137"/>
    </row>
    <row r="444">
      <c r="B444" s="12"/>
      <c r="C444" s="137"/>
    </row>
    <row r="445">
      <c r="B445" s="12"/>
      <c r="C445" s="137"/>
    </row>
    <row r="446">
      <c r="B446" s="12"/>
      <c r="C446" s="137"/>
    </row>
    <row r="447">
      <c r="B447" s="12"/>
      <c r="C447" s="137"/>
    </row>
    <row r="448">
      <c r="B448" s="12"/>
      <c r="C448" s="137"/>
    </row>
    <row r="449">
      <c r="B449" s="12"/>
      <c r="C449" s="137"/>
    </row>
    <row r="450">
      <c r="B450" s="12"/>
      <c r="C450" s="137"/>
    </row>
    <row r="451">
      <c r="B451" s="12"/>
      <c r="C451" s="137"/>
    </row>
    <row r="452">
      <c r="B452" s="12"/>
      <c r="C452" s="137"/>
    </row>
    <row r="453">
      <c r="B453" s="12"/>
      <c r="C453" s="137"/>
    </row>
    <row r="454">
      <c r="B454" s="12"/>
      <c r="C454" s="137"/>
    </row>
    <row r="455">
      <c r="B455" s="12"/>
      <c r="C455" s="137"/>
    </row>
    <row r="456">
      <c r="B456" s="12"/>
      <c r="C456" s="137"/>
    </row>
    <row r="457">
      <c r="B457" s="12"/>
      <c r="C457" s="137"/>
    </row>
    <row r="458">
      <c r="B458" s="12"/>
      <c r="C458" s="137"/>
    </row>
    <row r="459">
      <c r="B459" s="12"/>
      <c r="C459" s="137"/>
    </row>
    <row r="460">
      <c r="B460" s="12"/>
      <c r="C460" s="137"/>
    </row>
    <row r="461">
      <c r="B461" s="12"/>
      <c r="C461" s="137"/>
    </row>
    <row r="462">
      <c r="B462" s="12"/>
      <c r="C462" s="137"/>
    </row>
    <row r="463">
      <c r="B463" s="12"/>
      <c r="C463" s="137"/>
    </row>
    <row r="464">
      <c r="B464" s="12"/>
      <c r="C464" s="137"/>
    </row>
    <row r="465">
      <c r="B465" s="12"/>
      <c r="C465" s="137"/>
    </row>
    <row r="466">
      <c r="B466" s="12"/>
      <c r="C466" s="137"/>
    </row>
    <row r="467">
      <c r="B467" s="12"/>
      <c r="C467" s="137"/>
    </row>
    <row r="468">
      <c r="B468" s="12"/>
      <c r="C468" s="137"/>
    </row>
    <row r="469">
      <c r="B469" s="12"/>
      <c r="C469" s="137"/>
    </row>
    <row r="470">
      <c r="B470" s="12"/>
      <c r="C470" s="137"/>
    </row>
    <row r="471">
      <c r="B471" s="12"/>
      <c r="C471" s="137"/>
    </row>
    <row r="472">
      <c r="B472" s="12"/>
      <c r="C472" s="137"/>
    </row>
    <row r="473">
      <c r="B473" s="12"/>
      <c r="C473" s="137"/>
    </row>
    <row r="474">
      <c r="B474" s="12"/>
      <c r="C474" s="137"/>
    </row>
    <row r="475">
      <c r="B475" s="12"/>
      <c r="C475" s="137"/>
    </row>
    <row r="476">
      <c r="B476" s="12"/>
      <c r="C476" s="137"/>
    </row>
    <row r="477">
      <c r="B477" s="12"/>
      <c r="C477" s="137"/>
    </row>
    <row r="478">
      <c r="B478" s="12"/>
      <c r="C478" s="137"/>
    </row>
    <row r="479">
      <c r="B479" s="12"/>
      <c r="C479" s="137"/>
    </row>
    <row r="480">
      <c r="B480" s="12"/>
      <c r="C480" s="137"/>
    </row>
    <row r="481">
      <c r="B481" s="12"/>
      <c r="C481" s="137"/>
    </row>
    <row r="482">
      <c r="B482" s="12"/>
      <c r="C482" s="137"/>
    </row>
    <row r="483">
      <c r="B483" s="12"/>
      <c r="C483" s="137"/>
    </row>
    <row r="484">
      <c r="B484" s="12"/>
      <c r="C484" s="137"/>
    </row>
    <row r="485">
      <c r="B485" s="12"/>
      <c r="C485" s="137"/>
    </row>
    <row r="486">
      <c r="B486" s="12"/>
      <c r="C486" s="137"/>
    </row>
    <row r="487">
      <c r="B487" s="12"/>
      <c r="C487" s="137"/>
    </row>
    <row r="488">
      <c r="B488" s="12"/>
      <c r="C488" s="137"/>
    </row>
    <row r="489">
      <c r="B489" s="12"/>
      <c r="C489" s="137"/>
    </row>
    <row r="490">
      <c r="B490" s="12"/>
      <c r="C490" s="137"/>
    </row>
    <row r="491">
      <c r="B491" s="12"/>
      <c r="C491" s="137"/>
    </row>
    <row r="492">
      <c r="B492" s="12"/>
      <c r="C492" s="137"/>
    </row>
    <row r="493">
      <c r="B493" s="12"/>
      <c r="C493" s="137"/>
    </row>
    <row r="494">
      <c r="B494" s="12"/>
      <c r="C494" s="137"/>
    </row>
    <row r="495">
      <c r="B495" s="12"/>
      <c r="C495" s="137"/>
    </row>
    <row r="496">
      <c r="B496" s="12"/>
      <c r="C496" s="137"/>
    </row>
    <row r="497">
      <c r="B497" s="12"/>
      <c r="C497" s="137"/>
    </row>
    <row r="498">
      <c r="B498" s="12"/>
      <c r="C498" s="137"/>
    </row>
    <row r="499">
      <c r="B499" s="12"/>
      <c r="C499" s="137"/>
    </row>
    <row r="500">
      <c r="B500" s="12"/>
      <c r="C500" s="137"/>
    </row>
    <row r="501">
      <c r="B501" s="12"/>
      <c r="C501" s="137"/>
    </row>
    <row r="502">
      <c r="B502" s="12"/>
      <c r="C502" s="137"/>
    </row>
    <row r="503">
      <c r="B503" s="12"/>
      <c r="C503" s="137"/>
    </row>
    <row r="504">
      <c r="B504" s="12"/>
      <c r="C504" s="137"/>
    </row>
    <row r="505">
      <c r="B505" s="12"/>
      <c r="C505" s="137"/>
    </row>
    <row r="506">
      <c r="B506" s="12"/>
      <c r="C506" s="137"/>
    </row>
    <row r="507">
      <c r="B507" s="12"/>
      <c r="C507" s="137"/>
    </row>
    <row r="508">
      <c r="B508" s="12"/>
      <c r="C508" s="137"/>
    </row>
    <row r="509">
      <c r="B509" s="12"/>
      <c r="C509" s="137"/>
    </row>
    <row r="510">
      <c r="B510" s="12"/>
      <c r="C510" s="137"/>
    </row>
    <row r="511">
      <c r="B511" s="12"/>
      <c r="C511" s="137"/>
    </row>
    <row r="512">
      <c r="B512" s="12"/>
      <c r="C512" s="137"/>
    </row>
    <row r="513">
      <c r="B513" s="12"/>
      <c r="C513" s="137"/>
    </row>
    <row r="514">
      <c r="B514" s="12"/>
      <c r="C514" s="137"/>
    </row>
    <row r="515">
      <c r="B515" s="12"/>
      <c r="C515" s="137"/>
    </row>
    <row r="516">
      <c r="B516" s="12"/>
      <c r="C516" s="137"/>
    </row>
    <row r="517">
      <c r="B517" s="12"/>
      <c r="C517" s="137"/>
    </row>
    <row r="518">
      <c r="B518" s="12"/>
      <c r="C518" s="137"/>
    </row>
    <row r="519">
      <c r="B519" s="12"/>
      <c r="C519" s="137"/>
    </row>
    <row r="520">
      <c r="B520" s="12"/>
      <c r="C520" s="137"/>
    </row>
    <row r="521">
      <c r="B521" s="12"/>
      <c r="C521" s="137"/>
    </row>
    <row r="522">
      <c r="B522" s="12"/>
      <c r="C522" s="137"/>
    </row>
    <row r="523">
      <c r="B523" s="12"/>
      <c r="C523" s="137"/>
    </row>
    <row r="524">
      <c r="B524" s="12"/>
      <c r="C524" s="137"/>
    </row>
    <row r="525">
      <c r="B525" s="12"/>
      <c r="C525" s="137"/>
    </row>
    <row r="526">
      <c r="B526" s="12"/>
      <c r="C526" s="137"/>
    </row>
    <row r="527">
      <c r="B527" s="12"/>
      <c r="C527" s="137"/>
    </row>
    <row r="528">
      <c r="B528" s="12"/>
      <c r="C528" s="137"/>
    </row>
    <row r="529">
      <c r="B529" s="12"/>
      <c r="C529" s="137"/>
    </row>
    <row r="530">
      <c r="B530" s="12"/>
      <c r="C530" s="137"/>
    </row>
    <row r="531">
      <c r="B531" s="12"/>
      <c r="C531" s="137"/>
    </row>
    <row r="532">
      <c r="B532" s="12"/>
      <c r="C532" s="137"/>
    </row>
    <row r="533">
      <c r="B533" s="12"/>
      <c r="C533" s="137"/>
    </row>
    <row r="534">
      <c r="B534" s="12"/>
      <c r="C534" s="137"/>
    </row>
    <row r="535">
      <c r="B535" s="12"/>
      <c r="C535" s="137"/>
    </row>
    <row r="536">
      <c r="B536" s="12"/>
      <c r="C536" s="137"/>
    </row>
    <row r="537">
      <c r="B537" s="12"/>
      <c r="C537" s="137"/>
    </row>
    <row r="538">
      <c r="B538" s="12"/>
      <c r="C538" s="137"/>
    </row>
    <row r="539">
      <c r="B539" s="12"/>
      <c r="C539" s="137"/>
    </row>
    <row r="540">
      <c r="B540" s="12"/>
      <c r="C540" s="137"/>
    </row>
    <row r="541">
      <c r="B541" s="12"/>
      <c r="C541" s="137"/>
    </row>
    <row r="542">
      <c r="B542" s="12"/>
      <c r="C542" s="137"/>
    </row>
    <row r="543">
      <c r="B543" s="12"/>
      <c r="C543" s="137"/>
    </row>
    <row r="544">
      <c r="B544" s="12"/>
      <c r="C544" s="137"/>
    </row>
    <row r="545">
      <c r="B545" s="12"/>
      <c r="C545" s="137"/>
    </row>
    <row r="546">
      <c r="B546" s="12"/>
      <c r="C546" s="137"/>
    </row>
    <row r="547">
      <c r="B547" s="12"/>
      <c r="C547" s="137"/>
    </row>
    <row r="548">
      <c r="B548" s="12"/>
      <c r="C548" s="137"/>
    </row>
    <row r="549">
      <c r="B549" s="12"/>
      <c r="C549" s="137"/>
    </row>
    <row r="550">
      <c r="B550" s="12"/>
      <c r="C550" s="137"/>
    </row>
    <row r="551">
      <c r="B551" s="12"/>
      <c r="C551" s="137"/>
    </row>
    <row r="552">
      <c r="B552" s="12"/>
      <c r="C552" s="137"/>
    </row>
    <row r="553">
      <c r="B553" s="12"/>
      <c r="C553" s="137"/>
    </row>
    <row r="554">
      <c r="B554" s="12"/>
      <c r="C554" s="137"/>
    </row>
    <row r="555">
      <c r="B555" s="12"/>
      <c r="C555" s="137"/>
    </row>
    <row r="556">
      <c r="B556" s="12"/>
      <c r="C556" s="137"/>
    </row>
    <row r="557">
      <c r="B557" s="12"/>
      <c r="C557" s="137"/>
    </row>
    <row r="558">
      <c r="B558" s="12"/>
      <c r="C558" s="137"/>
    </row>
    <row r="559">
      <c r="B559" s="12"/>
      <c r="C559" s="137"/>
    </row>
    <row r="560">
      <c r="B560" s="12"/>
      <c r="C560" s="137"/>
    </row>
    <row r="561">
      <c r="B561" s="12"/>
      <c r="C561" s="137"/>
    </row>
    <row r="562">
      <c r="B562" s="12"/>
      <c r="C562" s="137"/>
    </row>
    <row r="563">
      <c r="B563" s="12"/>
      <c r="C563" s="137"/>
    </row>
    <row r="564">
      <c r="B564" s="12"/>
      <c r="C564" s="137"/>
    </row>
    <row r="565">
      <c r="B565" s="12"/>
      <c r="C565" s="137"/>
    </row>
    <row r="566">
      <c r="B566" s="12"/>
      <c r="C566" s="137"/>
    </row>
    <row r="567">
      <c r="B567" s="12"/>
      <c r="C567" s="137"/>
    </row>
    <row r="568">
      <c r="B568" s="12"/>
      <c r="C568" s="137"/>
    </row>
    <row r="569">
      <c r="B569" s="12"/>
      <c r="C569" s="137"/>
    </row>
    <row r="570">
      <c r="B570" s="12"/>
      <c r="C570" s="137"/>
    </row>
    <row r="571">
      <c r="B571" s="12"/>
      <c r="C571" s="137"/>
    </row>
    <row r="572">
      <c r="B572" s="12"/>
      <c r="C572" s="137"/>
    </row>
    <row r="573">
      <c r="B573" s="12"/>
      <c r="C573" s="137"/>
    </row>
    <row r="574">
      <c r="B574" s="12"/>
      <c r="C574" s="137"/>
    </row>
    <row r="575">
      <c r="B575" s="12"/>
      <c r="C575" s="137"/>
    </row>
    <row r="576">
      <c r="B576" s="12"/>
      <c r="C576" s="137"/>
    </row>
    <row r="577">
      <c r="B577" s="12"/>
      <c r="C577" s="137"/>
    </row>
    <row r="578">
      <c r="B578" s="12"/>
      <c r="C578" s="137"/>
    </row>
    <row r="579">
      <c r="B579" s="12"/>
      <c r="C579" s="137"/>
    </row>
    <row r="580">
      <c r="B580" s="12"/>
      <c r="C580" s="137"/>
    </row>
    <row r="581">
      <c r="B581" s="12"/>
      <c r="C581" s="137"/>
    </row>
    <row r="582">
      <c r="B582" s="12"/>
      <c r="C582" s="137"/>
    </row>
    <row r="583">
      <c r="B583" s="12"/>
      <c r="C583" s="137"/>
    </row>
    <row r="584">
      <c r="B584" s="12"/>
      <c r="C584" s="137"/>
    </row>
    <row r="585">
      <c r="B585" s="12"/>
      <c r="C585" s="137"/>
    </row>
    <row r="586">
      <c r="B586" s="12"/>
      <c r="C586" s="137"/>
    </row>
    <row r="587">
      <c r="B587" s="12"/>
      <c r="C587" s="137"/>
    </row>
    <row r="588">
      <c r="B588" s="12"/>
      <c r="C588" s="137"/>
    </row>
    <row r="589">
      <c r="B589" s="12"/>
      <c r="C589" s="137"/>
    </row>
    <row r="590">
      <c r="B590" s="12"/>
      <c r="C590" s="137"/>
    </row>
    <row r="591">
      <c r="B591" s="12"/>
      <c r="C591" s="137"/>
    </row>
    <row r="592">
      <c r="B592" s="12"/>
      <c r="C592" s="137"/>
    </row>
    <row r="593">
      <c r="B593" s="12"/>
      <c r="C593" s="137"/>
    </row>
    <row r="594">
      <c r="B594" s="12"/>
      <c r="C594" s="137"/>
    </row>
    <row r="595">
      <c r="B595" s="12"/>
      <c r="C595" s="137"/>
    </row>
    <row r="596">
      <c r="B596" s="12"/>
      <c r="C596" s="137"/>
    </row>
    <row r="597">
      <c r="B597" s="12"/>
      <c r="C597" s="137"/>
    </row>
    <row r="598">
      <c r="B598" s="12"/>
      <c r="C598" s="137"/>
    </row>
    <row r="599">
      <c r="B599" s="12"/>
      <c r="C599" s="137"/>
    </row>
    <row r="600">
      <c r="B600" s="12"/>
      <c r="C600" s="137"/>
    </row>
    <row r="601">
      <c r="B601" s="12"/>
      <c r="C601" s="137"/>
    </row>
    <row r="602">
      <c r="B602" s="12"/>
      <c r="C602" s="137"/>
    </row>
    <row r="603">
      <c r="B603" s="12"/>
      <c r="C603" s="137"/>
    </row>
    <row r="604">
      <c r="B604" s="12"/>
      <c r="C604" s="137"/>
    </row>
    <row r="605">
      <c r="B605" s="12"/>
      <c r="C605" s="137"/>
    </row>
    <row r="606">
      <c r="B606" s="12"/>
      <c r="C606" s="137"/>
    </row>
    <row r="607">
      <c r="B607" s="12"/>
      <c r="C607" s="137"/>
    </row>
    <row r="608">
      <c r="B608" s="12"/>
      <c r="C608" s="137"/>
    </row>
    <row r="609">
      <c r="B609" s="12"/>
      <c r="C609" s="137"/>
    </row>
    <row r="610">
      <c r="B610" s="12"/>
      <c r="C610" s="137"/>
    </row>
    <row r="611">
      <c r="B611" s="12"/>
      <c r="C611" s="137"/>
    </row>
    <row r="612">
      <c r="B612" s="12"/>
      <c r="C612" s="137"/>
    </row>
    <row r="613">
      <c r="B613" s="12"/>
      <c r="C613" s="137"/>
    </row>
    <row r="614">
      <c r="B614" s="12"/>
      <c r="C614" s="137"/>
    </row>
    <row r="615">
      <c r="B615" s="12"/>
      <c r="C615" s="137"/>
    </row>
    <row r="616">
      <c r="B616" s="12"/>
      <c r="C616" s="137"/>
    </row>
    <row r="617">
      <c r="B617" s="12"/>
      <c r="C617" s="137"/>
    </row>
    <row r="618">
      <c r="B618" s="12"/>
      <c r="C618" s="137"/>
    </row>
    <row r="619">
      <c r="B619" s="12"/>
      <c r="C619" s="137"/>
    </row>
    <row r="620">
      <c r="B620" s="12"/>
      <c r="C620" s="137"/>
    </row>
    <row r="621">
      <c r="B621" s="12"/>
      <c r="C621" s="137"/>
    </row>
    <row r="622">
      <c r="B622" s="12"/>
      <c r="C622" s="137"/>
    </row>
    <row r="623">
      <c r="B623" s="12"/>
      <c r="C623" s="137"/>
    </row>
    <row r="624">
      <c r="B624" s="12"/>
      <c r="C624" s="137"/>
    </row>
    <row r="625">
      <c r="B625" s="12"/>
      <c r="C625" s="137"/>
    </row>
    <row r="626">
      <c r="B626" s="12"/>
      <c r="C626" s="137"/>
    </row>
    <row r="627">
      <c r="B627" s="12"/>
      <c r="C627" s="137"/>
    </row>
    <row r="628">
      <c r="B628" s="12"/>
      <c r="C628" s="137"/>
    </row>
    <row r="629">
      <c r="B629" s="12"/>
      <c r="C629" s="137"/>
    </row>
    <row r="630">
      <c r="B630" s="12"/>
      <c r="C630" s="137"/>
    </row>
    <row r="631">
      <c r="B631" s="12"/>
      <c r="C631" s="137"/>
    </row>
    <row r="632">
      <c r="B632" s="12"/>
      <c r="C632" s="137"/>
    </row>
    <row r="633">
      <c r="B633" s="12"/>
      <c r="C633" s="137"/>
    </row>
    <row r="634">
      <c r="B634" s="12"/>
      <c r="C634" s="137"/>
    </row>
    <row r="635">
      <c r="B635" s="12"/>
      <c r="C635" s="137"/>
    </row>
    <row r="636">
      <c r="B636" s="12"/>
      <c r="C636" s="137"/>
    </row>
    <row r="637">
      <c r="B637" s="12"/>
      <c r="C637" s="137"/>
    </row>
    <row r="638">
      <c r="B638" s="12"/>
      <c r="C638" s="137"/>
    </row>
    <row r="639">
      <c r="B639" s="12"/>
      <c r="C639" s="137"/>
    </row>
    <row r="640">
      <c r="B640" s="12"/>
      <c r="C640" s="137"/>
    </row>
    <row r="641">
      <c r="B641" s="12"/>
      <c r="C641" s="137"/>
    </row>
    <row r="642">
      <c r="B642" s="12"/>
      <c r="C642" s="137"/>
    </row>
    <row r="643">
      <c r="B643" s="12"/>
      <c r="C643" s="137"/>
    </row>
    <row r="644">
      <c r="B644" s="12"/>
      <c r="C644" s="137"/>
    </row>
    <row r="645">
      <c r="B645" s="12"/>
      <c r="C645" s="137"/>
    </row>
    <row r="646">
      <c r="B646" s="12"/>
      <c r="C646" s="137"/>
    </row>
    <row r="647">
      <c r="B647" s="12"/>
      <c r="C647" s="137"/>
    </row>
    <row r="648">
      <c r="B648" s="12"/>
      <c r="C648" s="137"/>
    </row>
    <row r="649">
      <c r="B649" s="12"/>
      <c r="C649" s="137"/>
    </row>
    <row r="650">
      <c r="B650" s="12"/>
      <c r="C650" s="137"/>
    </row>
    <row r="651">
      <c r="B651" s="12"/>
      <c r="C651" s="137"/>
    </row>
    <row r="652">
      <c r="B652" s="12"/>
      <c r="C652" s="137"/>
    </row>
    <row r="653">
      <c r="B653" s="12"/>
      <c r="C653" s="137"/>
    </row>
    <row r="654">
      <c r="B654" s="12"/>
      <c r="C654" s="137"/>
    </row>
    <row r="655">
      <c r="B655" s="12"/>
      <c r="C655" s="137"/>
    </row>
    <row r="656">
      <c r="B656" s="12"/>
      <c r="C656" s="137"/>
    </row>
    <row r="657">
      <c r="B657" s="12"/>
      <c r="C657" s="137"/>
    </row>
    <row r="658">
      <c r="B658" s="12"/>
      <c r="C658" s="137"/>
    </row>
    <row r="659">
      <c r="B659" s="12"/>
      <c r="C659" s="137"/>
    </row>
    <row r="660">
      <c r="B660" s="12"/>
      <c r="C660" s="137"/>
    </row>
    <row r="661">
      <c r="B661" s="12"/>
      <c r="C661" s="137"/>
    </row>
    <row r="662">
      <c r="B662" s="12"/>
      <c r="C662" s="137"/>
    </row>
    <row r="663">
      <c r="B663" s="12"/>
      <c r="C663" s="137"/>
    </row>
    <row r="664">
      <c r="B664" s="12"/>
      <c r="C664" s="137"/>
    </row>
    <row r="665">
      <c r="B665" s="12"/>
      <c r="C665" s="137"/>
    </row>
    <row r="666">
      <c r="B666" s="12"/>
      <c r="C666" s="137"/>
    </row>
    <row r="667">
      <c r="B667" s="12"/>
      <c r="C667" s="137"/>
    </row>
    <row r="668">
      <c r="B668" s="12"/>
      <c r="C668" s="137"/>
    </row>
    <row r="669">
      <c r="B669" s="12"/>
      <c r="C669" s="137"/>
    </row>
    <row r="670">
      <c r="B670" s="12"/>
      <c r="C670" s="137"/>
    </row>
    <row r="671">
      <c r="B671" s="12"/>
      <c r="C671" s="137"/>
    </row>
    <row r="672">
      <c r="B672" s="12"/>
      <c r="C672" s="137"/>
    </row>
    <row r="673">
      <c r="B673" s="12"/>
      <c r="C673" s="137"/>
    </row>
    <row r="674">
      <c r="B674" s="12"/>
      <c r="C674" s="137"/>
    </row>
    <row r="675">
      <c r="B675" s="12"/>
      <c r="C675" s="137"/>
    </row>
    <row r="676">
      <c r="B676" s="12"/>
      <c r="C676" s="137"/>
    </row>
    <row r="677">
      <c r="B677" s="12"/>
      <c r="C677" s="137"/>
    </row>
    <row r="678">
      <c r="B678" s="12"/>
      <c r="C678" s="137"/>
    </row>
    <row r="679">
      <c r="B679" s="12"/>
      <c r="C679" s="137"/>
    </row>
    <row r="680">
      <c r="B680" s="12"/>
      <c r="C680" s="137"/>
    </row>
    <row r="681">
      <c r="B681" s="12"/>
      <c r="C681" s="137"/>
    </row>
    <row r="682">
      <c r="B682" s="12"/>
      <c r="C682" s="137"/>
    </row>
    <row r="683">
      <c r="B683" s="12"/>
      <c r="C683" s="137"/>
    </row>
    <row r="684">
      <c r="B684" s="12"/>
      <c r="C684" s="137"/>
    </row>
    <row r="685">
      <c r="B685" s="12"/>
      <c r="C685" s="137"/>
    </row>
    <row r="686">
      <c r="B686" s="12"/>
      <c r="C686" s="137"/>
    </row>
    <row r="687">
      <c r="B687" s="12"/>
      <c r="C687" s="137"/>
    </row>
    <row r="688">
      <c r="B688" s="12"/>
      <c r="C688" s="137"/>
    </row>
    <row r="689">
      <c r="B689" s="12"/>
      <c r="C689" s="137"/>
    </row>
    <row r="690">
      <c r="B690" s="12"/>
      <c r="C690" s="137"/>
    </row>
    <row r="691">
      <c r="B691" s="12"/>
      <c r="C691" s="137"/>
    </row>
    <row r="692">
      <c r="B692" s="12"/>
      <c r="C692" s="137"/>
    </row>
    <row r="693">
      <c r="B693" s="12"/>
      <c r="C693" s="137"/>
    </row>
    <row r="694">
      <c r="B694" s="12"/>
      <c r="C694" s="137"/>
    </row>
    <row r="695">
      <c r="B695" s="12"/>
      <c r="C695" s="137"/>
    </row>
    <row r="696">
      <c r="B696" s="12"/>
      <c r="C696" s="137"/>
    </row>
    <row r="697">
      <c r="B697" s="12"/>
      <c r="C697" s="137"/>
    </row>
    <row r="698">
      <c r="B698" s="12"/>
      <c r="C698" s="137"/>
    </row>
    <row r="699">
      <c r="B699" s="12"/>
      <c r="C699" s="137"/>
    </row>
    <row r="700">
      <c r="B700" s="12"/>
      <c r="C700" s="137"/>
    </row>
    <row r="701">
      <c r="B701" s="12"/>
      <c r="C701" s="137"/>
    </row>
    <row r="702">
      <c r="B702" s="12"/>
      <c r="C702" s="137"/>
    </row>
    <row r="703">
      <c r="B703" s="12"/>
      <c r="C703" s="137"/>
    </row>
    <row r="704">
      <c r="B704" s="12"/>
      <c r="C704" s="137"/>
    </row>
    <row r="705">
      <c r="B705" s="12"/>
      <c r="C705" s="137"/>
    </row>
    <row r="706">
      <c r="B706" s="12"/>
      <c r="C706" s="137"/>
    </row>
    <row r="707">
      <c r="B707" s="12"/>
      <c r="C707" s="137"/>
    </row>
    <row r="708">
      <c r="B708" s="12"/>
      <c r="C708" s="137"/>
    </row>
    <row r="709">
      <c r="B709" s="12"/>
      <c r="C709" s="137"/>
    </row>
    <row r="710">
      <c r="B710" s="12"/>
      <c r="C710" s="137"/>
    </row>
    <row r="711">
      <c r="B711" s="12"/>
      <c r="C711" s="137"/>
    </row>
    <row r="712">
      <c r="B712" s="12"/>
      <c r="C712" s="137"/>
    </row>
    <row r="713">
      <c r="B713" s="12"/>
      <c r="C713" s="137"/>
    </row>
    <row r="714">
      <c r="B714" s="12"/>
      <c r="C714" s="137"/>
    </row>
    <row r="715">
      <c r="B715" s="12"/>
      <c r="C715" s="137"/>
    </row>
    <row r="716">
      <c r="B716" s="12"/>
      <c r="C716" s="137"/>
    </row>
    <row r="717">
      <c r="B717" s="12"/>
      <c r="C717" s="137"/>
    </row>
    <row r="718">
      <c r="B718" s="12"/>
      <c r="C718" s="137"/>
    </row>
    <row r="719">
      <c r="B719" s="12"/>
      <c r="C719" s="137"/>
    </row>
    <row r="720">
      <c r="B720" s="12"/>
      <c r="C720" s="137"/>
    </row>
    <row r="721">
      <c r="B721" s="12"/>
      <c r="C721" s="137"/>
    </row>
    <row r="722">
      <c r="B722" s="12"/>
      <c r="C722" s="137"/>
    </row>
    <row r="723">
      <c r="B723" s="12"/>
      <c r="C723" s="137"/>
    </row>
    <row r="724">
      <c r="B724" s="12"/>
      <c r="C724" s="137"/>
    </row>
    <row r="725">
      <c r="B725" s="12"/>
      <c r="C725" s="137"/>
    </row>
    <row r="726">
      <c r="B726" s="12"/>
      <c r="C726" s="137"/>
    </row>
    <row r="727">
      <c r="B727" s="12"/>
      <c r="C727" s="137"/>
    </row>
    <row r="728">
      <c r="B728" s="12"/>
      <c r="C728" s="137"/>
    </row>
    <row r="729">
      <c r="B729" s="12"/>
      <c r="C729" s="137"/>
    </row>
    <row r="730">
      <c r="B730" s="12"/>
      <c r="C730" s="137"/>
    </row>
    <row r="731">
      <c r="B731" s="12"/>
      <c r="C731" s="137"/>
    </row>
    <row r="732">
      <c r="B732" s="12"/>
      <c r="C732" s="137"/>
    </row>
    <row r="733">
      <c r="B733" s="12"/>
      <c r="C733" s="137"/>
    </row>
    <row r="734">
      <c r="B734" s="12"/>
      <c r="C734" s="137"/>
    </row>
    <row r="735">
      <c r="B735" s="12"/>
      <c r="C735" s="137"/>
    </row>
    <row r="736">
      <c r="B736" s="12"/>
      <c r="C736" s="137"/>
    </row>
    <row r="737">
      <c r="B737" s="12"/>
      <c r="C737" s="137"/>
    </row>
    <row r="738">
      <c r="B738" s="12"/>
      <c r="C738" s="137"/>
    </row>
    <row r="739">
      <c r="B739" s="12"/>
      <c r="C739" s="137"/>
    </row>
    <row r="740">
      <c r="B740" s="12"/>
      <c r="C740" s="137"/>
    </row>
    <row r="741">
      <c r="B741" s="12"/>
      <c r="C741" s="137"/>
    </row>
    <row r="742">
      <c r="B742" s="12"/>
      <c r="C742" s="137"/>
    </row>
    <row r="743">
      <c r="B743" s="12"/>
      <c r="C743" s="137"/>
    </row>
    <row r="744">
      <c r="B744" s="12"/>
      <c r="C744" s="137"/>
    </row>
    <row r="745">
      <c r="B745" s="12"/>
      <c r="C745" s="137"/>
    </row>
    <row r="746">
      <c r="B746" s="12"/>
      <c r="C746" s="137"/>
    </row>
    <row r="747">
      <c r="B747" s="12"/>
      <c r="C747" s="137"/>
    </row>
    <row r="748">
      <c r="B748" s="12"/>
      <c r="C748" s="137"/>
    </row>
    <row r="749">
      <c r="B749" s="12"/>
      <c r="C749" s="137"/>
    </row>
    <row r="750">
      <c r="B750" s="12"/>
      <c r="C750" s="137"/>
    </row>
    <row r="751">
      <c r="B751" s="12"/>
      <c r="C751" s="137"/>
    </row>
    <row r="752">
      <c r="B752" s="12"/>
      <c r="C752" s="137"/>
    </row>
    <row r="753">
      <c r="B753" s="12"/>
      <c r="C753" s="137"/>
    </row>
    <row r="754">
      <c r="B754" s="12"/>
      <c r="C754" s="137"/>
    </row>
    <row r="755">
      <c r="B755" s="12"/>
      <c r="C755" s="137"/>
    </row>
    <row r="756">
      <c r="B756" s="12"/>
      <c r="C756" s="137"/>
    </row>
    <row r="757">
      <c r="B757" s="12"/>
      <c r="C757" s="137"/>
    </row>
    <row r="758">
      <c r="B758" s="12"/>
      <c r="C758" s="137"/>
    </row>
    <row r="759">
      <c r="B759" s="12"/>
      <c r="C759" s="137"/>
    </row>
    <row r="760">
      <c r="B760" s="12"/>
      <c r="C760" s="137"/>
    </row>
    <row r="761">
      <c r="B761" s="12"/>
      <c r="C761" s="137"/>
    </row>
    <row r="762">
      <c r="B762" s="12"/>
      <c r="C762" s="137"/>
    </row>
    <row r="763">
      <c r="B763" s="12"/>
      <c r="C763" s="137"/>
    </row>
    <row r="764">
      <c r="B764" s="12"/>
      <c r="C764" s="137"/>
    </row>
    <row r="765">
      <c r="B765" s="12"/>
      <c r="C765" s="137"/>
    </row>
    <row r="766">
      <c r="B766" s="12"/>
      <c r="C766" s="137"/>
    </row>
    <row r="767">
      <c r="B767" s="12"/>
      <c r="C767" s="137"/>
    </row>
    <row r="768">
      <c r="B768" s="12"/>
      <c r="C768" s="137"/>
    </row>
    <row r="769">
      <c r="B769" s="12"/>
      <c r="C769" s="137"/>
    </row>
    <row r="770">
      <c r="B770" s="12"/>
      <c r="C770" s="137"/>
    </row>
    <row r="771">
      <c r="B771" s="12"/>
      <c r="C771" s="137"/>
    </row>
    <row r="772">
      <c r="B772" s="12"/>
      <c r="C772" s="137"/>
    </row>
    <row r="773">
      <c r="B773" s="12"/>
      <c r="C773" s="137"/>
    </row>
    <row r="774">
      <c r="B774" s="12"/>
      <c r="C774" s="137"/>
    </row>
    <row r="775">
      <c r="B775" s="12"/>
      <c r="C775" s="137"/>
    </row>
    <row r="776">
      <c r="B776" s="12"/>
      <c r="C776" s="137"/>
    </row>
    <row r="777">
      <c r="B777" s="12"/>
      <c r="C777" s="137"/>
    </row>
    <row r="778">
      <c r="B778" s="12"/>
      <c r="C778" s="137"/>
    </row>
    <row r="779">
      <c r="B779" s="12"/>
      <c r="C779" s="137"/>
    </row>
    <row r="780">
      <c r="B780" s="12"/>
      <c r="C780" s="137"/>
    </row>
    <row r="781">
      <c r="B781" s="12"/>
      <c r="C781" s="137"/>
    </row>
    <row r="782">
      <c r="B782" s="12"/>
      <c r="C782" s="137"/>
    </row>
    <row r="783">
      <c r="B783" s="12"/>
      <c r="C783" s="137"/>
    </row>
    <row r="784">
      <c r="B784" s="12"/>
      <c r="C784" s="137"/>
    </row>
    <row r="785">
      <c r="B785" s="12"/>
      <c r="C785" s="137"/>
    </row>
    <row r="786">
      <c r="B786" s="12"/>
      <c r="C786" s="137"/>
    </row>
    <row r="787">
      <c r="B787" s="12"/>
      <c r="C787" s="137"/>
    </row>
    <row r="788">
      <c r="B788" s="12"/>
      <c r="C788" s="137"/>
    </row>
    <row r="789">
      <c r="B789" s="12"/>
      <c r="C789" s="137"/>
    </row>
    <row r="790">
      <c r="B790" s="12"/>
      <c r="C790" s="137"/>
    </row>
    <row r="791">
      <c r="B791" s="12"/>
      <c r="C791" s="137"/>
    </row>
    <row r="792">
      <c r="B792" s="12"/>
      <c r="C792" s="137"/>
    </row>
    <row r="793">
      <c r="B793" s="12"/>
      <c r="C793" s="137"/>
    </row>
    <row r="794">
      <c r="B794" s="12"/>
      <c r="C794" s="137"/>
    </row>
    <row r="795">
      <c r="B795" s="12"/>
      <c r="C795" s="137"/>
    </row>
    <row r="796">
      <c r="B796" s="12"/>
      <c r="C796" s="137"/>
    </row>
    <row r="797">
      <c r="B797" s="12"/>
      <c r="C797" s="137"/>
    </row>
    <row r="798">
      <c r="B798" s="12"/>
      <c r="C798" s="137"/>
    </row>
    <row r="799">
      <c r="B799" s="12"/>
      <c r="C799" s="137"/>
    </row>
    <row r="800">
      <c r="B800" s="12"/>
      <c r="C800" s="137"/>
    </row>
    <row r="801">
      <c r="B801" s="12"/>
      <c r="C801" s="137"/>
    </row>
    <row r="802">
      <c r="B802" s="12"/>
      <c r="C802" s="137"/>
    </row>
    <row r="803">
      <c r="B803" s="12"/>
      <c r="C803" s="137"/>
    </row>
    <row r="804">
      <c r="B804" s="12"/>
      <c r="C804" s="137"/>
    </row>
    <row r="805">
      <c r="B805" s="12"/>
      <c r="C805" s="137"/>
    </row>
    <row r="806">
      <c r="B806" s="12"/>
      <c r="C806" s="137"/>
    </row>
    <row r="807">
      <c r="B807" s="12"/>
      <c r="C807" s="137"/>
    </row>
    <row r="808">
      <c r="B808" s="12"/>
      <c r="C808" s="137"/>
    </row>
    <row r="809">
      <c r="B809" s="12"/>
      <c r="C809" s="137"/>
    </row>
    <row r="810">
      <c r="B810" s="12"/>
      <c r="C810" s="137"/>
    </row>
    <row r="811">
      <c r="B811" s="12"/>
      <c r="C811" s="137"/>
    </row>
    <row r="812">
      <c r="B812" s="12"/>
      <c r="C812" s="137"/>
    </row>
    <row r="813">
      <c r="B813" s="12"/>
      <c r="C813" s="137"/>
    </row>
    <row r="814">
      <c r="B814" s="12"/>
      <c r="C814" s="137"/>
    </row>
    <row r="815">
      <c r="B815" s="12"/>
      <c r="C815" s="137"/>
    </row>
    <row r="816">
      <c r="B816" s="12"/>
      <c r="C816" s="137"/>
    </row>
    <row r="817">
      <c r="B817" s="12"/>
      <c r="C817" s="137"/>
    </row>
    <row r="818">
      <c r="B818" s="12"/>
      <c r="C818" s="137"/>
    </row>
    <row r="819">
      <c r="B819" s="12"/>
      <c r="C819" s="137"/>
    </row>
    <row r="820">
      <c r="B820" s="12"/>
      <c r="C820" s="137"/>
    </row>
    <row r="821">
      <c r="B821" s="12"/>
      <c r="C821" s="137"/>
    </row>
    <row r="822">
      <c r="B822" s="12"/>
      <c r="C822" s="137"/>
    </row>
    <row r="823">
      <c r="B823" s="12"/>
      <c r="C823" s="137"/>
    </row>
    <row r="824">
      <c r="B824" s="12"/>
      <c r="C824" s="137"/>
    </row>
    <row r="825">
      <c r="B825" s="12"/>
      <c r="C825" s="137"/>
    </row>
    <row r="826">
      <c r="B826" s="12"/>
      <c r="C826" s="137"/>
    </row>
    <row r="827">
      <c r="B827" s="12"/>
      <c r="C827" s="137"/>
    </row>
    <row r="828">
      <c r="B828" s="12"/>
      <c r="C828" s="137"/>
    </row>
    <row r="829">
      <c r="B829" s="12"/>
      <c r="C829" s="137"/>
    </row>
    <row r="830">
      <c r="B830" s="12"/>
      <c r="C830" s="137"/>
    </row>
    <row r="831">
      <c r="B831" s="12"/>
      <c r="C831" s="137"/>
    </row>
    <row r="832">
      <c r="B832" s="12"/>
      <c r="C832" s="137"/>
    </row>
    <row r="833">
      <c r="B833" s="12"/>
      <c r="C833" s="137"/>
    </row>
    <row r="834">
      <c r="B834" s="12"/>
      <c r="C834" s="137"/>
    </row>
    <row r="835">
      <c r="B835" s="12"/>
      <c r="C835" s="137"/>
    </row>
    <row r="836">
      <c r="B836" s="12"/>
      <c r="C836" s="137"/>
    </row>
    <row r="837">
      <c r="B837" s="12"/>
      <c r="C837" s="137"/>
    </row>
    <row r="838">
      <c r="B838" s="12"/>
      <c r="C838" s="137"/>
    </row>
    <row r="839">
      <c r="B839" s="12"/>
      <c r="C839" s="137"/>
    </row>
    <row r="840">
      <c r="B840" s="12"/>
      <c r="C840" s="137"/>
    </row>
    <row r="841">
      <c r="B841" s="12"/>
      <c r="C841" s="137"/>
    </row>
    <row r="842">
      <c r="B842" s="12"/>
      <c r="C842" s="137"/>
    </row>
    <row r="843">
      <c r="B843" s="12"/>
      <c r="C843" s="137"/>
    </row>
    <row r="844">
      <c r="B844" s="12"/>
      <c r="C844" s="137"/>
    </row>
    <row r="845">
      <c r="B845" s="12"/>
      <c r="C845" s="137"/>
    </row>
    <row r="846">
      <c r="B846" s="12"/>
      <c r="C846" s="137"/>
    </row>
    <row r="847">
      <c r="B847" s="12"/>
      <c r="C847" s="137"/>
    </row>
    <row r="848">
      <c r="B848" s="12"/>
      <c r="C848" s="137"/>
    </row>
    <row r="849">
      <c r="B849" s="12"/>
      <c r="C849" s="137"/>
    </row>
    <row r="850">
      <c r="B850" s="12"/>
      <c r="C850" s="137"/>
    </row>
    <row r="851">
      <c r="B851" s="12"/>
      <c r="C851" s="137"/>
    </row>
    <row r="852">
      <c r="B852" s="12"/>
      <c r="C852" s="137"/>
    </row>
    <row r="853">
      <c r="B853" s="12"/>
      <c r="C853" s="137"/>
    </row>
    <row r="854">
      <c r="B854" s="12"/>
      <c r="C854" s="137"/>
    </row>
    <row r="855">
      <c r="B855" s="12"/>
      <c r="C855" s="137"/>
    </row>
    <row r="856">
      <c r="B856" s="12"/>
      <c r="C856" s="137"/>
    </row>
    <row r="857">
      <c r="B857" s="12"/>
      <c r="C857" s="137"/>
    </row>
    <row r="858">
      <c r="B858" s="12"/>
      <c r="C858" s="137"/>
    </row>
    <row r="859">
      <c r="B859" s="12"/>
      <c r="C859" s="137"/>
    </row>
    <row r="860">
      <c r="B860" s="12"/>
      <c r="C860" s="137"/>
    </row>
    <row r="861">
      <c r="B861" s="12"/>
      <c r="C861" s="137"/>
    </row>
    <row r="862">
      <c r="B862" s="12"/>
      <c r="C862" s="137"/>
    </row>
    <row r="863">
      <c r="B863" s="12"/>
      <c r="C863" s="137"/>
    </row>
    <row r="864">
      <c r="B864" s="12"/>
      <c r="C864" s="137"/>
    </row>
    <row r="865">
      <c r="B865" s="12"/>
      <c r="C865" s="137"/>
    </row>
    <row r="866">
      <c r="B866" s="12"/>
      <c r="C866" s="137"/>
    </row>
    <row r="867">
      <c r="B867" s="12"/>
      <c r="C867" s="137"/>
    </row>
    <row r="868">
      <c r="B868" s="12"/>
      <c r="C868" s="137"/>
    </row>
    <row r="869">
      <c r="B869" s="12"/>
      <c r="C869" s="137"/>
    </row>
    <row r="870">
      <c r="B870" s="12"/>
      <c r="C870" s="137"/>
    </row>
    <row r="871">
      <c r="B871" s="12"/>
      <c r="C871" s="137"/>
    </row>
    <row r="872">
      <c r="B872" s="12"/>
      <c r="C872" s="137"/>
    </row>
    <row r="873">
      <c r="B873" s="12"/>
      <c r="C873" s="137"/>
    </row>
    <row r="874">
      <c r="B874" s="12"/>
      <c r="C874" s="137"/>
    </row>
    <row r="875">
      <c r="B875" s="12"/>
      <c r="C875" s="137"/>
    </row>
    <row r="876">
      <c r="B876" s="12"/>
      <c r="C876" s="137"/>
    </row>
    <row r="877">
      <c r="B877" s="12"/>
      <c r="C877" s="137"/>
    </row>
    <row r="878">
      <c r="B878" s="12"/>
      <c r="C878" s="137"/>
    </row>
    <row r="879">
      <c r="B879" s="12"/>
      <c r="C879" s="137"/>
    </row>
    <row r="880">
      <c r="B880" s="12"/>
      <c r="C880" s="137"/>
    </row>
    <row r="881">
      <c r="B881" s="12"/>
      <c r="C881" s="137"/>
    </row>
    <row r="882">
      <c r="B882" s="12"/>
      <c r="C882" s="137"/>
    </row>
    <row r="883">
      <c r="B883" s="12"/>
      <c r="C883" s="137"/>
    </row>
    <row r="884">
      <c r="B884" s="12"/>
      <c r="C884" s="137"/>
    </row>
    <row r="885">
      <c r="B885" s="12"/>
      <c r="C885" s="137"/>
    </row>
    <row r="886">
      <c r="B886" s="12"/>
      <c r="C886" s="137"/>
    </row>
    <row r="887">
      <c r="B887" s="12"/>
      <c r="C887" s="137"/>
    </row>
    <row r="888">
      <c r="B888" s="12"/>
      <c r="C888" s="137"/>
    </row>
    <row r="889">
      <c r="B889" s="12"/>
      <c r="C889" s="137"/>
    </row>
    <row r="890">
      <c r="B890" s="12"/>
      <c r="C890" s="137"/>
    </row>
    <row r="891">
      <c r="B891" s="12"/>
      <c r="C891" s="137"/>
    </row>
    <row r="892">
      <c r="B892" s="12"/>
      <c r="C892" s="137"/>
    </row>
    <row r="893">
      <c r="B893" s="12"/>
      <c r="C893" s="137"/>
    </row>
    <row r="894">
      <c r="B894" s="12"/>
      <c r="C894" s="137"/>
    </row>
    <row r="895">
      <c r="B895" s="12"/>
      <c r="C895" s="137"/>
    </row>
    <row r="896">
      <c r="B896" s="12"/>
      <c r="C896" s="137"/>
    </row>
    <row r="897">
      <c r="B897" s="12"/>
      <c r="C897" s="137"/>
    </row>
    <row r="898">
      <c r="B898" s="12"/>
      <c r="C898" s="137"/>
    </row>
    <row r="899">
      <c r="B899" s="12"/>
      <c r="C899" s="137"/>
    </row>
    <row r="900">
      <c r="B900" s="12"/>
      <c r="C900" s="137"/>
    </row>
    <row r="901">
      <c r="B901" s="12"/>
      <c r="C901" s="137"/>
    </row>
    <row r="902">
      <c r="B902" s="12"/>
      <c r="C902" s="137"/>
    </row>
    <row r="903">
      <c r="B903" s="12"/>
      <c r="C903" s="137"/>
    </row>
    <row r="904">
      <c r="B904" s="12"/>
      <c r="C904" s="137"/>
    </row>
    <row r="905">
      <c r="B905" s="12"/>
      <c r="C905" s="137"/>
    </row>
    <row r="906">
      <c r="B906" s="12"/>
      <c r="C906" s="137"/>
    </row>
    <row r="907">
      <c r="B907" s="12"/>
      <c r="C907" s="137"/>
    </row>
    <row r="908">
      <c r="B908" s="12"/>
      <c r="C908" s="137"/>
    </row>
    <row r="909">
      <c r="B909" s="12"/>
      <c r="C909" s="137"/>
    </row>
    <row r="910">
      <c r="B910" s="12"/>
      <c r="C910" s="137"/>
    </row>
    <row r="911">
      <c r="B911" s="12"/>
      <c r="C911" s="137"/>
    </row>
    <row r="912">
      <c r="B912" s="12"/>
      <c r="C912" s="137"/>
    </row>
    <row r="913">
      <c r="B913" s="12"/>
      <c r="C913" s="137"/>
    </row>
    <row r="914">
      <c r="B914" s="12"/>
      <c r="C914" s="137"/>
    </row>
    <row r="915">
      <c r="B915" s="12"/>
      <c r="C915" s="137"/>
    </row>
    <row r="916">
      <c r="B916" s="12"/>
      <c r="C916" s="137"/>
    </row>
    <row r="917">
      <c r="B917" s="12"/>
      <c r="C917" s="137"/>
    </row>
    <row r="918">
      <c r="B918" s="12"/>
      <c r="C918" s="137"/>
    </row>
    <row r="919">
      <c r="B919" s="12"/>
      <c r="C919" s="137"/>
    </row>
    <row r="920">
      <c r="B920" s="12"/>
      <c r="C920" s="137"/>
    </row>
    <row r="921">
      <c r="B921" s="12"/>
      <c r="C921" s="137"/>
    </row>
    <row r="922">
      <c r="B922" s="12"/>
      <c r="C922" s="137"/>
    </row>
    <row r="923">
      <c r="B923" s="12"/>
      <c r="C923" s="137"/>
    </row>
    <row r="924">
      <c r="B924" s="12"/>
      <c r="C924" s="137"/>
    </row>
    <row r="925">
      <c r="B925" s="12"/>
      <c r="C925" s="137"/>
    </row>
    <row r="926">
      <c r="B926" s="12"/>
      <c r="C926" s="137"/>
    </row>
    <row r="927">
      <c r="B927" s="12"/>
      <c r="C927" s="137"/>
    </row>
    <row r="928">
      <c r="B928" s="12"/>
      <c r="C928" s="137"/>
    </row>
    <row r="929">
      <c r="B929" s="12"/>
      <c r="C929" s="137"/>
    </row>
    <row r="930">
      <c r="B930" s="12"/>
      <c r="C930" s="137"/>
    </row>
    <row r="931">
      <c r="B931" s="12"/>
      <c r="C931" s="137"/>
    </row>
    <row r="932">
      <c r="B932" s="12"/>
      <c r="C932" s="137"/>
    </row>
    <row r="933">
      <c r="B933" s="12"/>
      <c r="C933" s="137"/>
    </row>
    <row r="934">
      <c r="B934" s="12"/>
      <c r="C934" s="137"/>
    </row>
    <row r="935">
      <c r="B935" s="12"/>
      <c r="C935" s="137"/>
    </row>
    <row r="936">
      <c r="B936" s="12"/>
      <c r="C936" s="137"/>
    </row>
    <row r="937">
      <c r="B937" s="12"/>
      <c r="C937" s="137"/>
    </row>
    <row r="938">
      <c r="B938" s="12"/>
      <c r="C938" s="137"/>
    </row>
    <row r="939">
      <c r="B939" s="12"/>
      <c r="C939" s="137"/>
    </row>
    <row r="940">
      <c r="B940" s="12"/>
      <c r="C940" s="137"/>
    </row>
    <row r="941">
      <c r="B941" s="12"/>
      <c r="C941" s="137"/>
    </row>
    <row r="942">
      <c r="B942" s="12"/>
      <c r="C942" s="137"/>
    </row>
    <row r="943">
      <c r="B943" s="12"/>
      <c r="C943" s="137"/>
    </row>
    <row r="944">
      <c r="B944" s="12"/>
      <c r="C944" s="137"/>
    </row>
    <row r="945">
      <c r="B945" s="12"/>
      <c r="C945" s="137"/>
    </row>
    <row r="946">
      <c r="B946" s="12"/>
      <c r="C946" s="137"/>
    </row>
    <row r="947">
      <c r="B947" s="12"/>
      <c r="C947" s="137"/>
    </row>
    <row r="948">
      <c r="B948" s="12"/>
      <c r="C948" s="137"/>
    </row>
    <row r="949">
      <c r="B949" s="12"/>
      <c r="C949" s="137"/>
    </row>
    <row r="950">
      <c r="B950" s="12"/>
      <c r="C950" s="137"/>
    </row>
    <row r="951">
      <c r="B951" s="12"/>
      <c r="C951" s="137"/>
    </row>
    <row r="952">
      <c r="B952" s="12"/>
      <c r="C952" s="137"/>
    </row>
    <row r="953">
      <c r="B953" s="12"/>
      <c r="C953" s="137"/>
    </row>
    <row r="954">
      <c r="B954" s="12"/>
      <c r="C954" s="137"/>
    </row>
    <row r="955">
      <c r="B955" s="12"/>
      <c r="C955" s="137"/>
    </row>
    <row r="956">
      <c r="B956" s="12"/>
      <c r="C956" s="137"/>
    </row>
    <row r="957">
      <c r="B957" s="12"/>
      <c r="C957" s="137"/>
    </row>
    <row r="958">
      <c r="B958" s="12"/>
      <c r="C958" s="137"/>
    </row>
    <row r="959">
      <c r="B959" s="12"/>
      <c r="C959" s="137"/>
    </row>
    <row r="960">
      <c r="B960" s="12"/>
      <c r="C960" s="137"/>
    </row>
    <row r="961">
      <c r="B961" s="12"/>
      <c r="C961" s="137"/>
    </row>
    <row r="962">
      <c r="B962" s="12"/>
      <c r="C962" s="137"/>
    </row>
    <row r="963">
      <c r="B963" s="12"/>
      <c r="C963" s="137"/>
    </row>
    <row r="964">
      <c r="B964" s="12"/>
      <c r="C964" s="137"/>
    </row>
    <row r="965">
      <c r="B965" s="12"/>
      <c r="C965" s="137"/>
    </row>
    <row r="966">
      <c r="B966" s="12"/>
      <c r="C966" s="137"/>
    </row>
    <row r="967">
      <c r="B967" s="12"/>
      <c r="C967" s="137"/>
    </row>
    <row r="968">
      <c r="B968" s="12"/>
      <c r="C968" s="137"/>
    </row>
    <row r="969">
      <c r="B969" s="12"/>
      <c r="C969" s="137"/>
    </row>
    <row r="970">
      <c r="B970" s="12"/>
      <c r="C970" s="137"/>
    </row>
    <row r="971">
      <c r="B971" s="12"/>
      <c r="C971" s="137"/>
    </row>
    <row r="972">
      <c r="B972" s="12"/>
      <c r="C972" s="137"/>
    </row>
    <row r="973">
      <c r="B973" s="12"/>
      <c r="C973" s="137"/>
    </row>
    <row r="974">
      <c r="B974" s="12"/>
      <c r="C974" s="137"/>
    </row>
    <row r="975">
      <c r="B975" s="12"/>
      <c r="C975" s="137"/>
    </row>
    <row r="976">
      <c r="B976" s="12"/>
      <c r="C976" s="137"/>
    </row>
    <row r="977">
      <c r="B977" s="12"/>
      <c r="C977" s="137"/>
    </row>
    <row r="978">
      <c r="B978" s="12"/>
      <c r="C978" s="137"/>
    </row>
    <row r="979">
      <c r="B979" s="12"/>
      <c r="C979" s="137"/>
    </row>
    <row r="980">
      <c r="B980" s="12"/>
      <c r="C980" s="137"/>
    </row>
    <row r="981">
      <c r="B981" s="12"/>
      <c r="C981" s="137"/>
    </row>
    <row r="982">
      <c r="B982" s="12"/>
      <c r="C982" s="137"/>
    </row>
    <row r="983">
      <c r="B983" s="12"/>
      <c r="C983" s="137"/>
    </row>
    <row r="984">
      <c r="B984" s="12"/>
      <c r="C984" s="137"/>
    </row>
    <row r="985">
      <c r="B985" s="12"/>
      <c r="C985" s="137"/>
    </row>
    <row r="986">
      <c r="B986" s="12"/>
      <c r="C986" s="137"/>
    </row>
    <row r="987">
      <c r="B987" s="12"/>
      <c r="C987" s="137"/>
    </row>
    <row r="988">
      <c r="B988" s="12"/>
      <c r="C988" s="137"/>
    </row>
    <row r="989">
      <c r="B989" s="12"/>
      <c r="C989" s="137"/>
    </row>
    <row r="990">
      <c r="B990" s="12"/>
      <c r="C990" s="137"/>
    </row>
    <row r="991">
      <c r="B991" s="12"/>
      <c r="C991" s="137"/>
    </row>
    <row r="992">
      <c r="B992" s="12"/>
      <c r="C992" s="137"/>
    </row>
    <row r="993">
      <c r="B993" s="12"/>
      <c r="C993" s="137"/>
    </row>
    <row r="994">
      <c r="B994" s="12"/>
      <c r="C994" s="137"/>
    </row>
    <row r="995">
      <c r="B995" s="12"/>
      <c r="C995" s="137"/>
    </row>
    <row r="996">
      <c r="B996" s="12"/>
      <c r="C996" s="137"/>
    </row>
    <row r="997">
      <c r="B997" s="12"/>
      <c r="C997" s="137"/>
    </row>
    <row r="998">
      <c r="B998" s="12"/>
      <c r="C998" s="137"/>
    </row>
    <row r="999">
      <c r="B999" s="12"/>
      <c r="C999" s="137"/>
    </row>
    <row r="1000">
      <c r="B1000" s="12"/>
      <c r="C1000" s="137"/>
    </row>
    <row r="1001">
      <c r="B1001" s="12"/>
      <c r="C1001" s="137"/>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DAF8"/>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0"/>
    <col customWidth="1" min="2" max="2" width="21.0"/>
    <col customWidth="1" min="3" max="3" width="18.75"/>
    <col customWidth="1" min="4" max="4" width="16.0"/>
    <col customWidth="1" min="7" max="7" width="20.5"/>
    <col customWidth="1" min="8" max="8" width="58.13"/>
    <col customWidth="1" min="9" max="9" width="16.63"/>
    <col hidden="1" min="10" max="10" width="12.63"/>
  </cols>
  <sheetData>
    <row r="1">
      <c r="A1" s="233" t="s">
        <v>336</v>
      </c>
      <c r="B1" s="234"/>
      <c r="C1" s="235"/>
      <c r="D1" s="236"/>
      <c r="E1" s="237"/>
      <c r="F1" s="238"/>
      <c r="G1" s="239"/>
      <c r="H1" s="240"/>
      <c r="I1" s="241"/>
      <c r="J1" s="242"/>
      <c r="K1" s="243"/>
      <c r="L1" s="243"/>
    </row>
    <row r="2">
      <c r="A2" s="152" t="s">
        <v>337</v>
      </c>
      <c r="B2" s="152"/>
      <c r="C2" s="152"/>
      <c r="D2" s="152"/>
      <c r="E2" s="152"/>
      <c r="F2" s="152"/>
      <c r="G2" s="152"/>
      <c r="H2" s="152"/>
    </row>
    <row r="3">
      <c r="A3" s="152" t="s">
        <v>338</v>
      </c>
      <c r="B3" s="152"/>
      <c r="C3" s="152"/>
      <c r="D3" s="152"/>
      <c r="E3" s="152"/>
      <c r="F3" s="152"/>
      <c r="G3" s="152"/>
      <c r="H3" s="152"/>
    </row>
    <row r="4">
      <c r="A4" s="152" t="s">
        <v>339</v>
      </c>
      <c r="B4" s="152"/>
      <c r="C4" s="152"/>
      <c r="D4" s="152"/>
      <c r="E4" s="152"/>
      <c r="F4" s="152"/>
      <c r="G4" s="152"/>
      <c r="H4" s="152"/>
    </row>
    <row r="5">
      <c r="A5" s="152" t="s">
        <v>340</v>
      </c>
      <c r="B5" s="152"/>
      <c r="C5" s="152"/>
      <c r="D5" s="152"/>
      <c r="E5" s="152"/>
      <c r="F5" s="152"/>
      <c r="G5" s="152"/>
      <c r="H5" s="152"/>
    </row>
    <row r="6">
      <c r="A6" s="152" t="s">
        <v>341</v>
      </c>
      <c r="B6" s="152"/>
      <c r="C6" s="152"/>
      <c r="D6" s="152"/>
      <c r="E6" s="152"/>
      <c r="F6" s="152"/>
      <c r="G6" s="152"/>
      <c r="H6" s="152"/>
    </row>
    <row r="7">
      <c r="A7" s="153"/>
      <c r="B7" s="154"/>
      <c r="C7" s="155"/>
      <c r="D7" s="156"/>
      <c r="E7" s="157"/>
      <c r="F7" s="12"/>
      <c r="G7" s="158"/>
    </row>
    <row r="8">
      <c r="A8" s="86" t="s">
        <v>199</v>
      </c>
      <c r="B8" s="159" t="s">
        <v>53</v>
      </c>
      <c r="C8" s="159" t="s">
        <v>200</v>
      </c>
      <c r="D8" s="159" t="s">
        <v>201</v>
      </c>
      <c r="E8" s="244"/>
      <c r="F8" s="160" t="s">
        <v>199</v>
      </c>
      <c r="G8" s="161" t="s">
        <v>53</v>
      </c>
      <c r="H8" s="162" t="s">
        <v>202</v>
      </c>
      <c r="I8" s="163" t="s">
        <v>203</v>
      </c>
    </row>
    <row r="9">
      <c r="A9" s="164" t="str">
        <f>if(Clairia_Import!B5=true,"Yes!","No")</f>
        <v>No</v>
      </c>
      <c r="B9" s="165" t="s">
        <v>257</v>
      </c>
      <c r="C9" s="166" t="s">
        <v>205</v>
      </c>
      <c r="D9" s="167" t="s">
        <v>206</v>
      </c>
      <c r="F9" s="245" t="str">
        <f>if(Clairia_Import!B24=true,"Yes!","No")</f>
        <v>Yes!</v>
      </c>
      <c r="G9" s="246" t="s">
        <v>343</v>
      </c>
      <c r="H9" s="247" t="s">
        <v>344</v>
      </c>
      <c r="I9" s="193" t="s">
        <v>209</v>
      </c>
      <c r="J9" s="172">
        <f>COUNTif(F9,"Yes!")</f>
        <v>1</v>
      </c>
      <c r="K9" s="172"/>
      <c r="L9" s="172"/>
    </row>
    <row r="10">
      <c r="A10" s="173" t="str">
        <f>if(Clairia_Import!B6=true,"Yes!","No")</f>
        <v>Yes!</v>
      </c>
      <c r="B10" s="174" t="s">
        <v>346</v>
      </c>
      <c r="C10" s="175" t="s">
        <v>212</v>
      </c>
      <c r="D10" s="176" t="s">
        <v>206</v>
      </c>
      <c r="F10" s="190" t="str">
        <f>if(Clairia_Import!B25=true,"Yes!","No")</f>
        <v>Yes!</v>
      </c>
      <c r="G10" s="246" t="s">
        <v>204</v>
      </c>
      <c r="H10" s="192" t="s">
        <v>347</v>
      </c>
      <c r="I10" s="193" t="s">
        <v>209</v>
      </c>
      <c r="J10" s="172">
        <f>COUNTif(F10:F14,"Yes!")</f>
        <v>3</v>
      </c>
      <c r="K10" s="172"/>
      <c r="L10" s="172"/>
    </row>
    <row r="11">
      <c r="A11" s="173" t="str">
        <f>if(Clairia_Import!B7=true,"Yes!","No")</f>
        <v>Yes!</v>
      </c>
      <c r="B11" s="174" t="s">
        <v>236</v>
      </c>
      <c r="C11" s="175" t="s">
        <v>217</v>
      </c>
      <c r="D11" s="176" t="s">
        <v>206</v>
      </c>
      <c r="F11" s="190" t="str">
        <f>if(Clairia_Import!B26=true,"Yes!","No")</f>
        <v>Yes!</v>
      </c>
      <c r="G11" s="246" t="s">
        <v>348</v>
      </c>
      <c r="H11" s="192" t="s">
        <v>349</v>
      </c>
      <c r="I11" s="193" t="s">
        <v>209</v>
      </c>
      <c r="J11" s="172"/>
      <c r="K11" s="248"/>
      <c r="L11" s="172"/>
    </row>
    <row r="12">
      <c r="A12" s="173" t="str">
        <f>if(Clairia_Import!B8=true,"Yes!","No")</f>
        <v>Yes!</v>
      </c>
      <c r="B12" s="174" t="s">
        <v>223</v>
      </c>
      <c r="C12" s="175" t="s">
        <v>221</v>
      </c>
      <c r="D12" s="176" t="s">
        <v>222</v>
      </c>
      <c r="F12" s="194" t="str">
        <f>if(Clairia_Import!B27=true,"Yes!","No")</f>
        <v>No</v>
      </c>
      <c r="G12" s="249" t="s">
        <v>351</v>
      </c>
      <c r="H12" s="196" t="s">
        <v>352</v>
      </c>
      <c r="I12" s="250" t="s">
        <v>209</v>
      </c>
      <c r="J12" s="172"/>
      <c r="K12" s="172"/>
      <c r="L12" s="172"/>
    </row>
    <row r="13">
      <c r="A13" s="173" t="str">
        <f>if(Clairia_Import!B9=true,"Yes!","No")</f>
        <v>Yes!</v>
      </c>
      <c r="B13" s="174" t="s">
        <v>353</v>
      </c>
      <c r="C13" s="175" t="s">
        <v>226</v>
      </c>
      <c r="D13" s="176" t="s">
        <v>354</v>
      </c>
      <c r="F13" s="194" t="str">
        <f>if(Clairia_Import!B28=true,"Yes!","No")</f>
        <v>No</v>
      </c>
      <c r="G13" s="249" t="s">
        <v>355</v>
      </c>
      <c r="H13" s="196" t="s">
        <v>356</v>
      </c>
      <c r="I13" s="171" t="s">
        <v>267</v>
      </c>
      <c r="J13" s="172">
        <f>COUNTif(F13:F15,"Yes!")</f>
        <v>2</v>
      </c>
      <c r="K13" s="172"/>
      <c r="L13" s="172"/>
    </row>
    <row r="14">
      <c r="A14" s="173" t="str">
        <f>if(Clairia_Import!B10=true,"Yes!","No")</f>
        <v>Yes!</v>
      </c>
      <c r="B14" s="174" t="s">
        <v>228</v>
      </c>
      <c r="C14" s="175" t="s">
        <v>247</v>
      </c>
      <c r="D14" s="176" t="s">
        <v>357</v>
      </c>
      <c r="F14" s="179" t="str">
        <f>if(Clairia_Import!B29=true,"Yes!","No")</f>
        <v>Yes!</v>
      </c>
      <c r="G14" s="251" t="s">
        <v>249</v>
      </c>
      <c r="H14" s="181" t="s">
        <v>356</v>
      </c>
      <c r="I14" s="182"/>
      <c r="J14" s="172"/>
      <c r="K14" s="172"/>
      <c r="L14" s="172"/>
    </row>
    <row r="15">
      <c r="A15" s="252" t="str">
        <f>if(Clairia_Import!B11=true,"Yes!","No")</f>
        <v>Yes!</v>
      </c>
      <c r="B15" s="174" t="s">
        <v>308</v>
      </c>
      <c r="C15" s="175" t="s">
        <v>359</v>
      </c>
      <c r="D15" s="176" t="s">
        <v>232</v>
      </c>
      <c r="F15" s="179" t="str">
        <f>if(Clairia_Import!B30=true,"Yes!","No")</f>
        <v>Yes!</v>
      </c>
      <c r="G15" s="251" t="s">
        <v>360</v>
      </c>
      <c r="H15" s="181" t="s">
        <v>361</v>
      </c>
      <c r="I15" s="182"/>
      <c r="J15" s="172"/>
      <c r="K15" s="248"/>
      <c r="L15" s="172"/>
    </row>
    <row r="16">
      <c r="A16" s="252" t="str">
        <f>if(Clairia_Import!B12=true,"Yes!","No")</f>
        <v>Yes!</v>
      </c>
      <c r="B16" s="174" t="s">
        <v>362</v>
      </c>
      <c r="C16" s="175" t="s">
        <v>363</v>
      </c>
      <c r="D16" s="176" t="s">
        <v>364</v>
      </c>
      <c r="F16" s="194" t="str">
        <f>if(Clairia_Import!B31=true,"Yes!","No")</f>
        <v>No</v>
      </c>
      <c r="G16" s="249" t="s">
        <v>365</v>
      </c>
      <c r="H16" s="196" t="s">
        <v>366</v>
      </c>
      <c r="I16" s="171" t="s">
        <v>367</v>
      </c>
      <c r="J16" s="172">
        <f>COUNTif(F16:F20,"Yes!")</f>
        <v>3</v>
      </c>
      <c r="K16" s="248"/>
      <c r="L16" s="172"/>
    </row>
    <row r="17">
      <c r="A17" s="252" t="str">
        <f>if(Clairia_Import!B13=true,"Yes!","No")</f>
        <v>Yes!</v>
      </c>
      <c r="B17" s="174" t="s">
        <v>368</v>
      </c>
      <c r="C17" s="175" t="s">
        <v>231</v>
      </c>
      <c r="D17" s="176" t="s">
        <v>369</v>
      </c>
      <c r="F17" s="183" t="str">
        <f>if(Clairia_Import!B32=true,"Yes!","No")</f>
        <v>No</v>
      </c>
      <c r="G17" s="253" t="s">
        <v>370</v>
      </c>
      <c r="H17" s="185" t="s">
        <v>372</v>
      </c>
      <c r="I17" s="182"/>
      <c r="J17" s="172"/>
      <c r="K17" s="248"/>
      <c r="L17" s="172"/>
    </row>
    <row r="18">
      <c r="A18" s="252" t="str">
        <f>if(Clairia_Import!B14=true,"Yes!","No")</f>
        <v>Yes!</v>
      </c>
      <c r="B18" s="174" t="s">
        <v>373</v>
      </c>
      <c r="C18" s="175" t="s">
        <v>374</v>
      </c>
      <c r="D18" s="176" t="s">
        <v>375</v>
      </c>
      <c r="F18" s="179" t="str">
        <f>if(Clairia_Import!B33=true,"Yes!","No")</f>
        <v>Yes!</v>
      </c>
      <c r="G18" s="251" t="s">
        <v>376</v>
      </c>
      <c r="H18" s="181" t="s">
        <v>377</v>
      </c>
      <c r="I18" s="182"/>
      <c r="J18" s="172"/>
      <c r="K18" s="172"/>
      <c r="L18" s="172"/>
    </row>
    <row r="19">
      <c r="A19" s="252" t="str">
        <f>if(Clairia_Import!B15=true,"Yes!","No")</f>
        <v>Yes!</v>
      </c>
      <c r="B19" s="174" t="s">
        <v>218</v>
      </c>
      <c r="C19" s="175" t="s">
        <v>378</v>
      </c>
      <c r="D19" s="176" t="s">
        <v>379</v>
      </c>
      <c r="F19" s="179" t="str">
        <f>if(Clairia_Import!B34=true,"Yes!","No")</f>
        <v>Yes!</v>
      </c>
      <c r="G19" s="251" t="s">
        <v>380</v>
      </c>
      <c r="H19" s="181" t="s">
        <v>381</v>
      </c>
      <c r="I19" s="182"/>
      <c r="J19" s="172"/>
      <c r="K19" s="172"/>
      <c r="L19" s="172"/>
    </row>
    <row r="20">
      <c r="A20" s="252" t="str">
        <f>if(Clairia_Import!B16=true,"Yes!","No")</f>
        <v>Yes!</v>
      </c>
      <c r="B20" s="174" t="s">
        <v>382</v>
      </c>
      <c r="C20" s="175" t="s">
        <v>374</v>
      </c>
      <c r="D20" s="176" t="s">
        <v>383</v>
      </c>
      <c r="F20" s="179" t="str">
        <f>if(Clairia_Import!B35=true,"Yes!","No")</f>
        <v>Yes!</v>
      </c>
      <c r="G20" s="251" t="s">
        <v>384</v>
      </c>
      <c r="H20" s="181" t="s">
        <v>381</v>
      </c>
      <c r="I20" s="189"/>
      <c r="J20" s="172"/>
      <c r="K20" s="172"/>
      <c r="L20" s="172"/>
    </row>
    <row r="21">
      <c r="A21" s="252" t="str">
        <f>if(Clairia_Import!B17=true,"Yes!","No")</f>
        <v>Yes!</v>
      </c>
      <c r="B21" s="174" t="s">
        <v>385</v>
      </c>
      <c r="C21" s="175" t="s">
        <v>269</v>
      </c>
      <c r="D21" s="176" t="s">
        <v>386</v>
      </c>
      <c r="F21" s="194" t="str">
        <f>if(Clairia_Import!B36=true,"Yes!","No")</f>
        <v>No</v>
      </c>
      <c r="G21" s="249" t="s">
        <v>353</v>
      </c>
      <c r="H21" s="196" t="s">
        <v>388</v>
      </c>
      <c r="I21" s="250" t="s">
        <v>267</v>
      </c>
      <c r="J21" s="172">
        <f>COUNTif(F21:F23,"Yes!")</f>
        <v>1</v>
      </c>
      <c r="K21" s="172"/>
      <c r="L21" s="172"/>
    </row>
    <row r="22">
      <c r="A22" s="252" t="str">
        <f>if(Clairia_Import!B18=true,"Yes!","No")</f>
        <v>No</v>
      </c>
      <c r="B22" s="174" t="s">
        <v>308</v>
      </c>
      <c r="C22" s="175" t="s">
        <v>389</v>
      </c>
      <c r="D22" s="176" t="s">
        <v>390</v>
      </c>
      <c r="F22" s="183" t="str">
        <f>if(Clairia_Import!B37=true,"Yes!","No")</f>
        <v>No</v>
      </c>
      <c r="G22" s="253" t="s">
        <v>391</v>
      </c>
      <c r="H22" s="185" t="s">
        <v>392</v>
      </c>
      <c r="I22" s="182"/>
      <c r="J22" s="172"/>
      <c r="K22" s="248"/>
      <c r="L22" s="172"/>
    </row>
    <row r="23">
      <c r="A23" s="252" t="str">
        <f>if(Clairia_Import!B19=true,"Yes!","No")</f>
        <v>No</v>
      </c>
      <c r="B23" s="174" t="s">
        <v>393</v>
      </c>
      <c r="C23" s="175" t="s">
        <v>394</v>
      </c>
      <c r="D23" s="176" t="s">
        <v>395</v>
      </c>
      <c r="F23" s="179" t="str">
        <f>if(Clairia_Import!B38=true,"Yes!","No")</f>
        <v>Yes!</v>
      </c>
      <c r="G23" s="251" t="s">
        <v>396</v>
      </c>
      <c r="H23" s="181" t="s">
        <v>397</v>
      </c>
      <c r="I23" s="189"/>
      <c r="J23" s="172"/>
      <c r="K23" s="172"/>
      <c r="L23" s="172"/>
    </row>
    <row r="24">
      <c r="A24" s="259" t="str">
        <f>If(Dashboard!$M4=TRUE,"Yes!","No")</f>
        <v>No</v>
      </c>
      <c r="B24" s="199" t="s">
        <v>282</v>
      </c>
      <c r="C24" s="200" t="s">
        <v>206</v>
      </c>
      <c r="D24" s="201" t="s">
        <v>206</v>
      </c>
      <c r="F24" s="177" t="str">
        <f>if(Clairia_Import!B39=true,"Yes!","No")</f>
        <v>Yes!</v>
      </c>
      <c r="G24" s="261" t="s">
        <v>236</v>
      </c>
      <c r="H24" s="178" t="s">
        <v>399</v>
      </c>
      <c r="I24" s="171" t="s">
        <v>281</v>
      </c>
      <c r="J24" s="172">
        <f>COUNTif(F24:F25,"Yes!")</f>
        <v>1</v>
      </c>
      <c r="K24" s="172"/>
      <c r="L24" s="172"/>
    </row>
    <row r="25">
      <c r="F25" s="207" t="str">
        <f>if(Clairia_Import!B40=true,"Yes!","No")</f>
        <v>No</v>
      </c>
      <c r="G25" s="264" t="s">
        <v>400</v>
      </c>
      <c r="H25" s="210" t="s">
        <v>401</v>
      </c>
      <c r="I25" s="189"/>
      <c r="J25" s="172"/>
      <c r="K25" s="172"/>
      <c r="L25" s="172"/>
    </row>
    <row r="26">
      <c r="A26" s="202" t="s">
        <v>287</v>
      </c>
      <c r="F26" s="179" t="str">
        <f>if(Clairia_Import!B41=true,"Yes!","No")</f>
        <v>Yes!</v>
      </c>
      <c r="G26" s="251" t="s">
        <v>234</v>
      </c>
      <c r="H26" s="181" t="s">
        <v>402</v>
      </c>
      <c r="I26" s="265" t="s">
        <v>281</v>
      </c>
      <c r="J26" s="172">
        <f>COUNTif(F26:F27,"Yes!")</f>
        <v>1</v>
      </c>
      <c r="K26" s="172"/>
      <c r="L26" s="172"/>
    </row>
    <row r="27">
      <c r="A27" s="271" t="str">
        <f>IFERROR(__xludf.DUMMYFUNCTION("IFERROR(
  FILTER(
    FLATTEN({Clairia_Import!C5:C20; Clairia_Import!C24:C52; Clairia_Import!A55:A79}),
    FLATTEN({Clairia_Import!C5:C20; Clairia_Import!C24:C52; Clairia_Import!A55:A79}) &lt;&gt; """"
  ),
  """"
)"),"Didn't talk long, but they were really nice. - ZT")</f>
        <v>Didn't talk long, but they were really nice. - ZT</v>
      </c>
      <c r="B27" s="4"/>
      <c r="C27" s="4"/>
      <c r="D27" s="5"/>
      <c r="F27" s="183" t="str">
        <f>if(Clairia_Import!B42=true,"Yes!","No")</f>
        <v>No</v>
      </c>
      <c r="G27" s="253" t="s">
        <v>404</v>
      </c>
      <c r="H27" s="185" t="s">
        <v>405</v>
      </c>
      <c r="I27" s="182"/>
      <c r="J27" s="172"/>
      <c r="K27" s="172"/>
      <c r="L27" s="172"/>
    </row>
    <row r="28">
      <c r="A28" s="272" t="str">
        <f>IFERROR(__xludf.DUMMYFUNCTION("""COMPUTED_VALUE"""),"Very fun. They are interested in the Cary/belle story. Are a bit skittish, they avoided combat with the skeever group with ranger pathwalk, and were pretty proud of themselves")</f>
        <v>Very fun. They are interested in the Cary/belle story. Are a bit skittish, they avoided combat with the skeever group with ranger pathwalk, and were pretty proud of themselves</v>
      </c>
      <c r="D28" s="182"/>
      <c r="F28" s="177" t="str">
        <f>if(Clairia_Import!B43=true,"Yes!","No")</f>
        <v>Yes!</v>
      </c>
      <c r="G28" s="261" t="s">
        <v>279</v>
      </c>
      <c r="H28" s="178" t="s">
        <v>406</v>
      </c>
      <c r="I28" s="171" t="s">
        <v>281</v>
      </c>
      <c r="J28" s="172"/>
      <c r="K28" s="172"/>
      <c r="L28" s="172"/>
    </row>
    <row r="29">
      <c r="A29" s="272" t="str">
        <f>IFERROR(__xludf.DUMMYFUNCTION("""COMPUTED_VALUE"""),"Fun group! They were very interested in the items (2 people wrote down where to find them) and they asked a lot of questions about Poppy and the portal")</f>
        <v>Fun group! They were very interested in the items (2 people wrote down where to find them) and they asked a lot of questions about Poppy and the portal</v>
      </c>
      <c r="D29" s="182"/>
      <c r="F29" s="207" t="str">
        <f>if(Clairia_Import!B44=true,"Yes!","No")</f>
        <v>No</v>
      </c>
      <c r="G29" s="264" t="s">
        <v>292</v>
      </c>
      <c r="H29" s="210" t="s">
        <v>407</v>
      </c>
      <c r="I29" s="189"/>
      <c r="J29" s="172">
        <f>COUNTif(F29:F35,"Yes!")</f>
        <v>3</v>
      </c>
      <c r="K29" s="248"/>
      <c r="L29" s="172"/>
    </row>
    <row r="30">
      <c r="A30" s="272" t="str">
        <f>IFERROR(__xludf.DUMMYFUNCTION("""COMPUTED_VALUE"""),"Box checked by Rob.")</f>
        <v>Box checked by Rob.</v>
      </c>
      <c r="D30" s="182"/>
      <c r="F30" s="218" t="str">
        <f>if(Clairia_Import!B45=true,"Yes!","No")</f>
        <v>No</v>
      </c>
      <c r="G30" s="273" t="s">
        <v>409</v>
      </c>
      <c r="H30" s="220" t="s">
        <v>410</v>
      </c>
      <c r="I30" s="221" t="s">
        <v>209</v>
      </c>
      <c r="J30" s="172">
        <f>COUNTif(F30,"Yes!")</f>
        <v>0</v>
      </c>
      <c r="K30" s="172"/>
      <c r="L30" s="172"/>
    </row>
    <row r="31">
      <c r="A31" s="272" t="str">
        <f>IFERROR(__xludf.DUMMYFUNCTION("""COMPUTED_VALUE"""),"Great group, Medical issue with Traveler addressed. More detail in notes. (jen P)")</f>
        <v>Great group, Medical issue with Traveler addressed. More detail in notes. (jen P)</v>
      </c>
      <c r="D31" s="182"/>
      <c r="F31" s="190" t="str">
        <f>if(Clairia_Import!B46=true,"Yes!","No")</f>
        <v>Yes!</v>
      </c>
      <c r="G31" s="246" t="s">
        <v>346</v>
      </c>
      <c r="H31" s="192" t="s">
        <v>411</v>
      </c>
      <c r="I31" s="193"/>
      <c r="J31" s="172"/>
      <c r="K31" s="248"/>
      <c r="L31" s="172"/>
    </row>
    <row r="32">
      <c r="A32" s="272" t="str">
        <f>IFERROR(__xludf.DUMMYFUNCTION("""COMPUTED_VALUE"""),"Chased them down to the tavern, but they got the heart during dinner")</f>
        <v>Chased them down to the tavern, but they got the heart during dinner</v>
      </c>
      <c r="D32" s="182"/>
      <c r="F32" s="190" t="str">
        <f>if(Clairia_Import!B47=true,"Yes!","No")</f>
        <v>Yes!</v>
      </c>
      <c r="G32" s="246" t="s">
        <v>412</v>
      </c>
      <c r="H32" s="192" t="s">
        <v>413</v>
      </c>
      <c r="I32" s="193" t="s">
        <v>209</v>
      </c>
      <c r="J32" s="172">
        <f t="shared" ref="J32:J37" si="1">COUNTif(F32,"Yes!")</f>
        <v>1</v>
      </c>
      <c r="K32" s="172"/>
      <c r="L32" s="172"/>
    </row>
    <row r="33">
      <c r="A33" s="272" t="str">
        <f>IFERROR(__xludf.DUMMYFUNCTION("""COMPUTED_VALUE"""),"some party dynamics roughness, but they made solid progress - PSC")</f>
        <v>some party dynamics roughness, but they made solid progress - PSC</v>
      </c>
      <c r="D33" s="182"/>
      <c r="F33" s="190" t="str">
        <f>if(Dashboard!G4=true,"Yes!","No")</f>
        <v>Yes!</v>
      </c>
      <c r="G33" s="246" t="s">
        <v>302</v>
      </c>
      <c r="H33" s="192" t="s">
        <v>415</v>
      </c>
      <c r="I33" s="193" t="s">
        <v>209</v>
      </c>
      <c r="J33" s="172">
        <f t="shared" si="1"/>
        <v>1</v>
      </c>
      <c r="K33" s="172"/>
      <c r="L33" s="172"/>
    </row>
    <row r="34">
      <c r="A34" s="272" t="str">
        <f>IFERROR(__xludf.DUMMYFUNCTION("""COMPUTED_VALUE"""),"Oz: Tentative group at first, but warmed up quickly. Good job on observation challenge. Gave gold essence.")</f>
        <v>Oz: Tentative group at first, but warmed up quickly. Good job on observation challenge. Gave gold essence.</v>
      </c>
      <c r="D34" s="182"/>
      <c r="F34" s="218" t="str">
        <f>if(Clairia_Import!B49=true,"Yes!","No")</f>
        <v>No</v>
      </c>
      <c r="G34" s="273" t="s">
        <v>416</v>
      </c>
      <c r="H34" s="220" t="s">
        <v>417</v>
      </c>
      <c r="I34" s="221" t="s">
        <v>209</v>
      </c>
      <c r="J34" s="172">
        <f t="shared" si="1"/>
        <v>0</v>
      </c>
      <c r="K34" s="172"/>
      <c r="L34" s="172"/>
    </row>
    <row r="35">
      <c r="A35" s="272" t="str">
        <f>IFERROR(__xludf.DUMMYFUNCTION("""COMPUTED_VALUE"""),"Got it off a bridesmaid corpse. Not sure they really solved the vision but I wasn't going to be out again &amp; it was a good fight. Recognized what it was immediately.")</f>
        <v>Got it off a bridesmaid corpse. Not sure they really solved the vision but I wasn't going to be out again &amp; it was a good fight. Recognized what it was immediately.</v>
      </c>
      <c r="D35" s="182"/>
      <c r="F35" s="218" t="str">
        <f>if(Clairia_Import!B50=true,"Yes!","No")</f>
        <v>No</v>
      </c>
      <c r="G35" s="273" t="s">
        <v>418</v>
      </c>
      <c r="H35" s="220" t="s">
        <v>419</v>
      </c>
      <c r="I35" s="221" t="s">
        <v>209</v>
      </c>
      <c r="J35" s="172">
        <f t="shared" si="1"/>
        <v>0</v>
      </c>
      <c r="K35" s="248"/>
      <c r="L35" s="172"/>
    </row>
    <row r="36">
      <c r="A36" s="272" t="str">
        <f>IFERROR(__xludf.DUMMYFUNCTION("""COMPUTED_VALUE"""),"Had a great connection with them Friday night at Valerius House to prepare for delivering charge on Saturday")</f>
        <v>Had a great connection with them Friday night at Valerius House to prepare for delivering charge on Saturday</v>
      </c>
      <c r="D36" s="182"/>
      <c r="F36" s="218" t="str">
        <f>if(Clairia_Import!B51=true,"Yes!","No")</f>
        <v>No</v>
      </c>
      <c r="G36" s="273" t="s">
        <v>204</v>
      </c>
      <c r="H36" s="220" t="s">
        <v>420</v>
      </c>
      <c r="I36" s="221" t="s">
        <v>209</v>
      </c>
      <c r="J36" s="172">
        <f t="shared" si="1"/>
        <v>0</v>
      </c>
      <c r="K36" s="172"/>
      <c r="L36" s="172"/>
    </row>
    <row r="37">
      <c r="A37" s="272" t="str">
        <f>IFERROR(__xludf.DUMMYFUNCTION("""COMPUTED_VALUE"""),"Sat 12:15pm- party approached Aria by the lake (they were looking for her), ARia told story w/Phyllis' help- told them not to trust DD, explained timeline, Baron's letter, DD isn't trustworthy. FULL party engaged, asked if they could help investigate befo"&amp;"re lunch even started. They seem invested. DG")</f>
        <v>Sat 12:15pm- party approached Aria by the lake (they were looking for her), ARia told story w/Phyllis' help- told them not to trust DD, explained timeline, Baron's letter, DD isn't trustworthy. FULL party engaged, asked if they could help investigate before lunch even started. They seem invested. DG</v>
      </c>
      <c r="D37" s="182"/>
      <c r="F37" s="218" t="str">
        <f>if(Clairia_Import!B52=true,"Yes!","No")</f>
        <v>No</v>
      </c>
      <c r="G37" s="273" t="s">
        <v>257</v>
      </c>
      <c r="H37" s="220" t="s">
        <v>422</v>
      </c>
      <c r="I37" s="221" t="s">
        <v>209</v>
      </c>
      <c r="J37" s="172">
        <f t="shared" si="1"/>
        <v>0</v>
      </c>
      <c r="K37" s="172"/>
      <c r="L37" s="172"/>
    </row>
    <row r="38">
      <c r="A38" s="272" t="str">
        <f>IFERROR(__xludf.DUMMYFUNCTION("""COMPUTED_VALUE"""),"Gave them the full story after they brought up the fire. They were sympathetic and suggested maybe i had gone into the fire to save someone and thats why I was sooty.")</f>
        <v>Gave them the full story after they brought up the fire. They were sympathetic and suggested maybe i had gone into the fire to save someone and thats why I was sooty.</v>
      </c>
      <c r="D38" s="182"/>
      <c r="F38" s="153"/>
      <c r="I38" s="156"/>
      <c r="J38" s="172"/>
      <c r="K38" s="172"/>
      <c r="L38" s="172"/>
    </row>
    <row r="39">
      <c r="A39" s="272" t="str">
        <f>IFERROR(__xludf.DUMMYFUNCTION("""COMPUTED_VALUE"""),"Got to them at breakfast. Only blue haired participant was interested in speaking with me, but we talked for a good 5 minutes in detail. She said that I gave them useful information. Hopefully she shares it with the rest of them.")</f>
        <v>Got to them at breakfast. Only blue haired participant was interested in speaking with me, but we talked for a good 5 minutes in detail. She said that I gave them useful information. Hopefully she shares it with the rest of them.</v>
      </c>
      <c r="D39" s="182"/>
      <c r="F39" s="153"/>
      <c r="G39" s="224"/>
      <c r="H39" s="175"/>
      <c r="I39" s="156"/>
      <c r="J39" s="172"/>
      <c r="K39" s="172"/>
      <c r="L39" s="172"/>
    </row>
    <row r="40">
      <c r="A40" s="272" t="str">
        <f>IFERROR(__xludf.DUMMYFUNCTION("""COMPUTED_VALUE"""),"Had a great conversation with them, seemed excited about singing. Promised to teach us a song ""My Little Yeti""")</f>
        <v>Had a great conversation with them, seemed excited about singing. Promised to teach us a song "My Little Yeti"</v>
      </c>
      <c r="D40" s="182"/>
      <c r="F40" s="153"/>
      <c r="G40" s="224"/>
      <c r="H40" s="175"/>
      <c r="I40" s="156"/>
      <c r="J40" s="172"/>
      <c r="K40" s="172"/>
      <c r="L40" s="172"/>
    </row>
    <row r="41">
      <c r="A41" s="272" t="str">
        <f>IFERROR(__xludf.DUMMYFUNCTION("""COMPUTED_VALUE"""),"talked to two of them in front of the tavern.  they had been going to investigate tavern but it had turned into ghost theater.   Knew already that Danny had been clean for over 200 days.  Interested. 4:50")</f>
        <v>talked to two of them in front of the tavern.  they had been going to investigate tavern but it had turned into ghost theater.   Knew already that Danny had been clean for over 200 days.  Interested. 4:50</v>
      </c>
      <c r="D41" s="182"/>
      <c r="F41" s="225"/>
      <c r="G41" s="224"/>
      <c r="H41" s="175"/>
      <c r="I41" s="156"/>
      <c r="J41" s="172"/>
      <c r="K41" s="172"/>
      <c r="L41" s="172"/>
    </row>
    <row r="42">
      <c r="A42" s="272" t="str">
        <f>IFERROR(__xludf.DUMMYFUNCTION("""COMPUTED_VALUE"""),"Full party interaction with Aria Morgan, discussing the Morg and Danny Donovan's recent work there.  Mentioned his history with white noise and how unreliable he was.  Definitely lanfded wlll with the party.")</f>
        <v>Full party interaction with Aria Morgan, discussing the Morg and Danny Donovan's recent work there.  Mentioned his history with white noise and how unreliable he was.  Definitely lanfded wlll with the party.</v>
      </c>
      <c r="D42" s="182"/>
      <c r="F42" s="225"/>
      <c r="G42" s="224"/>
      <c r="H42" s="175"/>
      <c r="I42" s="156"/>
      <c r="J42" s="172"/>
      <c r="K42" s="172"/>
      <c r="L42" s="172"/>
    </row>
    <row r="43">
      <c r="A43" s="226" t="str">
        <f>IFERROR(__xludf.DUMMYFUNCTION("""COMPUTED_VALUE"""),"Talked to them at lunch about Danny. Didn't seem engaged, but at least one nodded. -EF")</f>
        <v>Talked to them at lunch about Danny. Didn't seem engaged, but at least one nodded. -EF</v>
      </c>
      <c r="D43" s="182"/>
      <c r="E43" s="157"/>
    </row>
    <row r="44">
      <c r="A44" s="226" t="str">
        <f>IFERROR(__xludf.DUMMYFUNCTION("""COMPUTED_VALUE"""),"Talked to them in front of tavern about how tragic it was for ghost theater to burn down before I arrived on Fri morning, and how it looked different now (Sat after 4:30pm) - EL")</f>
        <v>Talked to them in front of tavern about how tragic it was for ghost theater to burn down before I arrived on Fri morning, and how it looked different now (Sat after 4:30pm) - EL</v>
      </c>
      <c r="D44" s="182"/>
      <c r="E44" s="157"/>
      <c r="F44" s="12"/>
      <c r="G44" s="158"/>
    </row>
    <row r="45">
      <c r="A45" s="226" t="str">
        <f>IFERROR(__xludf.DUMMYFUNCTION("""COMPUTED_VALUE"""),"Interested in the charge, Think Aria kinda sucks (for firing danny)")</f>
        <v>Interested in the charge, Think Aria kinda sucks (for firing danny)</v>
      </c>
      <c r="D45" s="182"/>
      <c r="E45" s="157"/>
      <c r="F45" s="12"/>
      <c r="G45" s="158"/>
    </row>
    <row r="46">
      <c r="A46" s="226" t="str">
        <f>IFERROR(__xludf.DUMMYFUNCTION("""COMPUTED_VALUE"""),"Talked to Yara (Keeper). Told her to watch her sleeves over the candles.  Don't want to pull a Danny Donnovan")</f>
        <v>Talked to Yara (Keeper). Told her to watch her sleeves over the candles.  Don't want to pull a Danny Donnovan</v>
      </c>
      <c r="D46" s="182"/>
      <c r="E46" s="157"/>
      <c r="F46" s="12"/>
      <c r="G46" s="158"/>
    </row>
    <row r="47">
      <c r="A47" s="226" t="str">
        <f>IFERROR(__xludf.DUMMYFUNCTION("""COMPUTED_VALUE"""),"Sat on the way to Soul Speaking, spoke about DD helping Crabtree to bring in heavy boxes, history of pain, white noise, heart of gold. the party said that they also have the feeling that he's a kind person and does his best - MO")</f>
        <v>Sat on the way to Soul Speaking, spoke about DD helping Crabtree to bring in heavy boxes, history of pain, white noise, heart of gold. the party said that they also have the feeling that he's a kind person and does his best - MO</v>
      </c>
      <c r="D47" s="182"/>
      <c r="E47" s="157"/>
      <c r="F47" s="12"/>
      <c r="G47" s="158"/>
    </row>
    <row r="48">
      <c r="A48" s="226" t="str">
        <f>IFERROR(__xludf.DUMMYFUNCTION("""COMPUTED_VALUE"""),"Totally got it, they were literally talking to themself ""oh, maybe ghosts would know?"" - ZT")</f>
        <v>Totally got it, they were literally talking to themself "oh, maybe ghosts would know?" - ZT</v>
      </c>
      <c r="D48" s="182"/>
      <c r="E48" s="157"/>
      <c r="F48" s="12"/>
      <c r="G48" s="158"/>
    </row>
    <row r="49">
      <c r="A49" s="226" t="str">
        <f>IFERROR(__xludf.DUMMYFUNCTION("""COMPUTED_VALUE"""),"Had a wonderful conversation with them right when they came back from the ritual. They're on it!")</f>
        <v>Had a wonderful conversation with them right when they came back from the ritual. They're on it!</v>
      </c>
      <c r="D49" s="182"/>
      <c r="E49" s="157"/>
      <c r="F49" s="12"/>
      <c r="G49" s="158"/>
    </row>
    <row r="50">
      <c r="A50" s="226" t="str">
        <f>IFERROR(__xludf.DUMMYFUNCTION("""COMPUTED_VALUE"""),"accidentally told Claria my Arden clue info about SWV finding crown of St Mora… Sat. Breakfast M.O.")</f>
        <v>accidentally told Claria my Arden clue info about SWV finding crown of St Mora… Sat. Breakfast M.O.</v>
      </c>
      <c r="D50" s="182"/>
      <c r="E50" s="157"/>
      <c r="F50" s="12"/>
      <c r="G50" s="158"/>
    </row>
    <row r="51">
      <c r="A51" s="226" t="str">
        <f>IFERROR(__xludf.DUMMYFUNCTION("""COMPUTED_VALUE"""),"party photo taken -Mirin")</f>
        <v>party photo taken -Mirin</v>
      </c>
      <c r="D51" s="182"/>
      <c r="E51" s="157"/>
      <c r="F51" s="12"/>
      <c r="G51" s="158"/>
    </row>
    <row r="52">
      <c r="A52" s="226" t="str">
        <f>IFERROR(__xludf.DUMMYFUNCTION("""COMPUTED_VALUE"""),"one almost died battling skeevers - keeper used heal all wounds to save him.  ")</f>
        <v>one almost died battling skeevers - keeper used heal all wounds to save him.  </v>
      </c>
      <c r="D52" s="182"/>
      <c r="E52" s="157"/>
      <c r="F52" s="12"/>
      <c r="G52" s="158"/>
    </row>
    <row r="53">
      <c r="A53" s="226" t="str">
        <f>IFERROR(__xludf.DUMMYFUNCTION("""COMPUTED_VALUE"""),"Not good communication before Chitter fight. Spent 5 min planning and then Chitters were rushed by Uri Kesh. Feels like the party is still feeling each other out Sat 11am. -HA")</f>
        <v>Not good communication before Chitter fight. Spent 5 min planning and then Chitters were rushed by Uri Kesh. Feels like the party is still feeling each other out Sat 11am. -HA</v>
      </c>
      <c r="D53" s="182"/>
      <c r="E53" s="157"/>
      <c r="F53" s="12"/>
      <c r="G53" s="158"/>
    </row>
    <row r="54">
      <c r="A54" s="226" t="str">
        <f>IFERROR(__xludf.DUMMYFUNCTION("""COMPUTED_VALUE"""),"Traveler has a knee issue (pre-Otherworld) so Pascal got her a walking stick and we gave her Tylenol. She was reluctant to slow her group down. We had a good talk, she is feeling better about it. She will get a knee brace from Britt when they get to the t"&amp;"avern. (Jen P)")</f>
        <v>Traveler has a knee issue (pre-Otherworld) so Pascal got her a walking stick and we gave her Tylenol. She was reluctant to slow her group down. We had a good talk, she is feeling better about it. She will get a knee brace from Britt when they get to the tavern. (Jen P)</v>
      </c>
      <c r="D54" s="182"/>
      <c r="E54" s="157"/>
      <c r="F54" s="12"/>
      <c r="G54" s="158"/>
    </row>
    <row r="55">
      <c r="A55" s="226" t="str">
        <f>IFERROR(__xludf.DUMMYFUNCTION("""COMPUTED_VALUE"""),"Party visit to Peacocks was split between 2 people who wanted to stay and sing forever, 2 people trying to figure shit out, and 2 people (a couple? She's the traveler) who seemed very removed and disengaged. -JF")</f>
        <v>Party visit to Peacocks was split between 2 people who wanted to stay and sing forever, 2 people trying to figure shit out, and 2 people (a couple? She's the traveler) who seemed very removed and disengaged. -JF</v>
      </c>
      <c r="D55" s="182"/>
      <c r="E55" s="157"/>
      <c r="F55" s="12"/>
      <c r="G55" s="158"/>
    </row>
    <row r="56">
      <c r="A56" s="226" t="str">
        <f>IFERROR(__xludf.DUMMYFUNCTION("""COMPUTED_VALUE"""),"Party was a bit hesitant about combat, but after sparring at the Valerius house, they are feeling much more confident. They have better communication, the caster is really blowing her whistle and projecting her spells, the keeper learned how to use her sh"&amp;"ield and is feeling much more confident. JM")</f>
        <v>Party was a bit hesitant about combat, but after sparring at the Valerius house, they are feeling much more confident. They have better communication, the caster is really blowing her whistle and projecting her spells, the keeper learned how to use her shield and is feeling much more confident. JM</v>
      </c>
      <c r="D56" s="182"/>
      <c r="E56" s="157"/>
      <c r="F56" s="12"/>
      <c r="G56" s="158"/>
    </row>
    <row r="57">
      <c r="A57" s="226" t="str">
        <f>IFERROR(__xludf.DUMMYFUNCTION("""COMPUTED_VALUE"""),"Isaiah Cooke golden page story told to half the party")</f>
        <v>Isaiah Cooke golden page story told to half the party</v>
      </c>
      <c r="D57" s="182"/>
      <c r="E57" s="157"/>
      <c r="F57" s="12"/>
      <c r="G57" s="158"/>
    </row>
    <row r="58">
      <c r="A58" s="226" t="str">
        <f>IFERROR(__xludf.DUMMYFUNCTION("""COMPUTED_VALUE"""),"3:30 pm Sat - Claria only has three people. 1 is napping, 1 has a knee injury, one is keeping that person company.  - KK (remove highlight when seen)")</f>
        <v>3:30 pm Sat - Claria only has three people. 1 is napping, 1 has a knee injury, one is keeping that person company.  - KK (remove highlight when seen)</v>
      </c>
      <c r="D58" s="182"/>
      <c r="E58" s="157"/>
      <c r="F58" s="12"/>
      <c r="G58" s="158"/>
    </row>
    <row r="59">
      <c r="A59" s="226" t="str">
        <f>IFERROR(__xludf.DUMMYFUNCTION("""COMPUTED_VALUE"""),"Post Lunch Saturday they seemed VERY invested in the Danny Donovan Charge")</f>
        <v>Post Lunch Saturday they seemed VERY invested in the Danny Donovan Charge</v>
      </c>
      <c r="D59" s="182"/>
      <c r="E59" s="157"/>
      <c r="F59" s="12"/>
      <c r="G59" s="158"/>
    </row>
    <row r="60">
      <c r="A60" s="226" t="str">
        <f>IFERROR(__xludf.DUMMYFUNCTION("""COMPUTED_VALUE"""),"5pm Sat - Claria companion returned to basement a riddle/bag that they had found.  Handed to Jodi - EL")</f>
        <v>5pm Sat - Claria companion returned to basement a riddle/bag that they had found.  Handed to Jodi - EL</v>
      </c>
      <c r="D60" s="182"/>
      <c r="E60" s="157"/>
      <c r="F60" s="12"/>
      <c r="G60" s="158"/>
    </row>
    <row r="61">
      <c r="A61" s="227"/>
      <c r="B61" s="228"/>
      <c r="C61" s="228"/>
      <c r="D61" s="189"/>
      <c r="E61" s="157"/>
      <c r="F61" s="12"/>
      <c r="G61" s="158"/>
    </row>
    <row r="62">
      <c r="A62" s="138"/>
      <c r="B62" s="138"/>
      <c r="C62" s="138"/>
      <c r="D62" s="138"/>
      <c r="E62" s="157"/>
      <c r="F62" s="12"/>
      <c r="G62" s="158"/>
    </row>
    <row r="63">
      <c r="A63" s="138"/>
      <c r="B63" s="138"/>
      <c r="C63" s="138"/>
      <c r="D63" s="138"/>
      <c r="E63" s="157"/>
      <c r="F63" s="12"/>
      <c r="G63" s="158"/>
    </row>
    <row r="64">
      <c r="A64" s="153"/>
      <c r="B64" s="229"/>
      <c r="C64" s="230"/>
      <c r="D64" s="231"/>
      <c r="E64" s="157"/>
      <c r="F64" s="12"/>
      <c r="G64" s="158"/>
    </row>
    <row r="65">
      <c r="A65" s="153"/>
      <c r="B65" s="229"/>
      <c r="C65" s="230"/>
      <c r="D65" s="231"/>
      <c r="E65" s="157"/>
      <c r="F65" s="12"/>
      <c r="G65" s="158"/>
    </row>
    <row r="66">
      <c r="A66" s="153"/>
      <c r="B66" s="229"/>
      <c r="C66" s="230"/>
      <c r="D66" s="231"/>
      <c r="E66" s="157"/>
      <c r="F66" s="12"/>
      <c r="G66" s="158"/>
    </row>
    <row r="67">
      <c r="A67" s="153"/>
      <c r="B67" s="229"/>
      <c r="C67" s="230"/>
      <c r="D67" s="231"/>
      <c r="E67" s="157"/>
      <c r="F67" s="12"/>
      <c r="G67" s="158"/>
    </row>
    <row r="68">
      <c r="A68" s="153"/>
      <c r="B68" s="229"/>
      <c r="C68" s="230"/>
      <c r="D68" s="231"/>
      <c r="E68" s="157"/>
      <c r="F68" s="12"/>
      <c r="G68" s="158"/>
    </row>
    <row r="69">
      <c r="A69" s="153"/>
      <c r="B69" s="229"/>
      <c r="C69" s="230"/>
      <c r="D69" s="231"/>
      <c r="E69" s="157"/>
      <c r="F69" s="12"/>
      <c r="G69" s="158"/>
    </row>
    <row r="70">
      <c r="A70" s="153"/>
      <c r="B70" s="229"/>
      <c r="C70" s="230"/>
      <c r="D70" s="231"/>
      <c r="E70" s="157"/>
      <c r="F70" s="12"/>
      <c r="G70" s="158"/>
    </row>
    <row r="71">
      <c r="A71" s="153"/>
      <c r="B71" s="229"/>
      <c r="C71" s="230"/>
      <c r="D71" s="231"/>
      <c r="E71" s="157"/>
      <c r="F71" s="12"/>
      <c r="G71" s="158"/>
    </row>
    <row r="72">
      <c r="A72" s="153"/>
      <c r="B72" s="229"/>
      <c r="C72" s="230"/>
      <c r="D72" s="231"/>
      <c r="E72" s="157"/>
      <c r="F72" s="12"/>
      <c r="G72" s="158"/>
    </row>
    <row r="73">
      <c r="A73" s="153"/>
      <c r="B73" s="229"/>
      <c r="C73" s="230"/>
      <c r="D73" s="231"/>
      <c r="E73" s="157"/>
      <c r="F73" s="12"/>
      <c r="G73" s="158"/>
    </row>
    <row r="74">
      <c r="A74" s="153"/>
      <c r="B74" s="229"/>
      <c r="C74" s="230"/>
      <c r="D74" s="231"/>
      <c r="E74" s="157"/>
      <c r="F74" s="12"/>
      <c r="G74" s="158"/>
    </row>
    <row r="75">
      <c r="A75" s="153"/>
      <c r="B75" s="229"/>
      <c r="C75" s="230"/>
      <c r="D75" s="231"/>
      <c r="E75" s="157"/>
      <c r="F75" s="12"/>
      <c r="G75" s="158"/>
    </row>
    <row r="76">
      <c r="A76" s="153"/>
      <c r="B76" s="229"/>
      <c r="C76" s="230"/>
      <c r="D76" s="231"/>
      <c r="E76" s="157"/>
      <c r="F76" s="12"/>
      <c r="G76" s="158"/>
    </row>
    <row r="77">
      <c r="A77" s="153"/>
      <c r="B77" s="229"/>
      <c r="C77" s="230"/>
      <c r="D77" s="231"/>
      <c r="E77" s="157"/>
      <c r="F77" s="12"/>
      <c r="G77" s="158"/>
    </row>
    <row r="78">
      <c r="A78" s="153"/>
      <c r="B78" s="229"/>
      <c r="C78" s="230"/>
      <c r="D78" s="231"/>
      <c r="E78" s="157"/>
      <c r="F78" s="12"/>
      <c r="G78" s="158"/>
    </row>
    <row r="79">
      <c r="A79" s="153"/>
      <c r="B79" s="229"/>
      <c r="C79" s="230"/>
      <c r="D79" s="231"/>
      <c r="E79" s="157"/>
      <c r="F79" s="12"/>
      <c r="G79" s="158"/>
    </row>
    <row r="80">
      <c r="A80" s="153"/>
      <c r="B80" s="229"/>
      <c r="C80" s="230"/>
      <c r="D80" s="231"/>
      <c r="E80" s="157"/>
      <c r="F80" s="12"/>
      <c r="G80" s="158"/>
    </row>
    <row r="81">
      <c r="A81" s="153"/>
      <c r="B81" s="229"/>
      <c r="C81" s="230"/>
      <c r="D81" s="231"/>
      <c r="E81" s="157"/>
      <c r="F81" s="12"/>
      <c r="G81" s="158"/>
    </row>
    <row r="82">
      <c r="A82" s="153"/>
      <c r="B82" s="229"/>
      <c r="C82" s="230"/>
      <c r="D82" s="231"/>
      <c r="E82" s="157"/>
      <c r="F82" s="12"/>
      <c r="G82" s="158"/>
    </row>
    <row r="83">
      <c r="A83" s="153"/>
      <c r="B83" s="229"/>
      <c r="C83" s="230"/>
      <c r="D83" s="231"/>
      <c r="E83" s="157"/>
      <c r="F83" s="12"/>
      <c r="G83" s="158"/>
    </row>
    <row r="84">
      <c r="A84" s="153"/>
      <c r="B84" s="229"/>
      <c r="C84" s="230"/>
      <c r="D84" s="231"/>
      <c r="E84" s="157"/>
      <c r="F84" s="12"/>
      <c r="G84" s="158"/>
    </row>
    <row r="85">
      <c r="A85" s="153"/>
      <c r="B85" s="229"/>
      <c r="C85" s="230"/>
      <c r="D85" s="231"/>
      <c r="E85" s="157"/>
      <c r="F85" s="12"/>
      <c r="G85" s="158"/>
    </row>
    <row r="86">
      <c r="A86" s="153"/>
      <c r="B86" s="229"/>
      <c r="C86" s="230"/>
      <c r="D86" s="231"/>
      <c r="E86" s="157"/>
      <c r="F86" s="12"/>
      <c r="G86" s="158"/>
    </row>
    <row r="87">
      <c r="A87" s="153"/>
      <c r="B87" s="229"/>
      <c r="C87" s="230"/>
      <c r="D87" s="231"/>
      <c r="E87" s="157"/>
      <c r="F87" s="12"/>
      <c r="G87" s="158"/>
    </row>
    <row r="88">
      <c r="A88" s="153"/>
      <c r="B88" s="229"/>
      <c r="C88" s="230"/>
      <c r="D88" s="231"/>
      <c r="E88" s="157"/>
      <c r="F88" s="12"/>
      <c r="G88" s="158"/>
    </row>
    <row r="89">
      <c r="A89" s="153"/>
      <c r="B89" s="229"/>
      <c r="C89" s="230"/>
      <c r="D89" s="231"/>
      <c r="E89" s="157"/>
      <c r="F89" s="12"/>
      <c r="G89" s="158"/>
    </row>
    <row r="90">
      <c r="A90" s="153"/>
      <c r="B90" s="229"/>
      <c r="C90" s="230"/>
      <c r="D90" s="231"/>
      <c r="E90" s="157"/>
      <c r="F90" s="12"/>
      <c r="G90" s="158"/>
    </row>
    <row r="91">
      <c r="A91" s="153"/>
      <c r="B91" s="229"/>
      <c r="C91" s="230"/>
      <c r="D91" s="231"/>
      <c r="E91" s="157"/>
      <c r="F91" s="12"/>
      <c r="G91" s="158"/>
    </row>
    <row r="92">
      <c r="A92" s="153"/>
      <c r="B92" s="229"/>
      <c r="C92" s="230"/>
      <c r="D92" s="231"/>
      <c r="E92" s="157"/>
      <c r="F92" s="12"/>
      <c r="G92" s="158"/>
    </row>
    <row r="93">
      <c r="A93" s="153"/>
      <c r="B93" s="229"/>
      <c r="C93" s="230"/>
      <c r="D93" s="231"/>
      <c r="E93" s="157"/>
      <c r="F93" s="12"/>
      <c r="G93" s="158"/>
    </row>
    <row r="94">
      <c r="A94" s="153"/>
      <c r="B94" s="229"/>
      <c r="C94" s="230"/>
      <c r="D94" s="231"/>
      <c r="E94" s="157"/>
      <c r="F94" s="12"/>
      <c r="G94" s="158"/>
    </row>
    <row r="95">
      <c r="A95" s="153"/>
      <c r="B95" s="229"/>
      <c r="C95" s="230"/>
      <c r="D95" s="231"/>
      <c r="E95" s="157"/>
      <c r="F95" s="12"/>
      <c r="G95" s="158"/>
    </row>
    <row r="96">
      <c r="A96" s="153"/>
      <c r="B96" s="229"/>
      <c r="C96" s="230"/>
      <c r="D96" s="231"/>
      <c r="E96" s="157"/>
      <c r="F96" s="12"/>
      <c r="G96" s="158"/>
    </row>
    <row r="97">
      <c r="A97" s="153"/>
      <c r="B97" s="229"/>
      <c r="C97" s="230"/>
      <c r="D97" s="231"/>
      <c r="E97" s="157"/>
      <c r="F97" s="12"/>
      <c r="G97" s="158"/>
    </row>
    <row r="98">
      <c r="A98" s="153"/>
      <c r="B98" s="229"/>
      <c r="C98" s="230"/>
      <c r="D98" s="231"/>
      <c r="E98" s="157"/>
      <c r="F98" s="12"/>
      <c r="G98" s="158"/>
    </row>
    <row r="99">
      <c r="A99" s="153"/>
      <c r="B99" s="229"/>
      <c r="C99" s="230"/>
      <c r="D99" s="231"/>
      <c r="E99" s="157"/>
      <c r="F99" s="12"/>
      <c r="G99" s="158"/>
    </row>
    <row r="100">
      <c r="A100" s="153"/>
      <c r="B100" s="229"/>
      <c r="C100" s="230"/>
      <c r="D100" s="231"/>
      <c r="E100" s="157"/>
      <c r="F100" s="12"/>
      <c r="G100" s="158"/>
    </row>
    <row r="101">
      <c r="A101" s="153"/>
      <c r="B101" s="229"/>
      <c r="C101" s="230"/>
      <c r="D101" s="231"/>
      <c r="E101" s="157"/>
      <c r="F101" s="12"/>
      <c r="G101" s="158"/>
    </row>
    <row r="102">
      <c r="A102" s="153"/>
      <c r="B102" s="229"/>
      <c r="C102" s="230"/>
      <c r="D102" s="231"/>
      <c r="E102" s="157"/>
      <c r="F102" s="12"/>
      <c r="G102" s="158"/>
    </row>
    <row r="103">
      <c r="A103" s="153"/>
      <c r="B103" s="229"/>
      <c r="C103" s="230"/>
      <c r="D103" s="231"/>
      <c r="E103" s="157"/>
      <c r="F103" s="12"/>
      <c r="G103" s="158"/>
    </row>
    <row r="104">
      <c r="A104" s="153"/>
      <c r="B104" s="229"/>
      <c r="C104" s="230"/>
      <c r="D104" s="231"/>
      <c r="E104" s="157"/>
      <c r="F104" s="12"/>
      <c r="G104" s="158"/>
    </row>
    <row r="105">
      <c r="A105" s="153"/>
      <c r="B105" s="229"/>
      <c r="C105" s="230"/>
      <c r="D105" s="231"/>
      <c r="E105" s="157"/>
      <c r="F105" s="12"/>
      <c r="G105" s="158"/>
    </row>
    <row r="106">
      <c r="A106" s="153"/>
      <c r="B106" s="229"/>
      <c r="C106" s="230"/>
      <c r="D106" s="231"/>
      <c r="E106" s="157"/>
      <c r="F106" s="12"/>
      <c r="G106" s="158"/>
    </row>
    <row r="107">
      <c r="A107" s="153"/>
      <c r="B107" s="229"/>
      <c r="C107" s="230"/>
      <c r="D107" s="231"/>
      <c r="E107" s="157"/>
      <c r="F107" s="12"/>
      <c r="G107" s="158"/>
    </row>
    <row r="108">
      <c r="A108" s="153"/>
      <c r="B108" s="229"/>
      <c r="C108" s="230"/>
      <c r="D108" s="231"/>
      <c r="E108" s="157"/>
      <c r="F108" s="12"/>
      <c r="G108" s="158"/>
    </row>
    <row r="109">
      <c r="A109" s="153"/>
      <c r="B109" s="229"/>
      <c r="C109" s="230"/>
      <c r="D109" s="231"/>
      <c r="E109" s="157"/>
      <c r="F109" s="12"/>
      <c r="G109" s="158"/>
    </row>
    <row r="110">
      <c r="A110" s="153"/>
      <c r="B110" s="229"/>
      <c r="C110" s="230"/>
      <c r="D110" s="231"/>
      <c r="E110" s="157"/>
      <c r="F110" s="12"/>
      <c r="G110" s="158"/>
    </row>
    <row r="111">
      <c r="A111" s="153"/>
      <c r="B111" s="229"/>
      <c r="C111" s="230"/>
      <c r="D111" s="231"/>
      <c r="E111" s="157"/>
      <c r="F111" s="12"/>
      <c r="G111" s="158"/>
    </row>
    <row r="112">
      <c r="A112" s="153"/>
      <c r="B112" s="229"/>
      <c r="C112" s="230"/>
      <c r="D112" s="231"/>
      <c r="E112" s="157"/>
      <c r="F112" s="12"/>
      <c r="G112" s="158"/>
    </row>
    <row r="113">
      <c r="A113" s="153"/>
      <c r="B113" s="229"/>
      <c r="C113" s="230"/>
      <c r="D113" s="231"/>
      <c r="E113" s="157"/>
      <c r="F113" s="12"/>
      <c r="G113" s="158"/>
    </row>
    <row r="114">
      <c r="A114" s="153"/>
      <c r="B114" s="229"/>
      <c r="C114" s="230"/>
      <c r="D114" s="231"/>
      <c r="E114" s="157"/>
      <c r="F114" s="12"/>
      <c r="G114" s="158"/>
    </row>
    <row r="115">
      <c r="A115" s="153"/>
      <c r="B115" s="229"/>
      <c r="C115" s="230"/>
      <c r="D115" s="231"/>
      <c r="E115" s="157"/>
      <c r="F115" s="12"/>
      <c r="G115" s="158"/>
    </row>
    <row r="116">
      <c r="A116" s="153"/>
      <c r="B116" s="229"/>
      <c r="C116" s="230"/>
      <c r="D116" s="231"/>
      <c r="E116" s="157"/>
      <c r="F116" s="12"/>
      <c r="G116" s="158"/>
    </row>
    <row r="117">
      <c r="A117" s="153"/>
      <c r="B117" s="229"/>
      <c r="C117" s="230"/>
      <c r="D117" s="231"/>
      <c r="E117" s="157"/>
      <c r="F117" s="12"/>
      <c r="G117" s="158"/>
    </row>
    <row r="118">
      <c r="A118" s="153"/>
      <c r="B118" s="229"/>
      <c r="C118" s="230"/>
      <c r="D118" s="231"/>
      <c r="E118" s="157"/>
      <c r="F118" s="12"/>
      <c r="G118" s="158"/>
    </row>
    <row r="119">
      <c r="A119" s="153"/>
      <c r="B119" s="229"/>
      <c r="C119" s="230"/>
      <c r="D119" s="231"/>
      <c r="E119" s="157"/>
      <c r="F119" s="12"/>
      <c r="G119" s="158"/>
    </row>
    <row r="120">
      <c r="A120" s="153"/>
      <c r="B120" s="229"/>
      <c r="C120" s="230"/>
      <c r="D120" s="231"/>
      <c r="E120" s="157"/>
      <c r="F120" s="12"/>
      <c r="G120" s="158"/>
    </row>
    <row r="121">
      <c r="A121" s="153"/>
      <c r="B121" s="229"/>
      <c r="C121" s="230"/>
      <c r="D121" s="231"/>
      <c r="E121" s="157"/>
      <c r="F121" s="12"/>
      <c r="G121" s="158"/>
    </row>
    <row r="122">
      <c r="A122" s="153"/>
      <c r="B122" s="229"/>
      <c r="C122" s="230"/>
      <c r="D122" s="231"/>
      <c r="E122" s="157"/>
      <c r="F122" s="12"/>
      <c r="G122" s="158"/>
    </row>
    <row r="123">
      <c r="A123" s="153"/>
      <c r="B123" s="229"/>
      <c r="C123" s="230"/>
      <c r="D123" s="231"/>
      <c r="E123" s="157"/>
      <c r="F123" s="12"/>
      <c r="G123" s="158"/>
    </row>
    <row r="124">
      <c r="A124" s="153"/>
      <c r="B124" s="229"/>
      <c r="C124" s="230"/>
      <c r="D124" s="231"/>
      <c r="E124" s="157"/>
      <c r="F124" s="12"/>
      <c r="G124" s="158"/>
    </row>
    <row r="125">
      <c r="A125" s="153"/>
      <c r="B125" s="229"/>
      <c r="C125" s="230"/>
      <c r="D125" s="231"/>
      <c r="E125" s="157"/>
      <c r="F125" s="12"/>
      <c r="G125" s="158"/>
    </row>
    <row r="126">
      <c r="A126" s="153"/>
      <c r="B126" s="229"/>
      <c r="C126" s="230"/>
      <c r="D126" s="231"/>
      <c r="E126" s="157"/>
      <c r="F126" s="12"/>
      <c r="G126" s="158"/>
    </row>
    <row r="127">
      <c r="A127" s="153"/>
      <c r="B127" s="229"/>
      <c r="C127" s="230"/>
      <c r="D127" s="231"/>
      <c r="E127" s="157"/>
      <c r="F127" s="12"/>
      <c r="G127" s="158"/>
    </row>
    <row r="128">
      <c r="A128" s="153"/>
      <c r="B128" s="229"/>
      <c r="C128" s="230"/>
      <c r="D128" s="231"/>
      <c r="E128" s="157"/>
      <c r="F128" s="12"/>
      <c r="G128" s="158"/>
    </row>
    <row r="129">
      <c r="A129" s="153"/>
      <c r="B129" s="229"/>
      <c r="C129" s="230"/>
      <c r="D129" s="231"/>
      <c r="E129" s="157"/>
      <c r="F129" s="12"/>
      <c r="G129" s="158"/>
    </row>
    <row r="130">
      <c r="A130" s="153"/>
      <c r="B130" s="229"/>
      <c r="C130" s="230"/>
      <c r="D130" s="231"/>
      <c r="E130" s="157"/>
      <c r="F130" s="12"/>
      <c r="G130" s="158"/>
    </row>
    <row r="131">
      <c r="A131" s="153"/>
      <c r="B131" s="229"/>
      <c r="C131" s="230"/>
      <c r="D131" s="231"/>
      <c r="E131" s="157"/>
      <c r="F131" s="12"/>
      <c r="G131" s="158"/>
    </row>
    <row r="132">
      <c r="A132" s="153"/>
      <c r="B132" s="229"/>
      <c r="C132" s="230"/>
      <c r="D132" s="231"/>
      <c r="E132" s="157"/>
      <c r="F132" s="12"/>
      <c r="G132" s="158"/>
    </row>
    <row r="133">
      <c r="A133" s="153"/>
      <c r="B133" s="229"/>
      <c r="C133" s="230"/>
      <c r="D133" s="231"/>
      <c r="E133" s="157"/>
      <c r="F133" s="12"/>
      <c r="G133" s="158"/>
    </row>
    <row r="134">
      <c r="A134" s="153"/>
      <c r="B134" s="229"/>
      <c r="C134" s="230"/>
      <c r="D134" s="231"/>
      <c r="E134" s="157"/>
      <c r="F134" s="12"/>
      <c r="G134" s="158"/>
    </row>
    <row r="135">
      <c r="A135" s="153"/>
      <c r="B135" s="229"/>
      <c r="C135" s="230"/>
      <c r="D135" s="231"/>
      <c r="E135" s="157"/>
      <c r="F135" s="12"/>
      <c r="G135" s="158"/>
    </row>
    <row r="136">
      <c r="A136" s="153"/>
      <c r="B136" s="229"/>
      <c r="C136" s="230"/>
      <c r="D136" s="231"/>
      <c r="E136" s="157"/>
      <c r="F136" s="12"/>
      <c r="G136" s="158"/>
    </row>
    <row r="137">
      <c r="A137" s="153"/>
      <c r="B137" s="229"/>
      <c r="C137" s="230"/>
      <c r="D137" s="231"/>
      <c r="E137" s="157"/>
      <c r="F137" s="12"/>
      <c r="G137" s="158"/>
    </row>
    <row r="138">
      <c r="A138" s="153"/>
      <c r="B138" s="229"/>
      <c r="C138" s="230"/>
      <c r="D138" s="231"/>
      <c r="E138" s="157"/>
      <c r="F138" s="12"/>
      <c r="G138" s="158"/>
    </row>
    <row r="139">
      <c r="A139" s="153"/>
      <c r="B139" s="229"/>
      <c r="C139" s="230"/>
      <c r="D139" s="231"/>
      <c r="E139" s="157"/>
      <c r="F139" s="12"/>
      <c r="G139" s="158"/>
    </row>
    <row r="140">
      <c r="A140" s="153"/>
      <c r="B140" s="229"/>
      <c r="C140" s="230"/>
      <c r="D140" s="231"/>
      <c r="E140" s="157"/>
      <c r="F140" s="12"/>
      <c r="G140" s="158"/>
    </row>
    <row r="141">
      <c r="A141" s="153"/>
      <c r="B141" s="229"/>
      <c r="C141" s="230"/>
      <c r="D141" s="231"/>
      <c r="E141" s="157"/>
      <c r="F141" s="12"/>
      <c r="G141" s="158"/>
    </row>
    <row r="142">
      <c r="A142" s="153"/>
      <c r="B142" s="229"/>
      <c r="C142" s="230"/>
      <c r="D142" s="231"/>
      <c r="E142" s="157"/>
      <c r="F142" s="12"/>
      <c r="G142" s="158"/>
    </row>
    <row r="143">
      <c r="A143" s="153"/>
      <c r="B143" s="229"/>
      <c r="C143" s="230"/>
      <c r="D143" s="231"/>
      <c r="E143" s="157"/>
      <c r="F143" s="12"/>
      <c r="G143" s="158"/>
    </row>
    <row r="144">
      <c r="A144" s="153"/>
      <c r="B144" s="229"/>
      <c r="C144" s="230"/>
      <c r="D144" s="231"/>
      <c r="E144" s="157"/>
      <c r="F144" s="12"/>
      <c r="G144" s="158"/>
    </row>
    <row r="145">
      <c r="A145" s="153"/>
      <c r="B145" s="229"/>
      <c r="C145" s="230"/>
      <c r="D145" s="231"/>
      <c r="E145" s="157"/>
      <c r="F145" s="12"/>
      <c r="G145" s="158"/>
    </row>
    <row r="146">
      <c r="A146" s="153"/>
      <c r="B146" s="229"/>
      <c r="C146" s="230"/>
      <c r="D146" s="231"/>
      <c r="E146" s="157"/>
      <c r="F146" s="12"/>
      <c r="G146" s="158"/>
    </row>
    <row r="147">
      <c r="A147" s="153"/>
      <c r="B147" s="229"/>
      <c r="C147" s="230"/>
      <c r="D147" s="231"/>
      <c r="E147" s="157"/>
      <c r="F147" s="12"/>
      <c r="G147" s="158"/>
    </row>
    <row r="148">
      <c r="A148" s="153"/>
      <c r="B148" s="229"/>
      <c r="C148" s="230"/>
      <c r="D148" s="231"/>
      <c r="E148" s="157"/>
      <c r="F148" s="12"/>
      <c r="G148" s="158"/>
    </row>
    <row r="149">
      <c r="A149" s="153"/>
      <c r="B149" s="229"/>
      <c r="C149" s="230"/>
      <c r="D149" s="231"/>
      <c r="E149" s="157"/>
      <c r="F149" s="12"/>
      <c r="G149" s="158"/>
    </row>
    <row r="150">
      <c r="A150" s="153"/>
      <c r="B150" s="229"/>
      <c r="C150" s="230"/>
      <c r="D150" s="231"/>
      <c r="E150" s="157"/>
      <c r="F150" s="12"/>
      <c r="G150" s="158"/>
    </row>
    <row r="151">
      <c r="A151" s="153"/>
      <c r="B151" s="229"/>
      <c r="C151" s="230"/>
      <c r="D151" s="231"/>
      <c r="E151" s="157"/>
      <c r="F151" s="12"/>
      <c r="G151" s="158"/>
    </row>
    <row r="152">
      <c r="A152" s="153"/>
      <c r="B152" s="229"/>
      <c r="C152" s="230"/>
      <c r="D152" s="231"/>
      <c r="E152" s="157"/>
      <c r="F152" s="12"/>
      <c r="G152" s="158"/>
    </row>
    <row r="153">
      <c r="A153" s="153"/>
      <c r="B153" s="229"/>
      <c r="C153" s="230"/>
      <c r="D153" s="231"/>
      <c r="E153" s="157"/>
      <c r="F153" s="12"/>
      <c r="G153" s="158"/>
    </row>
    <row r="154">
      <c r="A154" s="153"/>
      <c r="B154" s="229"/>
      <c r="C154" s="230"/>
      <c r="D154" s="231"/>
      <c r="E154" s="157"/>
      <c r="F154" s="12"/>
      <c r="G154" s="158"/>
    </row>
    <row r="155">
      <c r="A155" s="153"/>
      <c r="B155" s="229"/>
      <c r="C155" s="230"/>
      <c r="D155" s="231"/>
      <c r="E155" s="157"/>
      <c r="F155" s="12"/>
      <c r="G155" s="158"/>
    </row>
    <row r="156">
      <c r="A156" s="153"/>
      <c r="B156" s="229"/>
      <c r="C156" s="230"/>
      <c r="D156" s="231"/>
      <c r="E156" s="157"/>
      <c r="F156" s="12"/>
      <c r="G156" s="158"/>
    </row>
    <row r="157">
      <c r="A157" s="153"/>
      <c r="B157" s="229"/>
      <c r="C157" s="230"/>
      <c r="D157" s="231"/>
      <c r="E157" s="157"/>
      <c r="F157" s="12"/>
      <c r="G157" s="158"/>
    </row>
    <row r="158">
      <c r="A158" s="153"/>
      <c r="B158" s="229"/>
      <c r="C158" s="230"/>
      <c r="D158" s="231"/>
      <c r="E158" s="157"/>
      <c r="F158" s="12"/>
      <c r="G158" s="158"/>
    </row>
    <row r="159">
      <c r="A159" s="153"/>
      <c r="B159" s="229"/>
      <c r="C159" s="230"/>
      <c r="D159" s="231"/>
      <c r="E159" s="157"/>
      <c r="F159" s="12"/>
      <c r="G159" s="158"/>
    </row>
    <row r="160">
      <c r="A160" s="153"/>
      <c r="B160" s="229"/>
      <c r="C160" s="230"/>
      <c r="D160" s="231"/>
      <c r="E160" s="157"/>
      <c r="F160" s="12"/>
      <c r="G160" s="158"/>
    </row>
    <row r="161">
      <c r="A161" s="153"/>
      <c r="B161" s="229"/>
      <c r="C161" s="230"/>
      <c r="D161" s="231"/>
      <c r="E161" s="157"/>
      <c r="F161" s="12"/>
      <c r="G161" s="158"/>
    </row>
    <row r="162">
      <c r="A162" s="153"/>
      <c r="B162" s="229"/>
      <c r="C162" s="230"/>
      <c r="D162" s="231"/>
      <c r="E162" s="157"/>
      <c r="F162" s="12"/>
      <c r="G162" s="158"/>
    </row>
    <row r="163">
      <c r="A163" s="153"/>
      <c r="B163" s="229"/>
      <c r="C163" s="230"/>
      <c r="D163" s="231"/>
      <c r="E163" s="157"/>
      <c r="F163" s="12"/>
      <c r="G163" s="158"/>
    </row>
    <row r="164">
      <c r="A164" s="153"/>
      <c r="B164" s="229"/>
      <c r="C164" s="230"/>
      <c r="D164" s="231"/>
      <c r="E164" s="157"/>
      <c r="F164" s="12"/>
      <c r="G164" s="158"/>
    </row>
    <row r="165">
      <c r="A165" s="153"/>
      <c r="B165" s="229"/>
      <c r="C165" s="230"/>
      <c r="D165" s="231"/>
      <c r="E165" s="157"/>
      <c r="F165" s="12"/>
      <c r="G165" s="158"/>
    </row>
    <row r="166">
      <c r="A166" s="153"/>
      <c r="B166" s="229"/>
      <c r="C166" s="230"/>
      <c r="D166" s="231"/>
      <c r="E166" s="157"/>
      <c r="F166" s="12"/>
      <c r="G166" s="158"/>
    </row>
    <row r="167">
      <c r="A167" s="153"/>
      <c r="B167" s="229"/>
      <c r="C167" s="230"/>
      <c r="D167" s="231"/>
      <c r="E167" s="157"/>
      <c r="F167" s="12"/>
      <c r="G167" s="158"/>
    </row>
    <row r="168">
      <c r="A168" s="153"/>
      <c r="B168" s="229"/>
      <c r="C168" s="230"/>
      <c r="D168" s="231"/>
      <c r="E168" s="157"/>
      <c r="F168" s="12"/>
      <c r="G168" s="158"/>
    </row>
    <row r="169">
      <c r="A169" s="153"/>
      <c r="B169" s="229"/>
      <c r="C169" s="230"/>
      <c r="D169" s="231"/>
      <c r="E169" s="157"/>
      <c r="F169" s="12"/>
      <c r="G169" s="158"/>
    </row>
    <row r="170">
      <c r="A170" s="153"/>
      <c r="B170" s="229"/>
      <c r="C170" s="230"/>
      <c r="D170" s="231"/>
      <c r="E170" s="157"/>
      <c r="F170" s="12"/>
      <c r="G170" s="158"/>
    </row>
    <row r="171">
      <c r="A171" s="153"/>
      <c r="B171" s="229"/>
      <c r="C171" s="230"/>
      <c r="D171" s="231"/>
      <c r="E171" s="157"/>
      <c r="F171" s="12"/>
      <c r="G171" s="158"/>
    </row>
    <row r="172">
      <c r="A172" s="153"/>
      <c r="B172" s="229"/>
      <c r="C172" s="230"/>
      <c r="D172" s="231"/>
      <c r="E172" s="157"/>
      <c r="F172" s="12"/>
      <c r="G172" s="158"/>
    </row>
    <row r="173">
      <c r="A173" s="153"/>
      <c r="B173" s="229"/>
      <c r="C173" s="230"/>
      <c r="D173" s="231"/>
      <c r="E173" s="157"/>
      <c r="F173" s="12"/>
      <c r="G173" s="158"/>
    </row>
    <row r="174">
      <c r="A174" s="153"/>
      <c r="B174" s="229"/>
      <c r="C174" s="230"/>
      <c r="D174" s="231"/>
      <c r="E174" s="157"/>
      <c r="F174" s="12"/>
      <c r="G174" s="158"/>
    </row>
    <row r="175">
      <c r="A175" s="153"/>
      <c r="B175" s="229"/>
      <c r="C175" s="230"/>
      <c r="D175" s="231"/>
      <c r="E175" s="157"/>
      <c r="F175" s="12"/>
      <c r="G175" s="158"/>
    </row>
    <row r="176">
      <c r="A176" s="153"/>
      <c r="B176" s="229"/>
      <c r="C176" s="230"/>
      <c r="D176" s="231"/>
      <c r="E176" s="157"/>
      <c r="F176" s="12"/>
      <c r="G176" s="158"/>
    </row>
    <row r="177">
      <c r="A177" s="153"/>
      <c r="B177" s="229"/>
      <c r="C177" s="230"/>
      <c r="D177" s="231"/>
      <c r="E177" s="157"/>
      <c r="F177" s="12"/>
      <c r="G177" s="158"/>
    </row>
    <row r="178">
      <c r="A178" s="153"/>
      <c r="B178" s="229"/>
      <c r="C178" s="230"/>
      <c r="D178" s="231"/>
      <c r="E178" s="157"/>
      <c r="F178" s="12"/>
      <c r="G178" s="158"/>
    </row>
    <row r="179">
      <c r="A179" s="153"/>
      <c r="B179" s="229"/>
      <c r="C179" s="230"/>
      <c r="D179" s="231"/>
      <c r="E179" s="157"/>
      <c r="F179" s="12"/>
      <c r="G179" s="158"/>
    </row>
    <row r="180">
      <c r="A180" s="153"/>
      <c r="B180" s="229"/>
      <c r="C180" s="230"/>
      <c r="D180" s="231"/>
      <c r="E180" s="157"/>
      <c r="F180" s="12"/>
      <c r="G180" s="158"/>
    </row>
    <row r="181">
      <c r="A181" s="153"/>
      <c r="B181" s="229"/>
      <c r="C181" s="230"/>
      <c r="D181" s="231"/>
      <c r="E181" s="157"/>
      <c r="F181" s="12"/>
      <c r="G181" s="158"/>
    </row>
    <row r="182">
      <c r="A182" s="153"/>
      <c r="B182" s="229"/>
      <c r="C182" s="230"/>
      <c r="D182" s="231"/>
      <c r="E182" s="157"/>
      <c r="F182" s="12"/>
      <c r="G182" s="158"/>
    </row>
    <row r="183">
      <c r="A183" s="153"/>
      <c r="B183" s="229"/>
      <c r="C183" s="230"/>
      <c r="D183" s="231"/>
      <c r="E183" s="157"/>
      <c r="F183" s="12"/>
      <c r="G183" s="158"/>
    </row>
    <row r="184">
      <c r="A184" s="153"/>
      <c r="B184" s="229"/>
      <c r="C184" s="230"/>
      <c r="D184" s="231"/>
      <c r="E184" s="157"/>
      <c r="F184" s="12"/>
      <c r="G184" s="158"/>
    </row>
    <row r="185">
      <c r="A185" s="153"/>
      <c r="B185" s="229"/>
      <c r="C185" s="230"/>
      <c r="D185" s="231"/>
      <c r="E185" s="157"/>
      <c r="F185" s="12"/>
      <c r="G185" s="158"/>
    </row>
    <row r="186">
      <c r="A186" s="153"/>
      <c r="B186" s="229"/>
      <c r="C186" s="230"/>
      <c r="D186" s="231"/>
      <c r="E186" s="157"/>
      <c r="F186" s="12"/>
      <c r="G186" s="158"/>
    </row>
    <row r="187">
      <c r="A187" s="153"/>
      <c r="B187" s="229"/>
      <c r="C187" s="230"/>
      <c r="D187" s="231"/>
      <c r="E187" s="157"/>
      <c r="F187" s="12"/>
      <c r="G187" s="158"/>
    </row>
    <row r="188">
      <c r="A188" s="153"/>
      <c r="B188" s="229"/>
      <c r="C188" s="230"/>
      <c r="D188" s="231"/>
      <c r="E188" s="157"/>
      <c r="F188" s="12"/>
      <c r="G188" s="158"/>
    </row>
    <row r="189">
      <c r="A189" s="153"/>
      <c r="B189" s="229"/>
      <c r="C189" s="230"/>
      <c r="D189" s="231"/>
      <c r="E189" s="157"/>
      <c r="F189" s="12"/>
      <c r="G189" s="158"/>
    </row>
    <row r="190">
      <c r="A190" s="153"/>
      <c r="B190" s="229"/>
      <c r="C190" s="230"/>
      <c r="D190" s="231"/>
      <c r="E190" s="157"/>
      <c r="F190" s="12"/>
      <c r="G190" s="158"/>
    </row>
    <row r="191">
      <c r="A191" s="153"/>
      <c r="B191" s="229"/>
      <c r="C191" s="230"/>
      <c r="D191" s="231"/>
      <c r="E191" s="157"/>
      <c r="F191" s="12"/>
      <c r="G191" s="158"/>
    </row>
    <row r="192">
      <c r="A192" s="153"/>
      <c r="B192" s="229"/>
      <c r="C192" s="230"/>
      <c r="D192" s="231"/>
      <c r="E192" s="157"/>
      <c r="F192" s="12"/>
      <c r="G192" s="158"/>
    </row>
    <row r="193">
      <c r="A193" s="153"/>
      <c r="B193" s="229"/>
      <c r="C193" s="230"/>
      <c r="D193" s="231"/>
      <c r="E193" s="157"/>
      <c r="F193" s="12"/>
      <c r="G193" s="158"/>
    </row>
    <row r="194">
      <c r="A194" s="153"/>
      <c r="B194" s="229"/>
      <c r="C194" s="230"/>
      <c r="D194" s="231"/>
      <c r="E194" s="157"/>
      <c r="F194" s="12"/>
      <c r="G194" s="158"/>
    </row>
    <row r="195">
      <c r="A195" s="153"/>
      <c r="B195" s="229"/>
      <c r="C195" s="230"/>
      <c r="D195" s="231"/>
      <c r="E195" s="157"/>
      <c r="F195" s="12"/>
      <c r="G195" s="158"/>
    </row>
    <row r="196">
      <c r="A196" s="153"/>
      <c r="B196" s="229"/>
      <c r="C196" s="230"/>
      <c r="D196" s="231"/>
      <c r="E196" s="157"/>
      <c r="F196" s="12"/>
      <c r="G196" s="158"/>
    </row>
    <row r="197">
      <c r="A197" s="153"/>
      <c r="B197" s="229"/>
      <c r="C197" s="230"/>
      <c r="D197" s="231"/>
      <c r="E197" s="157"/>
      <c r="F197" s="12"/>
      <c r="G197" s="158"/>
    </row>
    <row r="198">
      <c r="A198" s="153"/>
      <c r="B198" s="229"/>
      <c r="C198" s="230"/>
      <c r="D198" s="231"/>
      <c r="E198" s="157"/>
      <c r="F198" s="12"/>
      <c r="G198" s="158"/>
    </row>
    <row r="199">
      <c r="A199" s="153"/>
      <c r="B199" s="229"/>
      <c r="C199" s="230"/>
      <c r="D199" s="231"/>
      <c r="E199" s="157"/>
      <c r="F199" s="12"/>
      <c r="G199" s="158"/>
    </row>
    <row r="200">
      <c r="A200" s="153"/>
      <c r="B200" s="229"/>
      <c r="C200" s="230"/>
      <c r="D200" s="231"/>
      <c r="E200" s="157"/>
      <c r="F200" s="12"/>
      <c r="G200" s="158"/>
    </row>
    <row r="201">
      <c r="A201" s="153"/>
      <c r="B201" s="229"/>
      <c r="C201" s="230"/>
      <c r="D201" s="231"/>
      <c r="E201" s="157"/>
      <c r="F201" s="12"/>
      <c r="G201" s="158"/>
    </row>
    <row r="202">
      <c r="A202" s="153"/>
      <c r="B202" s="229"/>
      <c r="C202" s="230"/>
      <c r="D202" s="231"/>
      <c r="E202" s="157"/>
      <c r="F202" s="12"/>
      <c r="G202" s="158"/>
    </row>
    <row r="203">
      <c r="A203" s="153"/>
      <c r="B203" s="229"/>
      <c r="C203" s="230"/>
      <c r="D203" s="231"/>
      <c r="E203" s="157"/>
      <c r="F203" s="12"/>
      <c r="G203" s="158"/>
    </row>
    <row r="204">
      <c r="A204" s="153"/>
      <c r="B204" s="229"/>
      <c r="C204" s="230"/>
      <c r="D204" s="231"/>
      <c r="E204" s="157"/>
      <c r="F204" s="12"/>
      <c r="G204" s="158"/>
    </row>
    <row r="205">
      <c r="A205" s="153"/>
      <c r="B205" s="229"/>
      <c r="C205" s="230"/>
      <c r="D205" s="231"/>
      <c r="E205" s="157"/>
      <c r="F205" s="12"/>
      <c r="G205" s="158"/>
    </row>
    <row r="206">
      <c r="A206" s="153"/>
      <c r="B206" s="229"/>
      <c r="C206" s="230"/>
      <c r="D206" s="231"/>
      <c r="E206" s="157"/>
      <c r="F206" s="12"/>
      <c r="G206" s="158"/>
    </row>
    <row r="207">
      <c r="A207" s="153"/>
      <c r="B207" s="229"/>
      <c r="C207" s="230"/>
      <c r="D207" s="231"/>
      <c r="E207" s="157"/>
      <c r="F207" s="12"/>
      <c r="G207" s="158"/>
    </row>
    <row r="208">
      <c r="A208" s="153"/>
      <c r="B208" s="229"/>
      <c r="C208" s="230"/>
      <c r="D208" s="231"/>
      <c r="E208" s="157"/>
      <c r="F208" s="12"/>
      <c r="G208" s="158"/>
    </row>
    <row r="209">
      <c r="A209" s="153"/>
      <c r="B209" s="229"/>
      <c r="C209" s="230"/>
      <c r="D209" s="231"/>
      <c r="E209" s="157"/>
      <c r="F209" s="12"/>
      <c r="G209" s="158"/>
    </row>
    <row r="210">
      <c r="A210" s="153"/>
      <c r="B210" s="229"/>
      <c r="C210" s="230"/>
      <c r="D210" s="231"/>
      <c r="E210" s="157"/>
      <c r="F210" s="12"/>
      <c r="G210" s="158"/>
    </row>
    <row r="211">
      <c r="A211" s="153"/>
      <c r="B211" s="229"/>
      <c r="C211" s="230"/>
      <c r="D211" s="231"/>
      <c r="E211" s="157"/>
      <c r="F211" s="12"/>
      <c r="G211" s="158"/>
    </row>
    <row r="212">
      <c r="A212" s="153"/>
      <c r="B212" s="229"/>
      <c r="C212" s="230"/>
      <c r="D212" s="231"/>
      <c r="E212" s="157"/>
      <c r="F212" s="12"/>
      <c r="G212" s="158"/>
    </row>
    <row r="213">
      <c r="A213" s="153"/>
      <c r="B213" s="229"/>
      <c r="C213" s="230"/>
      <c r="D213" s="231"/>
      <c r="E213" s="157"/>
      <c r="F213" s="12"/>
      <c r="G213" s="158"/>
    </row>
    <row r="214">
      <c r="A214" s="153"/>
      <c r="B214" s="229"/>
      <c r="C214" s="230"/>
      <c r="D214" s="231"/>
      <c r="E214" s="157"/>
      <c r="F214" s="12"/>
      <c r="G214" s="158"/>
    </row>
    <row r="215">
      <c r="A215" s="153"/>
      <c r="B215" s="229"/>
      <c r="C215" s="230"/>
      <c r="D215" s="231"/>
      <c r="E215" s="157"/>
      <c r="F215" s="12"/>
      <c r="G215" s="158"/>
    </row>
    <row r="216">
      <c r="A216" s="153"/>
      <c r="B216" s="229"/>
      <c r="C216" s="230"/>
      <c r="D216" s="231"/>
      <c r="E216" s="157"/>
      <c r="F216" s="12"/>
      <c r="G216" s="158"/>
    </row>
    <row r="217">
      <c r="A217" s="153"/>
      <c r="B217" s="229"/>
      <c r="C217" s="230"/>
      <c r="D217" s="231"/>
      <c r="E217" s="157"/>
      <c r="F217" s="12"/>
      <c r="G217" s="158"/>
    </row>
    <row r="218">
      <c r="A218" s="153"/>
      <c r="B218" s="229"/>
      <c r="C218" s="230"/>
      <c r="D218" s="231"/>
      <c r="E218" s="157"/>
      <c r="F218" s="12"/>
      <c r="G218" s="158"/>
    </row>
    <row r="219">
      <c r="A219" s="153"/>
      <c r="B219" s="229"/>
      <c r="C219" s="230"/>
      <c r="D219" s="231"/>
      <c r="E219" s="157"/>
      <c r="F219" s="12"/>
      <c r="G219" s="158"/>
    </row>
    <row r="220">
      <c r="A220" s="153"/>
      <c r="B220" s="229"/>
      <c r="C220" s="230"/>
      <c r="D220" s="231"/>
      <c r="E220" s="157"/>
      <c r="F220" s="12"/>
      <c r="G220" s="158"/>
    </row>
    <row r="221">
      <c r="A221" s="153"/>
      <c r="B221" s="229"/>
      <c r="C221" s="230"/>
      <c r="D221" s="231"/>
      <c r="E221" s="157"/>
      <c r="F221" s="12"/>
      <c r="G221" s="158"/>
    </row>
    <row r="222">
      <c r="A222" s="153"/>
      <c r="B222" s="229"/>
      <c r="C222" s="230"/>
      <c r="D222" s="231"/>
      <c r="E222" s="157"/>
      <c r="F222" s="12"/>
      <c r="G222" s="158"/>
    </row>
    <row r="223">
      <c r="A223" s="153"/>
      <c r="B223" s="229"/>
      <c r="C223" s="230"/>
      <c r="D223" s="231"/>
      <c r="E223" s="157"/>
      <c r="F223" s="12"/>
      <c r="G223" s="158"/>
    </row>
    <row r="224">
      <c r="A224" s="153"/>
      <c r="B224" s="229"/>
      <c r="C224" s="230"/>
      <c r="D224" s="231"/>
      <c r="E224" s="157"/>
      <c r="F224" s="12"/>
      <c r="G224" s="158"/>
    </row>
    <row r="225">
      <c r="A225" s="153"/>
      <c r="B225" s="229"/>
      <c r="C225" s="230"/>
      <c r="D225" s="231"/>
      <c r="E225" s="157"/>
      <c r="F225" s="12"/>
      <c r="G225" s="158"/>
    </row>
    <row r="226">
      <c r="A226" s="153"/>
      <c r="B226" s="229"/>
      <c r="C226" s="230"/>
      <c r="D226" s="231"/>
      <c r="E226" s="157"/>
      <c r="F226" s="12"/>
      <c r="G226" s="158"/>
    </row>
    <row r="227">
      <c r="A227" s="153"/>
      <c r="B227" s="229"/>
      <c r="C227" s="230"/>
      <c r="D227" s="231"/>
      <c r="E227" s="157"/>
      <c r="F227" s="12"/>
      <c r="G227" s="158"/>
    </row>
    <row r="228">
      <c r="A228" s="153"/>
      <c r="B228" s="229"/>
      <c r="C228" s="230"/>
      <c r="D228" s="231"/>
      <c r="E228" s="157"/>
      <c r="F228" s="12"/>
      <c r="G228" s="158"/>
    </row>
    <row r="229">
      <c r="A229" s="153"/>
      <c r="B229" s="229"/>
      <c r="C229" s="230"/>
      <c r="D229" s="231"/>
      <c r="E229" s="157"/>
      <c r="F229" s="12"/>
      <c r="G229" s="158"/>
    </row>
    <row r="230">
      <c r="A230" s="153"/>
      <c r="B230" s="229"/>
      <c r="C230" s="230"/>
      <c r="D230" s="231"/>
      <c r="E230" s="157"/>
      <c r="F230" s="12"/>
      <c r="G230" s="158"/>
    </row>
    <row r="231">
      <c r="A231" s="153"/>
      <c r="B231" s="229"/>
      <c r="C231" s="230"/>
      <c r="D231" s="231"/>
      <c r="E231" s="157"/>
      <c r="F231" s="12"/>
      <c r="G231" s="158"/>
    </row>
    <row r="232">
      <c r="A232" s="153"/>
      <c r="B232" s="229"/>
      <c r="C232" s="230"/>
      <c r="D232" s="231"/>
      <c r="E232" s="157"/>
      <c r="F232" s="12"/>
      <c r="G232" s="158"/>
    </row>
    <row r="233">
      <c r="A233" s="153"/>
      <c r="B233" s="229"/>
      <c r="C233" s="230"/>
      <c r="D233" s="231"/>
      <c r="E233" s="157"/>
      <c r="F233" s="12"/>
      <c r="G233" s="158"/>
    </row>
    <row r="234">
      <c r="A234" s="153"/>
      <c r="B234" s="229"/>
      <c r="C234" s="230"/>
      <c r="D234" s="231"/>
      <c r="E234" s="157"/>
      <c r="F234" s="12"/>
      <c r="G234" s="158"/>
    </row>
    <row r="235">
      <c r="A235" s="153"/>
      <c r="B235" s="229"/>
      <c r="C235" s="230"/>
      <c r="D235" s="231"/>
      <c r="E235" s="157"/>
      <c r="F235" s="12"/>
      <c r="G235" s="158"/>
    </row>
    <row r="236">
      <c r="A236" s="153"/>
      <c r="B236" s="229"/>
      <c r="C236" s="230"/>
      <c r="D236" s="231"/>
      <c r="E236" s="157"/>
      <c r="F236" s="12"/>
      <c r="G236" s="158"/>
    </row>
    <row r="237">
      <c r="A237" s="153"/>
      <c r="B237" s="229"/>
      <c r="C237" s="230"/>
      <c r="D237" s="231"/>
      <c r="E237" s="157"/>
      <c r="F237" s="12"/>
      <c r="G237" s="158"/>
    </row>
    <row r="238">
      <c r="A238" s="153"/>
      <c r="B238" s="229"/>
      <c r="C238" s="230"/>
      <c r="D238" s="231"/>
      <c r="E238" s="157"/>
      <c r="F238" s="12"/>
      <c r="G238" s="158"/>
    </row>
    <row r="239">
      <c r="A239" s="153"/>
      <c r="B239" s="229"/>
      <c r="C239" s="230"/>
      <c r="D239" s="231"/>
      <c r="E239" s="157"/>
      <c r="F239" s="12"/>
      <c r="G239" s="158"/>
    </row>
    <row r="240">
      <c r="A240" s="153"/>
      <c r="B240" s="229"/>
      <c r="C240" s="230"/>
      <c r="D240" s="231"/>
      <c r="E240" s="157"/>
      <c r="F240" s="12"/>
      <c r="G240" s="158"/>
    </row>
    <row r="241">
      <c r="A241" s="153"/>
      <c r="B241" s="229"/>
      <c r="C241" s="230"/>
      <c r="D241" s="231"/>
      <c r="E241" s="157"/>
      <c r="F241" s="12"/>
      <c r="G241" s="158"/>
    </row>
    <row r="242">
      <c r="A242" s="153"/>
      <c r="B242" s="229"/>
      <c r="C242" s="230"/>
      <c r="D242" s="231"/>
      <c r="E242" s="157"/>
      <c r="F242" s="12"/>
      <c r="G242" s="158"/>
    </row>
    <row r="243">
      <c r="A243" s="153"/>
      <c r="B243" s="229"/>
      <c r="C243" s="230"/>
      <c r="D243" s="231"/>
      <c r="E243" s="157"/>
      <c r="F243" s="12"/>
      <c r="G243" s="158"/>
    </row>
    <row r="244">
      <c r="A244" s="153"/>
      <c r="B244" s="229"/>
      <c r="C244" s="230"/>
      <c r="D244" s="231"/>
      <c r="E244" s="157"/>
      <c r="F244" s="12"/>
      <c r="G244" s="158"/>
    </row>
    <row r="245">
      <c r="A245" s="153"/>
      <c r="B245" s="229"/>
      <c r="C245" s="230"/>
      <c r="D245" s="231"/>
      <c r="E245" s="157"/>
      <c r="F245" s="12"/>
      <c r="G245" s="158"/>
    </row>
    <row r="246">
      <c r="A246" s="153"/>
      <c r="B246" s="229"/>
      <c r="C246" s="230"/>
      <c r="D246" s="231"/>
      <c r="E246" s="157"/>
      <c r="F246" s="12"/>
      <c r="G246" s="158"/>
    </row>
    <row r="247">
      <c r="A247" s="153"/>
      <c r="B247" s="229"/>
      <c r="C247" s="230"/>
      <c r="D247" s="231"/>
      <c r="E247" s="157"/>
      <c r="F247" s="12"/>
      <c r="G247" s="158"/>
    </row>
    <row r="248">
      <c r="A248" s="153"/>
      <c r="B248" s="229"/>
      <c r="C248" s="230"/>
      <c r="D248" s="231"/>
      <c r="E248" s="157"/>
      <c r="F248" s="12"/>
      <c r="G248" s="158"/>
    </row>
    <row r="249">
      <c r="A249" s="153"/>
      <c r="B249" s="229"/>
      <c r="C249" s="230"/>
      <c r="D249" s="231"/>
      <c r="E249" s="157"/>
      <c r="F249" s="12"/>
      <c r="G249" s="158"/>
    </row>
    <row r="250">
      <c r="A250" s="153"/>
      <c r="B250" s="229"/>
      <c r="C250" s="230"/>
      <c r="D250" s="231"/>
      <c r="E250" s="157"/>
      <c r="F250" s="12"/>
      <c r="G250" s="158"/>
    </row>
    <row r="251">
      <c r="A251" s="153"/>
      <c r="B251" s="229"/>
      <c r="C251" s="230"/>
      <c r="D251" s="231"/>
      <c r="E251" s="157"/>
      <c r="F251" s="12"/>
      <c r="G251" s="158"/>
    </row>
    <row r="252">
      <c r="A252" s="153"/>
      <c r="B252" s="229"/>
      <c r="C252" s="230"/>
      <c r="D252" s="231"/>
      <c r="E252" s="157"/>
      <c r="F252" s="12"/>
      <c r="G252" s="158"/>
    </row>
    <row r="253">
      <c r="A253" s="153"/>
      <c r="B253" s="229"/>
      <c r="C253" s="230"/>
      <c r="D253" s="231"/>
      <c r="E253" s="157"/>
      <c r="F253" s="12"/>
      <c r="G253" s="158"/>
    </row>
    <row r="254">
      <c r="A254" s="153"/>
      <c r="B254" s="229"/>
      <c r="C254" s="230"/>
      <c r="D254" s="231"/>
      <c r="E254" s="157"/>
      <c r="F254" s="12"/>
      <c r="G254" s="158"/>
    </row>
    <row r="255">
      <c r="A255" s="153"/>
      <c r="B255" s="229"/>
      <c r="C255" s="230"/>
      <c r="D255" s="231"/>
      <c r="E255" s="157"/>
      <c r="F255" s="12"/>
      <c r="G255" s="158"/>
    </row>
    <row r="256">
      <c r="A256" s="153"/>
      <c r="B256" s="229"/>
      <c r="C256" s="230"/>
      <c r="D256" s="231"/>
      <c r="E256" s="157"/>
      <c r="F256" s="12"/>
      <c r="G256" s="158"/>
    </row>
    <row r="257">
      <c r="A257" s="153"/>
      <c r="B257" s="229"/>
      <c r="C257" s="230"/>
      <c r="D257" s="231"/>
      <c r="E257" s="157"/>
      <c r="F257" s="12"/>
      <c r="G257" s="158"/>
    </row>
    <row r="258">
      <c r="A258" s="153"/>
      <c r="B258" s="229"/>
      <c r="C258" s="230"/>
      <c r="D258" s="231"/>
      <c r="E258" s="157"/>
      <c r="F258" s="12"/>
      <c r="G258" s="158"/>
    </row>
    <row r="259">
      <c r="A259" s="153"/>
      <c r="B259" s="229"/>
      <c r="C259" s="230"/>
      <c r="D259" s="231"/>
      <c r="E259" s="157"/>
      <c r="F259" s="12"/>
      <c r="G259" s="158"/>
    </row>
    <row r="260">
      <c r="A260" s="153"/>
      <c r="B260" s="229"/>
      <c r="C260" s="230"/>
      <c r="D260" s="231"/>
      <c r="E260" s="157"/>
      <c r="F260" s="12"/>
      <c r="G260" s="158"/>
    </row>
    <row r="261">
      <c r="A261" s="153"/>
      <c r="B261" s="229"/>
      <c r="C261" s="230"/>
      <c r="D261" s="231"/>
      <c r="E261" s="157"/>
      <c r="F261" s="12"/>
      <c r="G261" s="158"/>
    </row>
    <row r="262">
      <c r="A262" s="153"/>
      <c r="B262" s="229"/>
      <c r="C262" s="230"/>
      <c r="D262" s="231"/>
      <c r="E262" s="157"/>
      <c r="F262" s="12"/>
      <c r="G262" s="158"/>
    </row>
    <row r="263">
      <c r="A263" s="153"/>
      <c r="B263" s="229"/>
      <c r="C263" s="230"/>
      <c r="D263" s="231"/>
      <c r="E263" s="157"/>
      <c r="F263" s="12"/>
      <c r="G263" s="158"/>
    </row>
    <row r="264">
      <c r="A264" s="153"/>
      <c r="B264" s="229"/>
      <c r="C264" s="230"/>
      <c r="D264" s="231"/>
      <c r="E264" s="157"/>
      <c r="F264" s="12"/>
      <c r="G264" s="158"/>
    </row>
    <row r="265">
      <c r="A265" s="153"/>
      <c r="B265" s="229"/>
      <c r="C265" s="230"/>
      <c r="D265" s="231"/>
      <c r="E265" s="157"/>
      <c r="F265" s="12"/>
      <c r="G265" s="158"/>
    </row>
    <row r="266">
      <c r="A266" s="153"/>
      <c r="B266" s="229"/>
      <c r="C266" s="230"/>
      <c r="D266" s="231"/>
      <c r="E266" s="157"/>
      <c r="F266" s="12"/>
      <c r="G266" s="158"/>
    </row>
    <row r="267">
      <c r="A267" s="153"/>
      <c r="B267" s="229"/>
      <c r="C267" s="230"/>
      <c r="D267" s="231"/>
      <c r="E267" s="157"/>
      <c r="F267" s="12"/>
      <c r="G267" s="158"/>
    </row>
    <row r="268">
      <c r="A268" s="153"/>
      <c r="B268" s="229"/>
      <c r="C268" s="230"/>
      <c r="D268" s="231"/>
      <c r="E268" s="157"/>
      <c r="F268" s="12"/>
      <c r="G268" s="158"/>
    </row>
    <row r="269">
      <c r="A269" s="153"/>
      <c r="B269" s="229"/>
      <c r="C269" s="230"/>
      <c r="D269" s="231"/>
      <c r="E269" s="157"/>
      <c r="F269" s="12"/>
      <c r="G269" s="158"/>
    </row>
    <row r="270">
      <c r="A270" s="153"/>
      <c r="B270" s="229"/>
      <c r="C270" s="230"/>
      <c r="D270" s="231"/>
      <c r="E270" s="157"/>
      <c r="F270" s="12"/>
      <c r="G270" s="158"/>
    </row>
    <row r="271">
      <c r="A271" s="153"/>
      <c r="B271" s="229"/>
      <c r="C271" s="230"/>
      <c r="D271" s="231"/>
      <c r="E271" s="157"/>
      <c r="F271" s="12"/>
      <c r="G271" s="158"/>
    </row>
    <row r="272">
      <c r="A272" s="153"/>
      <c r="B272" s="229"/>
      <c r="C272" s="230"/>
      <c r="D272" s="231"/>
      <c r="E272" s="157"/>
      <c r="F272" s="12"/>
      <c r="G272" s="158"/>
    </row>
    <row r="273">
      <c r="A273" s="153"/>
      <c r="B273" s="229"/>
      <c r="C273" s="230"/>
      <c r="D273" s="231"/>
      <c r="E273" s="157"/>
      <c r="F273" s="12"/>
      <c r="G273" s="158"/>
    </row>
    <row r="274">
      <c r="A274" s="153"/>
      <c r="B274" s="229"/>
      <c r="C274" s="230"/>
      <c r="D274" s="231"/>
      <c r="E274" s="157"/>
      <c r="F274" s="12"/>
      <c r="G274" s="158"/>
    </row>
    <row r="275">
      <c r="A275" s="153"/>
      <c r="B275" s="229"/>
      <c r="C275" s="230"/>
      <c r="D275" s="231"/>
      <c r="E275" s="157"/>
      <c r="F275" s="12"/>
      <c r="G275" s="158"/>
    </row>
    <row r="276">
      <c r="A276" s="153"/>
      <c r="B276" s="229"/>
      <c r="C276" s="230"/>
      <c r="D276" s="231"/>
      <c r="E276" s="157"/>
      <c r="F276" s="12"/>
      <c r="G276" s="158"/>
    </row>
    <row r="277">
      <c r="A277" s="153"/>
      <c r="B277" s="229"/>
      <c r="C277" s="230"/>
      <c r="D277" s="231"/>
      <c r="E277" s="157"/>
      <c r="F277" s="12"/>
      <c r="G277" s="158"/>
    </row>
    <row r="278">
      <c r="A278" s="153"/>
      <c r="B278" s="229"/>
      <c r="C278" s="230"/>
      <c r="D278" s="231"/>
      <c r="E278" s="157"/>
      <c r="F278" s="12"/>
      <c r="G278" s="158"/>
    </row>
    <row r="279">
      <c r="A279" s="153"/>
      <c r="B279" s="229"/>
      <c r="C279" s="230"/>
      <c r="D279" s="231"/>
      <c r="E279" s="157"/>
      <c r="F279" s="12"/>
      <c r="G279" s="158"/>
    </row>
    <row r="280">
      <c r="A280" s="153"/>
      <c r="B280" s="229"/>
      <c r="C280" s="230"/>
      <c r="D280" s="231"/>
      <c r="E280" s="157"/>
      <c r="F280" s="12"/>
      <c r="G280" s="158"/>
    </row>
    <row r="281">
      <c r="A281" s="153"/>
      <c r="B281" s="229"/>
      <c r="C281" s="230"/>
      <c r="D281" s="231"/>
      <c r="E281" s="157"/>
      <c r="F281" s="12"/>
      <c r="G281" s="158"/>
    </row>
    <row r="282">
      <c r="A282" s="153"/>
      <c r="B282" s="229"/>
      <c r="C282" s="230"/>
      <c r="D282" s="231"/>
      <c r="E282" s="157"/>
      <c r="F282" s="12"/>
      <c r="G282" s="158"/>
    </row>
    <row r="283">
      <c r="A283" s="153"/>
      <c r="B283" s="229"/>
      <c r="C283" s="230"/>
      <c r="D283" s="231"/>
      <c r="E283" s="157"/>
      <c r="F283" s="12"/>
      <c r="G283" s="158"/>
    </row>
    <row r="284">
      <c r="A284" s="153"/>
      <c r="B284" s="229"/>
      <c r="C284" s="230"/>
      <c r="D284" s="231"/>
      <c r="E284" s="157"/>
      <c r="F284" s="12"/>
      <c r="G284" s="158"/>
    </row>
    <row r="285">
      <c r="A285" s="153"/>
      <c r="B285" s="229"/>
      <c r="C285" s="230"/>
      <c r="D285" s="231"/>
      <c r="E285" s="157"/>
      <c r="F285" s="12"/>
      <c r="G285" s="158"/>
    </row>
    <row r="286">
      <c r="A286" s="153"/>
      <c r="B286" s="229"/>
      <c r="C286" s="230"/>
      <c r="D286" s="231"/>
      <c r="E286" s="157"/>
      <c r="F286" s="12"/>
      <c r="G286" s="158"/>
    </row>
    <row r="287">
      <c r="A287" s="153"/>
      <c r="B287" s="229"/>
      <c r="C287" s="230"/>
      <c r="D287" s="231"/>
      <c r="E287" s="157"/>
      <c r="F287" s="12"/>
      <c r="G287" s="158"/>
    </row>
    <row r="288">
      <c r="A288" s="153"/>
      <c r="B288" s="229"/>
      <c r="C288" s="230"/>
      <c r="D288" s="231"/>
      <c r="E288" s="157"/>
      <c r="F288" s="12"/>
      <c r="G288" s="158"/>
    </row>
    <row r="289">
      <c r="A289" s="153"/>
      <c r="B289" s="229"/>
      <c r="C289" s="230"/>
      <c r="D289" s="231"/>
      <c r="E289" s="157"/>
      <c r="F289" s="12"/>
      <c r="G289" s="158"/>
    </row>
    <row r="290">
      <c r="A290" s="153"/>
      <c r="B290" s="229"/>
      <c r="C290" s="230"/>
      <c r="D290" s="231"/>
      <c r="E290" s="157"/>
      <c r="F290" s="12"/>
      <c r="G290" s="158"/>
    </row>
    <row r="291">
      <c r="A291" s="153"/>
      <c r="B291" s="229"/>
      <c r="C291" s="230"/>
      <c r="D291" s="231"/>
      <c r="E291" s="157"/>
      <c r="F291" s="12"/>
      <c r="G291" s="158"/>
    </row>
    <row r="292">
      <c r="A292" s="153"/>
      <c r="B292" s="229"/>
      <c r="C292" s="230"/>
      <c r="D292" s="231"/>
      <c r="E292" s="157"/>
      <c r="F292" s="12"/>
      <c r="G292" s="158"/>
    </row>
    <row r="293">
      <c r="A293" s="153"/>
      <c r="B293" s="229"/>
      <c r="C293" s="230"/>
      <c r="D293" s="231"/>
      <c r="E293" s="157"/>
      <c r="F293" s="12"/>
      <c r="G293" s="158"/>
    </row>
    <row r="294">
      <c r="A294" s="153"/>
      <c r="B294" s="229"/>
      <c r="C294" s="230"/>
      <c r="D294" s="231"/>
      <c r="E294" s="157"/>
      <c r="F294" s="12"/>
      <c r="G294" s="158"/>
    </row>
    <row r="295">
      <c r="A295" s="153"/>
      <c r="B295" s="229"/>
      <c r="C295" s="230"/>
      <c r="D295" s="231"/>
      <c r="E295" s="157"/>
      <c r="F295" s="12"/>
      <c r="G295" s="158"/>
    </row>
    <row r="296">
      <c r="A296" s="153"/>
      <c r="B296" s="229"/>
      <c r="C296" s="230"/>
      <c r="D296" s="231"/>
      <c r="E296" s="157"/>
      <c r="F296" s="12"/>
      <c r="G296" s="158"/>
    </row>
    <row r="297">
      <c r="A297" s="153"/>
      <c r="B297" s="229"/>
      <c r="C297" s="230"/>
      <c r="D297" s="231"/>
      <c r="E297" s="157"/>
      <c r="F297" s="12"/>
      <c r="G297" s="158"/>
    </row>
    <row r="298">
      <c r="A298" s="153"/>
      <c r="B298" s="229"/>
      <c r="C298" s="230"/>
      <c r="D298" s="231"/>
      <c r="E298" s="157"/>
      <c r="F298" s="12"/>
      <c r="G298" s="158"/>
    </row>
    <row r="299">
      <c r="A299" s="153"/>
      <c r="B299" s="229"/>
      <c r="C299" s="230"/>
      <c r="D299" s="231"/>
      <c r="E299" s="157"/>
      <c r="F299" s="12"/>
      <c r="G299" s="158"/>
    </row>
    <row r="300">
      <c r="A300" s="153"/>
      <c r="B300" s="229"/>
      <c r="C300" s="230"/>
      <c r="D300" s="231"/>
      <c r="E300" s="157"/>
      <c r="F300" s="12"/>
      <c r="G300" s="158"/>
    </row>
    <row r="301">
      <c r="A301" s="153"/>
      <c r="B301" s="229"/>
      <c r="C301" s="230"/>
      <c r="D301" s="231"/>
      <c r="E301" s="157"/>
      <c r="F301" s="12"/>
      <c r="G301" s="158"/>
    </row>
    <row r="302">
      <c r="A302" s="153"/>
      <c r="B302" s="229"/>
      <c r="C302" s="230"/>
      <c r="D302" s="231"/>
      <c r="E302" s="157"/>
      <c r="F302" s="12"/>
      <c r="G302" s="158"/>
    </row>
    <row r="303">
      <c r="A303" s="153"/>
      <c r="B303" s="229"/>
      <c r="C303" s="230"/>
      <c r="D303" s="231"/>
      <c r="E303" s="157"/>
      <c r="F303" s="12"/>
      <c r="G303" s="158"/>
    </row>
    <row r="304">
      <c r="A304" s="153"/>
      <c r="B304" s="229"/>
      <c r="C304" s="230"/>
      <c r="D304" s="231"/>
      <c r="E304" s="157"/>
      <c r="F304" s="12"/>
      <c r="G304" s="158"/>
    </row>
    <row r="305">
      <c r="A305" s="153"/>
      <c r="B305" s="229"/>
      <c r="C305" s="230"/>
      <c r="D305" s="231"/>
      <c r="E305" s="157"/>
      <c r="F305" s="12"/>
      <c r="G305" s="158"/>
    </row>
    <row r="306">
      <c r="A306" s="153"/>
      <c r="B306" s="229"/>
      <c r="C306" s="230"/>
      <c r="D306" s="231"/>
      <c r="E306" s="157"/>
      <c r="F306" s="12"/>
      <c r="G306" s="158"/>
    </row>
    <row r="307">
      <c r="A307" s="153"/>
      <c r="B307" s="229"/>
      <c r="C307" s="230"/>
      <c r="D307" s="231"/>
      <c r="E307" s="157"/>
      <c r="F307" s="12"/>
      <c r="G307" s="158"/>
    </row>
    <row r="308">
      <c r="A308" s="153"/>
      <c r="B308" s="229"/>
      <c r="C308" s="230"/>
      <c r="D308" s="231"/>
      <c r="E308" s="157"/>
      <c r="F308" s="12"/>
      <c r="G308" s="158"/>
    </row>
    <row r="309">
      <c r="A309" s="153"/>
      <c r="B309" s="229"/>
      <c r="C309" s="230"/>
      <c r="D309" s="231"/>
      <c r="E309" s="157"/>
      <c r="F309" s="12"/>
      <c r="G309" s="158"/>
    </row>
    <row r="310">
      <c r="A310" s="153"/>
      <c r="B310" s="229"/>
      <c r="C310" s="230"/>
      <c r="D310" s="231"/>
      <c r="E310" s="157"/>
      <c r="F310" s="12"/>
      <c r="G310" s="158"/>
    </row>
    <row r="311">
      <c r="A311" s="153"/>
      <c r="B311" s="229"/>
      <c r="C311" s="230"/>
      <c r="D311" s="231"/>
      <c r="E311" s="157"/>
      <c r="F311" s="12"/>
      <c r="G311" s="158"/>
    </row>
    <row r="312">
      <c r="A312" s="153"/>
      <c r="B312" s="229"/>
      <c r="C312" s="230"/>
      <c r="D312" s="231"/>
      <c r="E312" s="157"/>
      <c r="F312" s="12"/>
      <c r="G312" s="158"/>
    </row>
    <row r="313">
      <c r="A313" s="153"/>
      <c r="B313" s="229"/>
      <c r="C313" s="230"/>
      <c r="D313" s="231"/>
      <c r="E313" s="157"/>
      <c r="F313" s="12"/>
      <c r="G313" s="158"/>
    </row>
    <row r="314">
      <c r="A314" s="153"/>
      <c r="B314" s="229"/>
      <c r="C314" s="230"/>
      <c r="D314" s="231"/>
      <c r="E314" s="157"/>
      <c r="F314" s="12"/>
      <c r="G314" s="158"/>
    </row>
    <row r="315">
      <c r="A315" s="153"/>
      <c r="B315" s="229"/>
      <c r="C315" s="230"/>
      <c r="D315" s="231"/>
      <c r="E315" s="157"/>
      <c r="F315" s="12"/>
      <c r="G315" s="158"/>
    </row>
    <row r="316">
      <c r="A316" s="153"/>
      <c r="B316" s="229"/>
      <c r="C316" s="230"/>
      <c r="D316" s="231"/>
      <c r="E316" s="157"/>
      <c r="F316" s="12"/>
      <c r="G316" s="158"/>
    </row>
    <row r="317">
      <c r="A317" s="153"/>
      <c r="B317" s="229"/>
      <c r="C317" s="230"/>
      <c r="D317" s="231"/>
      <c r="E317" s="157"/>
      <c r="F317" s="12"/>
      <c r="G317" s="158"/>
    </row>
    <row r="318">
      <c r="A318" s="153"/>
      <c r="B318" s="229"/>
      <c r="C318" s="230"/>
      <c r="D318" s="231"/>
      <c r="E318" s="157"/>
      <c r="F318" s="12"/>
      <c r="G318" s="158"/>
    </row>
    <row r="319">
      <c r="A319" s="153"/>
      <c r="B319" s="229"/>
      <c r="C319" s="230"/>
      <c r="D319" s="231"/>
      <c r="E319" s="157"/>
      <c r="F319" s="12"/>
      <c r="G319" s="158"/>
    </row>
    <row r="320">
      <c r="A320" s="153"/>
      <c r="B320" s="229"/>
      <c r="C320" s="230"/>
      <c r="D320" s="231"/>
      <c r="E320" s="157"/>
      <c r="F320" s="12"/>
      <c r="G320" s="158"/>
    </row>
    <row r="321">
      <c r="A321" s="153"/>
      <c r="B321" s="229"/>
      <c r="C321" s="230"/>
      <c r="D321" s="231"/>
      <c r="E321" s="157"/>
      <c r="F321" s="12"/>
      <c r="G321" s="158"/>
    </row>
    <row r="322">
      <c r="A322" s="153"/>
      <c r="B322" s="229"/>
      <c r="C322" s="230"/>
      <c r="D322" s="231"/>
      <c r="E322" s="157"/>
      <c r="F322" s="12"/>
      <c r="G322" s="158"/>
    </row>
    <row r="323">
      <c r="A323" s="153"/>
      <c r="B323" s="229"/>
      <c r="C323" s="230"/>
      <c r="D323" s="231"/>
      <c r="E323" s="157"/>
      <c r="F323" s="12"/>
      <c r="G323" s="158"/>
    </row>
    <row r="324">
      <c r="A324" s="153"/>
      <c r="B324" s="229"/>
      <c r="C324" s="230"/>
      <c r="D324" s="231"/>
      <c r="E324" s="157"/>
      <c r="F324" s="12"/>
      <c r="G324" s="158"/>
    </row>
    <row r="325">
      <c r="A325" s="153"/>
      <c r="B325" s="229"/>
      <c r="C325" s="230"/>
      <c r="D325" s="231"/>
      <c r="E325" s="157"/>
      <c r="F325" s="12"/>
      <c r="G325" s="158"/>
    </row>
    <row r="326">
      <c r="A326" s="153"/>
      <c r="B326" s="229"/>
      <c r="C326" s="230"/>
      <c r="D326" s="231"/>
      <c r="E326" s="157"/>
      <c r="F326" s="12"/>
      <c r="G326" s="158"/>
    </row>
    <row r="327">
      <c r="A327" s="153"/>
      <c r="B327" s="229"/>
      <c r="C327" s="230"/>
      <c r="D327" s="231"/>
      <c r="E327" s="157"/>
      <c r="F327" s="12"/>
      <c r="G327" s="158"/>
    </row>
    <row r="328">
      <c r="A328" s="153"/>
      <c r="B328" s="229"/>
      <c r="C328" s="230"/>
      <c r="D328" s="231"/>
      <c r="E328" s="157"/>
      <c r="F328" s="12"/>
      <c r="G328" s="158"/>
    </row>
    <row r="329">
      <c r="A329" s="153"/>
      <c r="B329" s="229"/>
      <c r="C329" s="230"/>
      <c r="D329" s="231"/>
      <c r="E329" s="157"/>
      <c r="F329" s="12"/>
      <c r="G329" s="158"/>
    </row>
    <row r="330">
      <c r="A330" s="153"/>
      <c r="B330" s="229"/>
      <c r="C330" s="230"/>
      <c r="D330" s="231"/>
      <c r="E330" s="157"/>
      <c r="F330" s="12"/>
      <c r="G330" s="158"/>
    </row>
    <row r="331">
      <c r="A331" s="153"/>
      <c r="B331" s="229"/>
      <c r="C331" s="230"/>
      <c r="D331" s="231"/>
      <c r="E331" s="157"/>
      <c r="F331" s="12"/>
      <c r="G331" s="158"/>
    </row>
    <row r="332">
      <c r="A332" s="153"/>
      <c r="B332" s="229"/>
      <c r="C332" s="230"/>
      <c r="D332" s="231"/>
      <c r="E332" s="157"/>
      <c r="F332" s="12"/>
      <c r="G332" s="158"/>
    </row>
    <row r="333">
      <c r="A333" s="153"/>
      <c r="B333" s="229"/>
      <c r="C333" s="230"/>
      <c r="D333" s="231"/>
      <c r="E333" s="157"/>
      <c r="F333" s="12"/>
      <c r="G333" s="158"/>
    </row>
    <row r="334">
      <c r="A334" s="153"/>
      <c r="B334" s="229"/>
      <c r="C334" s="230"/>
      <c r="D334" s="231"/>
      <c r="E334" s="157"/>
      <c r="F334" s="12"/>
      <c r="G334" s="158"/>
    </row>
    <row r="335">
      <c r="A335" s="153"/>
      <c r="B335" s="229"/>
      <c r="C335" s="230"/>
      <c r="D335" s="231"/>
      <c r="E335" s="157"/>
      <c r="F335" s="12"/>
      <c r="G335" s="158"/>
    </row>
    <row r="336">
      <c r="A336" s="153"/>
      <c r="B336" s="229"/>
      <c r="C336" s="230"/>
      <c r="D336" s="231"/>
      <c r="E336" s="157"/>
      <c r="F336" s="12"/>
      <c r="G336" s="158"/>
    </row>
    <row r="337">
      <c r="A337" s="153"/>
      <c r="B337" s="229"/>
      <c r="C337" s="230"/>
      <c r="D337" s="231"/>
      <c r="E337" s="157"/>
      <c r="F337" s="12"/>
      <c r="G337" s="158"/>
    </row>
    <row r="338">
      <c r="A338" s="153"/>
      <c r="B338" s="229"/>
      <c r="C338" s="230"/>
      <c r="D338" s="231"/>
      <c r="E338" s="157"/>
      <c r="F338" s="12"/>
      <c r="G338" s="158"/>
    </row>
    <row r="339">
      <c r="A339" s="153"/>
      <c r="B339" s="229"/>
      <c r="C339" s="230"/>
      <c r="D339" s="231"/>
      <c r="E339" s="157"/>
      <c r="F339" s="12"/>
      <c r="G339" s="158"/>
    </row>
    <row r="340">
      <c r="A340" s="153"/>
      <c r="B340" s="229"/>
      <c r="C340" s="230"/>
      <c r="D340" s="231"/>
      <c r="E340" s="157"/>
      <c r="F340" s="12"/>
      <c r="G340" s="158"/>
    </row>
    <row r="341">
      <c r="A341" s="153"/>
      <c r="B341" s="229"/>
      <c r="C341" s="230"/>
      <c r="D341" s="231"/>
      <c r="E341" s="157"/>
      <c r="F341" s="12"/>
      <c r="G341" s="158"/>
    </row>
    <row r="342">
      <c r="A342" s="153"/>
      <c r="B342" s="229"/>
      <c r="C342" s="230"/>
      <c r="D342" s="231"/>
      <c r="E342" s="157"/>
      <c r="F342" s="12"/>
      <c r="G342" s="158"/>
    </row>
    <row r="343">
      <c r="A343" s="153"/>
      <c r="B343" s="229"/>
      <c r="C343" s="230"/>
      <c r="D343" s="231"/>
      <c r="E343" s="157"/>
      <c r="F343" s="12"/>
      <c r="G343" s="158"/>
    </row>
    <row r="344">
      <c r="A344" s="153"/>
      <c r="B344" s="229"/>
      <c r="C344" s="230"/>
      <c r="D344" s="231"/>
      <c r="E344" s="157"/>
      <c r="F344" s="12"/>
      <c r="G344" s="158"/>
    </row>
    <row r="345">
      <c r="A345" s="153"/>
      <c r="B345" s="229"/>
      <c r="C345" s="230"/>
      <c r="D345" s="231"/>
      <c r="E345" s="157"/>
      <c r="F345" s="12"/>
      <c r="G345" s="158"/>
    </row>
    <row r="346">
      <c r="A346" s="153"/>
      <c r="B346" s="229"/>
      <c r="C346" s="230"/>
      <c r="D346" s="231"/>
      <c r="E346" s="157"/>
      <c r="F346" s="12"/>
      <c r="G346" s="158"/>
    </row>
    <row r="347">
      <c r="A347" s="153"/>
      <c r="B347" s="229"/>
      <c r="C347" s="230"/>
      <c r="D347" s="231"/>
      <c r="E347" s="157"/>
      <c r="F347" s="12"/>
      <c r="G347" s="158"/>
    </row>
    <row r="348">
      <c r="A348" s="153"/>
      <c r="B348" s="229"/>
      <c r="C348" s="230"/>
      <c r="D348" s="231"/>
      <c r="E348" s="157"/>
      <c r="F348" s="12"/>
      <c r="G348" s="158"/>
    </row>
    <row r="349">
      <c r="A349" s="153"/>
      <c r="B349" s="229"/>
      <c r="C349" s="230"/>
      <c r="D349" s="231"/>
      <c r="E349" s="157"/>
      <c r="F349" s="12"/>
      <c r="G349" s="158"/>
    </row>
    <row r="350">
      <c r="A350" s="153"/>
      <c r="B350" s="229"/>
      <c r="C350" s="230"/>
      <c r="D350" s="231"/>
      <c r="E350" s="157"/>
      <c r="F350" s="12"/>
      <c r="G350" s="158"/>
    </row>
    <row r="351">
      <c r="A351" s="153"/>
      <c r="B351" s="229"/>
      <c r="C351" s="230"/>
      <c r="D351" s="231"/>
      <c r="E351" s="157"/>
      <c r="F351" s="12"/>
      <c r="G351" s="158"/>
    </row>
    <row r="352">
      <c r="A352" s="153"/>
      <c r="B352" s="229"/>
      <c r="C352" s="230"/>
      <c r="D352" s="231"/>
      <c r="E352" s="157"/>
      <c r="F352" s="12"/>
      <c r="G352" s="158"/>
    </row>
    <row r="353">
      <c r="A353" s="153"/>
      <c r="B353" s="229"/>
      <c r="C353" s="230"/>
      <c r="D353" s="231"/>
      <c r="E353" s="157"/>
      <c r="F353" s="12"/>
      <c r="G353" s="158"/>
    </row>
    <row r="354">
      <c r="A354" s="153"/>
      <c r="B354" s="229"/>
      <c r="C354" s="230"/>
      <c r="D354" s="231"/>
      <c r="E354" s="157"/>
      <c r="F354" s="12"/>
      <c r="G354" s="158"/>
    </row>
    <row r="355">
      <c r="A355" s="153"/>
      <c r="B355" s="229"/>
      <c r="C355" s="230"/>
      <c r="D355" s="231"/>
      <c r="E355" s="157"/>
      <c r="F355" s="12"/>
      <c r="G355" s="158"/>
    </row>
    <row r="356">
      <c r="A356" s="153"/>
      <c r="B356" s="229"/>
      <c r="C356" s="230"/>
      <c r="D356" s="231"/>
      <c r="E356" s="157"/>
      <c r="F356" s="12"/>
      <c r="G356" s="158"/>
    </row>
    <row r="357">
      <c r="A357" s="153"/>
      <c r="B357" s="229"/>
      <c r="C357" s="230"/>
      <c r="D357" s="231"/>
      <c r="E357" s="157"/>
      <c r="F357" s="12"/>
      <c r="G357" s="158"/>
    </row>
    <row r="358">
      <c r="A358" s="153"/>
      <c r="B358" s="229"/>
      <c r="C358" s="230"/>
      <c r="D358" s="231"/>
      <c r="E358" s="157"/>
      <c r="F358" s="12"/>
      <c r="G358" s="158"/>
    </row>
    <row r="359">
      <c r="A359" s="153"/>
      <c r="B359" s="229"/>
      <c r="C359" s="230"/>
      <c r="D359" s="231"/>
      <c r="E359" s="157"/>
      <c r="F359" s="12"/>
      <c r="G359" s="158"/>
    </row>
    <row r="360">
      <c r="A360" s="153"/>
      <c r="B360" s="229"/>
      <c r="C360" s="230"/>
      <c r="D360" s="231"/>
      <c r="E360" s="157"/>
      <c r="F360" s="12"/>
      <c r="G360" s="158"/>
    </row>
    <row r="361">
      <c r="A361" s="153"/>
      <c r="B361" s="229"/>
      <c r="C361" s="230"/>
      <c r="D361" s="231"/>
      <c r="E361" s="157"/>
      <c r="F361" s="12"/>
      <c r="G361" s="158"/>
    </row>
    <row r="362">
      <c r="A362" s="153"/>
      <c r="B362" s="229"/>
      <c r="C362" s="230"/>
      <c r="D362" s="231"/>
      <c r="E362" s="157"/>
      <c r="F362" s="12"/>
      <c r="G362" s="158"/>
    </row>
    <row r="363">
      <c r="A363" s="153"/>
      <c r="B363" s="229"/>
      <c r="C363" s="230"/>
      <c r="D363" s="231"/>
      <c r="E363" s="157"/>
      <c r="F363" s="12"/>
      <c r="G363" s="158"/>
    </row>
    <row r="364">
      <c r="A364" s="153"/>
      <c r="B364" s="229"/>
      <c r="C364" s="230"/>
      <c r="D364" s="231"/>
      <c r="E364" s="157"/>
      <c r="F364" s="12"/>
      <c r="G364" s="158"/>
    </row>
    <row r="365">
      <c r="A365" s="153"/>
      <c r="B365" s="229"/>
      <c r="C365" s="230"/>
      <c r="D365" s="231"/>
      <c r="E365" s="157"/>
      <c r="F365" s="12"/>
      <c r="G365" s="158"/>
    </row>
    <row r="366">
      <c r="A366" s="153"/>
      <c r="B366" s="229"/>
      <c r="C366" s="230"/>
      <c r="D366" s="231"/>
      <c r="E366" s="157"/>
      <c r="F366" s="12"/>
      <c r="G366" s="158"/>
    </row>
    <row r="367">
      <c r="A367" s="153"/>
      <c r="B367" s="229"/>
      <c r="C367" s="230"/>
      <c r="D367" s="231"/>
      <c r="E367" s="157"/>
      <c r="F367" s="12"/>
      <c r="G367" s="158"/>
    </row>
    <row r="368">
      <c r="A368" s="153"/>
      <c r="B368" s="229"/>
      <c r="C368" s="230"/>
      <c r="D368" s="231"/>
      <c r="E368" s="157"/>
      <c r="F368" s="12"/>
      <c r="G368" s="158"/>
    </row>
    <row r="369">
      <c r="A369" s="153"/>
      <c r="B369" s="229"/>
      <c r="C369" s="230"/>
      <c r="D369" s="231"/>
      <c r="E369" s="157"/>
      <c r="F369" s="12"/>
      <c r="G369" s="158"/>
    </row>
    <row r="370">
      <c r="A370" s="153"/>
      <c r="B370" s="229"/>
      <c r="C370" s="230"/>
      <c r="D370" s="231"/>
      <c r="E370" s="157"/>
      <c r="F370" s="12"/>
      <c r="G370" s="158"/>
    </row>
    <row r="371">
      <c r="A371" s="153"/>
      <c r="B371" s="229"/>
      <c r="C371" s="230"/>
      <c r="D371" s="231"/>
      <c r="E371" s="157"/>
      <c r="F371" s="12"/>
      <c r="G371" s="158"/>
    </row>
    <row r="372">
      <c r="A372" s="153"/>
      <c r="B372" s="229"/>
      <c r="C372" s="230"/>
      <c r="D372" s="231"/>
      <c r="E372" s="157"/>
      <c r="F372" s="12"/>
      <c r="G372" s="158"/>
    </row>
    <row r="373">
      <c r="A373" s="153"/>
      <c r="B373" s="229"/>
      <c r="C373" s="230"/>
      <c r="D373" s="231"/>
      <c r="E373" s="157"/>
      <c r="F373" s="12"/>
      <c r="G373" s="158"/>
    </row>
    <row r="374">
      <c r="A374" s="153"/>
      <c r="B374" s="229"/>
      <c r="C374" s="230"/>
      <c r="D374" s="231"/>
      <c r="E374" s="157"/>
      <c r="F374" s="12"/>
      <c r="G374" s="158"/>
    </row>
    <row r="375">
      <c r="A375" s="153"/>
      <c r="B375" s="229"/>
      <c r="C375" s="230"/>
      <c r="D375" s="231"/>
      <c r="E375" s="157"/>
      <c r="F375" s="12"/>
      <c r="G375" s="158"/>
    </row>
    <row r="376">
      <c r="A376" s="153"/>
      <c r="B376" s="229"/>
      <c r="C376" s="230"/>
      <c r="D376" s="231"/>
      <c r="E376" s="157"/>
      <c r="F376" s="12"/>
      <c r="G376" s="158"/>
    </row>
    <row r="377">
      <c r="A377" s="153"/>
      <c r="B377" s="229"/>
      <c r="C377" s="230"/>
      <c r="D377" s="231"/>
      <c r="E377" s="157"/>
      <c r="F377" s="12"/>
      <c r="G377" s="158"/>
    </row>
    <row r="378">
      <c r="A378" s="153"/>
      <c r="B378" s="229"/>
      <c r="C378" s="230"/>
      <c r="D378" s="231"/>
      <c r="E378" s="157"/>
      <c r="F378" s="12"/>
      <c r="G378" s="158"/>
    </row>
    <row r="379">
      <c r="A379" s="153"/>
      <c r="B379" s="229"/>
      <c r="C379" s="230"/>
      <c r="D379" s="231"/>
      <c r="E379" s="157"/>
      <c r="F379" s="12"/>
      <c r="G379" s="158"/>
    </row>
    <row r="380">
      <c r="A380" s="153"/>
      <c r="B380" s="229"/>
      <c r="C380" s="230"/>
      <c r="D380" s="231"/>
      <c r="E380" s="157"/>
      <c r="F380" s="12"/>
      <c r="G380" s="158"/>
    </row>
    <row r="381">
      <c r="A381" s="153"/>
      <c r="B381" s="229"/>
      <c r="C381" s="230"/>
      <c r="D381" s="231"/>
      <c r="E381" s="157"/>
      <c r="F381" s="12"/>
      <c r="G381" s="158"/>
    </row>
    <row r="382">
      <c r="A382" s="153"/>
      <c r="B382" s="229"/>
      <c r="C382" s="230"/>
      <c r="D382" s="231"/>
      <c r="E382" s="157"/>
      <c r="F382" s="12"/>
      <c r="G382" s="158"/>
    </row>
    <row r="383">
      <c r="A383" s="153"/>
      <c r="B383" s="229"/>
      <c r="C383" s="230"/>
      <c r="D383" s="231"/>
      <c r="E383" s="157"/>
      <c r="F383" s="12"/>
      <c r="G383" s="158"/>
    </row>
    <row r="384">
      <c r="A384" s="153"/>
      <c r="B384" s="229"/>
      <c r="C384" s="230"/>
      <c r="D384" s="231"/>
      <c r="E384" s="157"/>
      <c r="F384" s="12"/>
      <c r="G384" s="158"/>
    </row>
    <row r="385">
      <c r="A385" s="153"/>
      <c r="B385" s="229"/>
      <c r="C385" s="230"/>
      <c r="D385" s="231"/>
      <c r="E385" s="157"/>
      <c r="F385" s="12"/>
      <c r="G385" s="158"/>
    </row>
    <row r="386">
      <c r="A386" s="153"/>
      <c r="B386" s="229"/>
      <c r="C386" s="230"/>
      <c r="D386" s="231"/>
      <c r="E386" s="157"/>
      <c r="F386" s="12"/>
      <c r="G386" s="158"/>
    </row>
    <row r="387">
      <c r="A387" s="153"/>
      <c r="B387" s="229"/>
      <c r="C387" s="230"/>
      <c r="D387" s="231"/>
      <c r="E387" s="157"/>
      <c r="F387" s="12"/>
      <c r="G387" s="158"/>
    </row>
    <row r="388">
      <c r="A388" s="153"/>
      <c r="B388" s="229"/>
      <c r="C388" s="230"/>
      <c r="D388" s="231"/>
      <c r="E388" s="157"/>
      <c r="F388" s="12"/>
      <c r="G388" s="158"/>
    </row>
    <row r="389">
      <c r="A389" s="153"/>
      <c r="B389" s="229"/>
      <c r="C389" s="230"/>
      <c r="D389" s="231"/>
      <c r="E389" s="157"/>
      <c r="F389" s="12"/>
      <c r="G389" s="158"/>
    </row>
    <row r="390">
      <c r="A390" s="153"/>
      <c r="B390" s="229"/>
      <c r="C390" s="230"/>
      <c r="D390" s="231"/>
      <c r="E390" s="157"/>
      <c r="F390" s="12"/>
      <c r="G390" s="158"/>
    </row>
    <row r="391">
      <c r="A391" s="153"/>
      <c r="B391" s="229"/>
      <c r="C391" s="230"/>
      <c r="D391" s="231"/>
      <c r="E391" s="157"/>
      <c r="F391" s="12"/>
      <c r="G391" s="158"/>
    </row>
    <row r="392">
      <c r="A392" s="153"/>
      <c r="B392" s="229"/>
      <c r="C392" s="230"/>
      <c r="D392" s="231"/>
      <c r="E392" s="157"/>
      <c r="F392" s="12"/>
      <c r="G392" s="158"/>
    </row>
    <row r="393">
      <c r="A393" s="153"/>
      <c r="B393" s="229"/>
      <c r="C393" s="230"/>
      <c r="D393" s="231"/>
      <c r="E393" s="157"/>
      <c r="F393" s="12"/>
      <c r="G393" s="158"/>
    </row>
    <row r="394">
      <c r="A394" s="153"/>
      <c r="B394" s="229"/>
      <c r="C394" s="230"/>
      <c r="D394" s="231"/>
      <c r="E394" s="157"/>
      <c r="F394" s="12"/>
      <c r="G394" s="158"/>
    </row>
    <row r="395">
      <c r="A395" s="153"/>
      <c r="B395" s="229"/>
      <c r="C395" s="230"/>
      <c r="D395" s="231"/>
      <c r="E395" s="157"/>
      <c r="F395" s="12"/>
      <c r="G395" s="158"/>
    </row>
    <row r="396">
      <c r="A396" s="153"/>
      <c r="B396" s="229"/>
      <c r="C396" s="230"/>
      <c r="D396" s="231"/>
      <c r="E396" s="157"/>
      <c r="F396" s="12"/>
      <c r="G396" s="158"/>
    </row>
    <row r="397">
      <c r="A397" s="153"/>
      <c r="B397" s="229"/>
      <c r="C397" s="230"/>
      <c r="D397" s="231"/>
      <c r="E397" s="157"/>
      <c r="F397" s="12"/>
      <c r="G397" s="158"/>
    </row>
    <row r="398">
      <c r="A398" s="153"/>
      <c r="B398" s="229"/>
      <c r="C398" s="230"/>
      <c r="D398" s="231"/>
      <c r="E398" s="157"/>
      <c r="F398" s="12"/>
      <c r="G398" s="158"/>
    </row>
    <row r="399">
      <c r="A399" s="153"/>
      <c r="B399" s="229"/>
      <c r="C399" s="230"/>
      <c r="D399" s="231"/>
      <c r="E399" s="157"/>
      <c r="F399" s="12"/>
      <c r="G399" s="158"/>
    </row>
    <row r="400">
      <c r="A400" s="153"/>
      <c r="B400" s="229"/>
      <c r="C400" s="230"/>
      <c r="D400" s="231"/>
      <c r="E400" s="157"/>
      <c r="F400" s="12"/>
      <c r="G400" s="158"/>
    </row>
    <row r="401">
      <c r="A401" s="153"/>
      <c r="B401" s="229"/>
      <c r="C401" s="230"/>
      <c r="D401" s="231"/>
      <c r="E401" s="157"/>
      <c r="F401" s="12"/>
      <c r="G401" s="158"/>
    </row>
    <row r="402">
      <c r="A402" s="153"/>
      <c r="B402" s="229"/>
      <c r="C402" s="230"/>
      <c r="D402" s="231"/>
      <c r="E402" s="157"/>
      <c r="F402" s="12"/>
      <c r="G402" s="158"/>
    </row>
    <row r="403">
      <c r="A403" s="153"/>
      <c r="B403" s="229"/>
      <c r="C403" s="230"/>
      <c r="D403" s="231"/>
      <c r="E403" s="157"/>
      <c r="F403" s="12"/>
      <c r="G403" s="158"/>
    </row>
    <row r="404">
      <c r="A404" s="153"/>
      <c r="B404" s="229"/>
      <c r="C404" s="230"/>
      <c r="D404" s="231"/>
      <c r="E404" s="157"/>
      <c r="F404" s="12"/>
      <c r="G404" s="158"/>
    </row>
    <row r="405">
      <c r="A405" s="153"/>
      <c r="B405" s="229"/>
      <c r="C405" s="230"/>
      <c r="D405" s="231"/>
      <c r="E405" s="157"/>
      <c r="F405" s="12"/>
      <c r="G405" s="158"/>
    </row>
    <row r="406">
      <c r="A406" s="153"/>
      <c r="B406" s="229"/>
      <c r="C406" s="230"/>
      <c r="D406" s="231"/>
      <c r="E406" s="157"/>
      <c r="F406" s="12"/>
      <c r="G406" s="158"/>
    </row>
    <row r="407">
      <c r="A407" s="153"/>
      <c r="B407" s="229"/>
      <c r="C407" s="230"/>
      <c r="D407" s="231"/>
      <c r="E407" s="157"/>
      <c r="F407" s="12"/>
      <c r="G407" s="158"/>
    </row>
    <row r="408">
      <c r="A408" s="153"/>
      <c r="B408" s="229"/>
      <c r="C408" s="230"/>
      <c r="D408" s="231"/>
      <c r="E408" s="157"/>
      <c r="F408" s="12"/>
      <c r="G408" s="158"/>
    </row>
    <row r="409">
      <c r="A409" s="153"/>
      <c r="B409" s="229"/>
      <c r="C409" s="230"/>
      <c r="D409" s="231"/>
      <c r="E409" s="157"/>
      <c r="F409" s="12"/>
      <c r="G409" s="158"/>
    </row>
    <row r="410">
      <c r="A410" s="153"/>
      <c r="B410" s="229"/>
      <c r="C410" s="230"/>
      <c r="D410" s="231"/>
      <c r="E410" s="157"/>
      <c r="F410" s="12"/>
      <c r="G410" s="158"/>
    </row>
    <row r="411">
      <c r="A411" s="153"/>
      <c r="B411" s="229"/>
      <c r="C411" s="230"/>
      <c r="D411" s="231"/>
      <c r="E411" s="157"/>
      <c r="F411" s="12"/>
      <c r="G411" s="158"/>
    </row>
    <row r="412">
      <c r="A412" s="153"/>
      <c r="B412" s="229"/>
      <c r="C412" s="230"/>
      <c r="D412" s="231"/>
      <c r="E412" s="157"/>
      <c r="F412" s="12"/>
      <c r="G412" s="158"/>
    </row>
    <row r="413">
      <c r="A413" s="153"/>
      <c r="B413" s="229"/>
      <c r="C413" s="230"/>
      <c r="D413" s="231"/>
      <c r="E413" s="157"/>
      <c r="F413" s="12"/>
      <c r="G413" s="158"/>
    </row>
    <row r="414">
      <c r="A414" s="153"/>
      <c r="B414" s="229"/>
      <c r="C414" s="230"/>
      <c r="D414" s="231"/>
      <c r="E414" s="157"/>
      <c r="F414" s="12"/>
      <c r="G414" s="158"/>
    </row>
    <row r="415">
      <c r="A415" s="153"/>
      <c r="B415" s="229"/>
      <c r="C415" s="230"/>
      <c r="D415" s="231"/>
      <c r="E415" s="157"/>
      <c r="F415" s="12"/>
      <c r="G415" s="158"/>
    </row>
    <row r="416">
      <c r="A416" s="153"/>
      <c r="B416" s="229"/>
      <c r="C416" s="230"/>
      <c r="D416" s="231"/>
      <c r="E416" s="157"/>
      <c r="F416" s="12"/>
      <c r="G416" s="158"/>
    </row>
    <row r="417">
      <c r="A417" s="153"/>
      <c r="B417" s="229"/>
      <c r="C417" s="230"/>
      <c r="D417" s="231"/>
      <c r="E417" s="157"/>
      <c r="F417" s="12"/>
      <c r="G417" s="158"/>
    </row>
    <row r="418">
      <c r="A418" s="153"/>
      <c r="B418" s="229"/>
      <c r="C418" s="230"/>
      <c r="D418" s="231"/>
      <c r="E418" s="157"/>
      <c r="F418" s="12"/>
      <c r="G418" s="158"/>
    </row>
    <row r="419">
      <c r="A419" s="153"/>
      <c r="B419" s="229"/>
      <c r="C419" s="230"/>
      <c r="D419" s="231"/>
      <c r="E419" s="157"/>
      <c r="F419" s="12"/>
      <c r="G419" s="158"/>
    </row>
    <row r="420">
      <c r="A420" s="153"/>
      <c r="B420" s="229"/>
      <c r="C420" s="230"/>
      <c r="D420" s="231"/>
      <c r="E420" s="157"/>
      <c r="F420" s="12"/>
      <c r="G420" s="158"/>
    </row>
    <row r="421">
      <c r="A421" s="153"/>
      <c r="B421" s="229"/>
      <c r="C421" s="230"/>
      <c r="D421" s="231"/>
      <c r="E421" s="157"/>
      <c r="F421" s="12"/>
      <c r="G421" s="158"/>
    </row>
    <row r="422">
      <c r="A422" s="153"/>
      <c r="B422" s="229"/>
      <c r="C422" s="230"/>
      <c r="D422" s="231"/>
      <c r="E422" s="157"/>
      <c r="F422" s="12"/>
      <c r="G422" s="158"/>
    </row>
    <row r="423">
      <c r="A423" s="153"/>
      <c r="B423" s="229"/>
      <c r="C423" s="230"/>
      <c r="D423" s="231"/>
      <c r="E423" s="157"/>
      <c r="F423" s="12"/>
      <c r="G423" s="158"/>
    </row>
    <row r="424">
      <c r="A424" s="153"/>
      <c r="B424" s="229"/>
      <c r="C424" s="230"/>
      <c r="D424" s="231"/>
      <c r="E424" s="157"/>
      <c r="F424" s="12"/>
      <c r="G424" s="158"/>
    </row>
    <row r="425">
      <c r="A425" s="153"/>
      <c r="B425" s="229"/>
      <c r="C425" s="230"/>
      <c r="D425" s="231"/>
      <c r="E425" s="157"/>
      <c r="F425" s="12"/>
      <c r="G425" s="158"/>
    </row>
    <row r="426">
      <c r="A426" s="153"/>
      <c r="B426" s="229"/>
      <c r="C426" s="230"/>
      <c r="D426" s="231"/>
      <c r="E426" s="157"/>
      <c r="F426" s="12"/>
      <c r="G426" s="158"/>
    </row>
    <row r="427">
      <c r="A427" s="153"/>
      <c r="B427" s="229"/>
      <c r="C427" s="230"/>
      <c r="D427" s="231"/>
      <c r="E427" s="157"/>
      <c r="F427" s="12"/>
      <c r="G427" s="158"/>
    </row>
    <row r="428">
      <c r="A428" s="153"/>
      <c r="B428" s="229"/>
      <c r="C428" s="230"/>
      <c r="D428" s="231"/>
      <c r="E428" s="157"/>
      <c r="F428" s="12"/>
      <c r="G428" s="158"/>
    </row>
    <row r="429">
      <c r="A429" s="153"/>
      <c r="B429" s="229"/>
      <c r="C429" s="230"/>
      <c r="D429" s="231"/>
      <c r="E429" s="157"/>
      <c r="F429" s="12"/>
      <c r="G429" s="158"/>
    </row>
    <row r="430">
      <c r="A430" s="153"/>
      <c r="B430" s="229"/>
      <c r="C430" s="230"/>
      <c r="D430" s="231"/>
      <c r="E430" s="157"/>
      <c r="F430" s="12"/>
      <c r="G430" s="158"/>
    </row>
    <row r="431">
      <c r="A431" s="153"/>
      <c r="B431" s="229"/>
      <c r="C431" s="230"/>
      <c r="D431" s="231"/>
      <c r="E431" s="157"/>
      <c r="F431" s="12"/>
      <c r="G431" s="158"/>
    </row>
    <row r="432">
      <c r="A432" s="153"/>
      <c r="B432" s="229"/>
      <c r="C432" s="230"/>
      <c r="D432" s="231"/>
      <c r="E432" s="157"/>
      <c r="F432" s="12"/>
      <c r="G432" s="158"/>
    </row>
    <row r="433">
      <c r="A433" s="153"/>
      <c r="B433" s="229"/>
      <c r="C433" s="230"/>
      <c r="D433" s="231"/>
      <c r="E433" s="157"/>
      <c r="F433" s="12"/>
      <c r="G433" s="158"/>
    </row>
    <row r="434">
      <c r="A434" s="153"/>
      <c r="B434" s="229"/>
      <c r="C434" s="230"/>
      <c r="D434" s="231"/>
      <c r="E434" s="157"/>
      <c r="F434" s="12"/>
      <c r="G434" s="158"/>
    </row>
    <row r="435">
      <c r="A435" s="153"/>
      <c r="B435" s="229"/>
      <c r="C435" s="230"/>
      <c r="D435" s="231"/>
      <c r="E435" s="157"/>
      <c r="F435" s="12"/>
      <c r="G435" s="158"/>
    </row>
    <row r="436">
      <c r="A436" s="153"/>
      <c r="B436" s="229"/>
      <c r="C436" s="230"/>
      <c r="D436" s="231"/>
      <c r="E436" s="157"/>
      <c r="F436" s="12"/>
      <c r="G436" s="158"/>
    </row>
    <row r="437">
      <c r="A437" s="153"/>
      <c r="B437" s="229"/>
      <c r="C437" s="230"/>
      <c r="D437" s="231"/>
      <c r="E437" s="157"/>
      <c r="F437" s="12"/>
      <c r="G437" s="158"/>
    </row>
    <row r="438">
      <c r="A438" s="153"/>
      <c r="B438" s="229"/>
      <c r="C438" s="230"/>
      <c r="D438" s="231"/>
      <c r="E438" s="157"/>
      <c r="F438" s="12"/>
      <c r="G438" s="158"/>
    </row>
    <row r="439">
      <c r="A439" s="153"/>
      <c r="B439" s="229"/>
      <c r="C439" s="230"/>
      <c r="D439" s="231"/>
      <c r="E439" s="157"/>
      <c r="F439" s="12"/>
      <c r="G439" s="158"/>
    </row>
    <row r="440">
      <c r="A440" s="153"/>
      <c r="B440" s="229"/>
      <c r="C440" s="230"/>
      <c r="D440" s="231"/>
      <c r="E440" s="157"/>
      <c r="F440" s="12"/>
      <c r="G440" s="158"/>
    </row>
    <row r="441">
      <c r="A441" s="153"/>
      <c r="B441" s="229"/>
      <c r="C441" s="230"/>
      <c r="D441" s="231"/>
      <c r="E441" s="157"/>
      <c r="F441" s="12"/>
      <c r="G441" s="158"/>
    </row>
    <row r="442">
      <c r="A442" s="153"/>
      <c r="B442" s="229"/>
      <c r="C442" s="230"/>
      <c r="D442" s="231"/>
      <c r="E442" s="157"/>
      <c r="F442" s="12"/>
      <c r="G442" s="158"/>
    </row>
    <row r="443">
      <c r="A443" s="153"/>
      <c r="B443" s="229"/>
      <c r="C443" s="230"/>
      <c r="D443" s="231"/>
      <c r="E443" s="157"/>
      <c r="F443" s="12"/>
      <c r="G443" s="158"/>
    </row>
    <row r="444">
      <c r="A444" s="153"/>
      <c r="B444" s="229"/>
      <c r="C444" s="230"/>
      <c r="D444" s="231"/>
      <c r="E444" s="157"/>
      <c r="F444" s="12"/>
      <c r="G444" s="158"/>
    </row>
    <row r="445">
      <c r="A445" s="153"/>
      <c r="B445" s="229"/>
      <c r="C445" s="230"/>
      <c r="D445" s="231"/>
      <c r="E445" s="157"/>
      <c r="F445" s="12"/>
      <c r="G445" s="158"/>
    </row>
    <row r="446">
      <c r="A446" s="153"/>
      <c r="B446" s="229"/>
      <c r="C446" s="230"/>
      <c r="D446" s="231"/>
      <c r="E446" s="157"/>
      <c r="F446" s="12"/>
      <c r="G446" s="158"/>
    </row>
    <row r="447">
      <c r="A447" s="153"/>
      <c r="B447" s="229"/>
      <c r="C447" s="230"/>
      <c r="D447" s="231"/>
      <c r="E447" s="157"/>
      <c r="F447" s="12"/>
      <c r="G447" s="158"/>
    </row>
    <row r="448">
      <c r="A448" s="153"/>
      <c r="B448" s="229"/>
      <c r="C448" s="230"/>
      <c r="D448" s="231"/>
      <c r="E448" s="157"/>
      <c r="F448" s="12"/>
      <c r="G448" s="158"/>
    </row>
    <row r="449">
      <c r="A449" s="153"/>
      <c r="B449" s="229"/>
      <c r="C449" s="230"/>
      <c r="D449" s="231"/>
      <c r="E449" s="157"/>
      <c r="F449" s="12"/>
      <c r="G449" s="158"/>
    </row>
    <row r="450">
      <c r="A450" s="153"/>
      <c r="B450" s="229"/>
      <c r="C450" s="230"/>
      <c r="D450" s="231"/>
      <c r="E450" s="157"/>
      <c r="F450" s="12"/>
      <c r="G450" s="158"/>
    </row>
    <row r="451">
      <c r="A451" s="153"/>
      <c r="B451" s="229"/>
      <c r="C451" s="230"/>
      <c r="D451" s="231"/>
      <c r="E451" s="157"/>
      <c r="F451" s="12"/>
      <c r="G451" s="158"/>
    </row>
    <row r="452">
      <c r="A452" s="153"/>
      <c r="B452" s="229"/>
      <c r="C452" s="230"/>
      <c r="D452" s="231"/>
      <c r="E452" s="157"/>
      <c r="F452" s="12"/>
      <c r="G452" s="158"/>
    </row>
    <row r="453">
      <c r="A453" s="153"/>
      <c r="B453" s="229"/>
      <c r="C453" s="230"/>
      <c r="D453" s="231"/>
      <c r="E453" s="157"/>
      <c r="F453" s="12"/>
      <c r="G453" s="158"/>
    </row>
    <row r="454">
      <c r="A454" s="153"/>
      <c r="B454" s="229"/>
      <c r="C454" s="230"/>
      <c r="D454" s="231"/>
      <c r="E454" s="157"/>
      <c r="F454" s="12"/>
      <c r="G454" s="158"/>
    </row>
    <row r="455">
      <c r="A455" s="153"/>
      <c r="B455" s="229"/>
      <c r="C455" s="230"/>
      <c r="D455" s="231"/>
      <c r="E455" s="157"/>
      <c r="F455" s="12"/>
      <c r="G455" s="158"/>
    </row>
    <row r="456">
      <c r="A456" s="153"/>
      <c r="B456" s="229"/>
      <c r="C456" s="230"/>
      <c r="D456" s="231"/>
      <c r="E456" s="157"/>
      <c r="F456" s="12"/>
      <c r="G456" s="158"/>
    </row>
    <row r="457">
      <c r="A457" s="153"/>
      <c r="B457" s="229"/>
      <c r="C457" s="230"/>
      <c r="D457" s="231"/>
      <c r="E457" s="157"/>
      <c r="F457" s="12"/>
      <c r="G457" s="158"/>
    </row>
    <row r="458">
      <c r="A458" s="153"/>
      <c r="B458" s="229"/>
      <c r="C458" s="230"/>
      <c r="D458" s="231"/>
      <c r="E458" s="157"/>
      <c r="F458" s="12"/>
      <c r="G458" s="158"/>
    </row>
    <row r="459">
      <c r="A459" s="153"/>
      <c r="B459" s="229"/>
      <c r="C459" s="230"/>
      <c r="D459" s="231"/>
      <c r="E459" s="157"/>
      <c r="F459" s="12"/>
      <c r="G459" s="158"/>
    </row>
    <row r="460">
      <c r="A460" s="153"/>
      <c r="B460" s="229"/>
      <c r="C460" s="230"/>
      <c r="D460" s="231"/>
      <c r="E460" s="157"/>
      <c r="F460" s="12"/>
      <c r="G460" s="158"/>
    </row>
    <row r="461">
      <c r="A461" s="153"/>
      <c r="B461" s="229"/>
      <c r="C461" s="230"/>
      <c r="D461" s="231"/>
      <c r="E461" s="157"/>
      <c r="F461" s="12"/>
      <c r="G461" s="158"/>
    </row>
    <row r="462">
      <c r="A462" s="153"/>
      <c r="B462" s="229"/>
      <c r="C462" s="230"/>
      <c r="D462" s="231"/>
      <c r="E462" s="157"/>
      <c r="F462" s="12"/>
      <c r="G462" s="158"/>
    </row>
    <row r="463">
      <c r="A463" s="153"/>
      <c r="B463" s="229"/>
      <c r="C463" s="230"/>
      <c r="D463" s="231"/>
      <c r="E463" s="157"/>
      <c r="F463" s="12"/>
      <c r="G463" s="158"/>
    </row>
    <row r="464">
      <c r="A464" s="153"/>
      <c r="B464" s="229"/>
      <c r="C464" s="230"/>
      <c r="D464" s="231"/>
      <c r="E464" s="157"/>
      <c r="F464" s="12"/>
      <c r="G464" s="158"/>
    </row>
    <row r="465">
      <c r="A465" s="153"/>
      <c r="B465" s="229"/>
      <c r="C465" s="230"/>
      <c r="D465" s="231"/>
      <c r="E465" s="157"/>
      <c r="F465" s="12"/>
      <c r="G465" s="158"/>
    </row>
    <row r="466">
      <c r="A466" s="153"/>
      <c r="B466" s="229"/>
      <c r="C466" s="230"/>
      <c r="D466" s="231"/>
      <c r="E466" s="157"/>
      <c r="F466" s="12"/>
      <c r="G466" s="158"/>
    </row>
    <row r="467">
      <c r="A467" s="153"/>
      <c r="B467" s="229"/>
      <c r="C467" s="230"/>
      <c r="D467" s="231"/>
      <c r="E467" s="157"/>
      <c r="F467" s="12"/>
      <c r="G467" s="158"/>
    </row>
    <row r="468">
      <c r="A468" s="153"/>
      <c r="B468" s="229"/>
      <c r="C468" s="230"/>
      <c r="D468" s="231"/>
      <c r="E468" s="157"/>
      <c r="F468" s="12"/>
      <c r="G468" s="158"/>
    </row>
    <row r="469">
      <c r="A469" s="153"/>
      <c r="B469" s="229"/>
      <c r="C469" s="230"/>
      <c r="D469" s="231"/>
      <c r="E469" s="157"/>
      <c r="F469" s="12"/>
      <c r="G469" s="158"/>
    </row>
    <row r="470">
      <c r="A470" s="153"/>
      <c r="B470" s="229"/>
      <c r="C470" s="230"/>
      <c r="D470" s="231"/>
      <c r="E470" s="157"/>
      <c r="F470" s="12"/>
      <c r="G470" s="158"/>
    </row>
    <row r="471">
      <c r="A471" s="153"/>
      <c r="B471" s="229"/>
      <c r="C471" s="230"/>
      <c r="D471" s="231"/>
      <c r="E471" s="157"/>
      <c r="F471" s="12"/>
      <c r="G471" s="158"/>
    </row>
    <row r="472">
      <c r="A472" s="153"/>
      <c r="B472" s="229"/>
      <c r="C472" s="230"/>
      <c r="D472" s="231"/>
      <c r="E472" s="157"/>
      <c r="F472" s="12"/>
      <c r="G472" s="158"/>
    </row>
    <row r="473">
      <c r="A473" s="153"/>
      <c r="B473" s="229"/>
      <c r="C473" s="230"/>
      <c r="D473" s="231"/>
      <c r="E473" s="157"/>
      <c r="F473" s="12"/>
      <c r="G473" s="158"/>
    </row>
    <row r="474">
      <c r="A474" s="153"/>
      <c r="B474" s="229"/>
      <c r="C474" s="230"/>
      <c r="D474" s="231"/>
      <c r="E474" s="157"/>
      <c r="F474" s="12"/>
      <c r="G474" s="158"/>
    </row>
    <row r="475">
      <c r="A475" s="153"/>
      <c r="B475" s="229"/>
      <c r="C475" s="230"/>
      <c r="D475" s="231"/>
      <c r="E475" s="157"/>
      <c r="F475" s="12"/>
      <c r="G475" s="158"/>
    </row>
    <row r="476">
      <c r="A476" s="153"/>
      <c r="B476" s="229"/>
      <c r="C476" s="230"/>
      <c r="D476" s="231"/>
      <c r="E476" s="157"/>
      <c r="F476" s="12"/>
      <c r="G476" s="158"/>
    </row>
    <row r="477">
      <c r="A477" s="153"/>
      <c r="B477" s="229"/>
      <c r="C477" s="230"/>
      <c r="D477" s="231"/>
      <c r="E477" s="157"/>
      <c r="F477" s="12"/>
      <c r="G477" s="158"/>
    </row>
    <row r="478">
      <c r="A478" s="153"/>
      <c r="B478" s="229"/>
      <c r="C478" s="230"/>
      <c r="D478" s="231"/>
      <c r="E478" s="157"/>
      <c r="F478" s="12"/>
      <c r="G478" s="158"/>
    </row>
    <row r="479">
      <c r="A479" s="153"/>
      <c r="B479" s="229"/>
      <c r="C479" s="230"/>
      <c r="D479" s="231"/>
      <c r="E479" s="157"/>
      <c r="F479" s="12"/>
      <c r="G479" s="158"/>
    </row>
    <row r="480">
      <c r="A480" s="153"/>
      <c r="B480" s="229"/>
      <c r="C480" s="230"/>
      <c r="D480" s="231"/>
      <c r="E480" s="157"/>
      <c r="F480" s="12"/>
      <c r="G480" s="158"/>
    </row>
    <row r="481">
      <c r="A481" s="153"/>
      <c r="B481" s="229"/>
      <c r="C481" s="230"/>
      <c r="D481" s="231"/>
      <c r="E481" s="157"/>
      <c r="F481" s="12"/>
      <c r="G481" s="158"/>
    </row>
    <row r="482">
      <c r="A482" s="153"/>
      <c r="B482" s="229"/>
      <c r="C482" s="230"/>
      <c r="D482" s="231"/>
      <c r="E482" s="157"/>
      <c r="F482" s="12"/>
      <c r="G482" s="158"/>
    </row>
    <row r="483">
      <c r="A483" s="153"/>
      <c r="B483" s="229"/>
      <c r="C483" s="230"/>
      <c r="D483" s="231"/>
      <c r="E483" s="157"/>
      <c r="F483" s="12"/>
      <c r="G483" s="158"/>
    </row>
    <row r="484">
      <c r="A484" s="153"/>
      <c r="B484" s="229"/>
      <c r="C484" s="230"/>
      <c r="D484" s="231"/>
      <c r="E484" s="157"/>
      <c r="F484" s="12"/>
      <c r="G484" s="158"/>
    </row>
    <row r="485">
      <c r="A485" s="153"/>
      <c r="B485" s="229"/>
      <c r="C485" s="230"/>
      <c r="D485" s="231"/>
      <c r="E485" s="157"/>
      <c r="F485" s="12"/>
      <c r="G485" s="158"/>
    </row>
    <row r="486">
      <c r="A486" s="153"/>
      <c r="B486" s="229"/>
      <c r="C486" s="230"/>
      <c r="D486" s="231"/>
      <c r="E486" s="157"/>
      <c r="F486" s="12"/>
      <c r="G486" s="158"/>
    </row>
    <row r="487">
      <c r="A487" s="153"/>
      <c r="B487" s="229"/>
      <c r="C487" s="230"/>
      <c r="D487" s="231"/>
      <c r="E487" s="157"/>
      <c r="F487" s="12"/>
      <c r="G487" s="158"/>
    </row>
    <row r="488">
      <c r="A488" s="153"/>
      <c r="B488" s="229"/>
      <c r="C488" s="230"/>
      <c r="D488" s="231"/>
      <c r="E488" s="157"/>
      <c r="F488" s="12"/>
      <c r="G488" s="158"/>
    </row>
    <row r="489">
      <c r="A489" s="153"/>
      <c r="B489" s="229"/>
      <c r="C489" s="230"/>
      <c r="D489" s="231"/>
      <c r="E489" s="157"/>
      <c r="F489" s="12"/>
      <c r="G489" s="158"/>
    </row>
    <row r="490">
      <c r="A490" s="153"/>
      <c r="B490" s="229"/>
      <c r="C490" s="230"/>
      <c r="D490" s="231"/>
      <c r="E490" s="157"/>
      <c r="F490" s="12"/>
      <c r="G490" s="158"/>
    </row>
    <row r="491">
      <c r="A491" s="153"/>
      <c r="B491" s="229"/>
      <c r="C491" s="230"/>
      <c r="D491" s="231"/>
      <c r="E491" s="157"/>
      <c r="F491" s="12"/>
      <c r="G491" s="158"/>
    </row>
    <row r="492">
      <c r="A492" s="153"/>
      <c r="B492" s="229"/>
      <c r="C492" s="230"/>
      <c r="D492" s="231"/>
      <c r="E492" s="157"/>
      <c r="F492" s="12"/>
      <c r="G492" s="158"/>
    </row>
    <row r="493">
      <c r="A493" s="153"/>
      <c r="B493" s="229"/>
      <c r="C493" s="230"/>
      <c r="D493" s="231"/>
      <c r="E493" s="157"/>
      <c r="F493" s="12"/>
      <c r="G493" s="158"/>
    </row>
    <row r="494">
      <c r="A494" s="153"/>
      <c r="B494" s="229"/>
      <c r="C494" s="230"/>
      <c r="D494" s="231"/>
      <c r="E494" s="157"/>
      <c r="F494" s="12"/>
      <c r="G494" s="158"/>
    </row>
    <row r="495">
      <c r="A495" s="153"/>
      <c r="B495" s="229"/>
      <c r="C495" s="230"/>
      <c r="D495" s="231"/>
      <c r="E495" s="157"/>
      <c r="F495" s="12"/>
      <c r="G495" s="158"/>
    </row>
    <row r="496">
      <c r="A496" s="153"/>
      <c r="B496" s="229"/>
      <c r="C496" s="230"/>
      <c r="D496" s="231"/>
      <c r="E496" s="157"/>
      <c r="F496" s="12"/>
      <c r="G496" s="158"/>
    </row>
    <row r="497">
      <c r="A497" s="153"/>
      <c r="B497" s="229"/>
      <c r="C497" s="230"/>
      <c r="D497" s="231"/>
      <c r="E497" s="157"/>
      <c r="F497" s="12"/>
      <c r="G497" s="158"/>
    </row>
    <row r="498">
      <c r="A498" s="153"/>
      <c r="B498" s="229"/>
      <c r="C498" s="230"/>
      <c r="D498" s="231"/>
      <c r="E498" s="157"/>
      <c r="F498" s="12"/>
      <c r="G498" s="158"/>
    </row>
    <row r="499">
      <c r="A499" s="153"/>
      <c r="B499" s="229"/>
      <c r="C499" s="230"/>
      <c r="D499" s="231"/>
      <c r="E499" s="157"/>
      <c r="F499" s="12"/>
      <c r="G499" s="158"/>
    </row>
    <row r="500">
      <c r="A500" s="153"/>
      <c r="B500" s="229"/>
      <c r="C500" s="230"/>
      <c r="D500" s="231"/>
      <c r="E500" s="157"/>
      <c r="F500" s="12"/>
      <c r="G500" s="158"/>
    </row>
    <row r="501">
      <c r="A501" s="153"/>
      <c r="B501" s="229"/>
      <c r="C501" s="230"/>
      <c r="D501" s="231"/>
      <c r="E501" s="157"/>
      <c r="F501" s="12"/>
      <c r="G501" s="158"/>
    </row>
    <row r="502">
      <c r="A502" s="153"/>
      <c r="B502" s="229"/>
      <c r="C502" s="230"/>
      <c r="D502" s="231"/>
      <c r="E502" s="157"/>
      <c r="F502" s="12"/>
      <c r="G502" s="158"/>
    </row>
    <row r="503">
      <c r="A503" s="153"/>
      <c r="B503" s="229"/>
      <c r="C503" s="230"/>
      <c r="D503" s="231"/>
      <c r="E503" s="157"/>
      <c r="F503" s="12"/>
      <c r="G503" s="158"/>
    </row>
    <row r="504">
      <c r="A504" s="153"/>
      <c r="B504" s="229"/>
      <c r="C504" s="230"/>
      <c r="D504" s="231"/>
      <c r="E504" s="157"/>
      <c r="F504" s="12"/>
      <c r="G504" s="158"/>
    </row>
    <row r="505">
      <c r="A505" s="153"/>
      <c r="B505" s="229"/>
      <c r="C505" s="230"/>
      <c r="D505" s="231"/>
      <c r="E505" s="157"/>
      <c r="F505" s="12"/>
      <c r="G505" s="158"/>
    </row>
    <row r="506">
      <c r="A506" s="153"/>
      <c r="B506" s="229"/>
      <c r="C506" s="230"/>
      <c r="D506" s="231"/>
      <c r="E506" s="157"/>
      <c r="F506" s="12"/>
      <c r="G506" s="158"/>
    </row>
    <row r="507">
      <c r="A507" s="153"/>
      <c r="B507" s="229"/>
      <c r="C507" s="230"/>
      <c r="D507" s="231"/>
      <c r="E507" s="157"/>
      <c r="F507" s="12"/>
      <c r="G507" s="158"/>
    </row>
    <row r="508">
      <c r="A508" s="153"/>
      <c r="B508" s="229"/>
      <c r="C508" s="230"/>
      <c r="D508" s="231"/>
      <c r="E508" s="157"/>
      <c r="F508" s="12"/>
      <c r="G508" s="158"/>
    </row>
    <row r="509">
      <c r="A509" s="153"/>
      <c r="B509" s="229"/>
      <c r="C509" s="230"/>
      <c r="D509" s="231"/>
      <c r="E509" s="157"/>
      <c r="F509" s="12"/>
      <c r="G509" s="158"/>
    </row>
    <row r="510">
      <c r="A510" s="153"/>
      <c r="B510" s="229"/>
      <c r="C510" s="230"/>
      <c r="D510" s="231"/>
      <c r="E510" s="157"/>
      <c r="F510" s="12"/>
      <c r="G510" s="158"/>
    </row>
    <row r="511">
      <c r="A511" s="153"/>
      <c r="B511" s="229"/>
      <c r="C511" s="230"/>
      <c r="D511" s="231"/>
      <c r="E511" s="157"/>
      <c r="F511" s="12"/>
      <c r="G511" s="158"/>
    </row>
    <row r="512">
      <c r="A512" s="153"/>
      <c r="B512" s="229"/>
      <c r="C512" s="230"/>
      <c r="D512" s="231"/>
      <c r="E512" s="157"/>
      <c r="F512" s="12"/>
      <c r="G512" s="158"/>
    </row>
    <row r="513">
      <c r="A513" s="153"/>
      <c r="B513" s="229"/>
      <c r="C513" s="230"/>
      <c r="D513" s="231"/>
      <c r="E513" s="157"/>
      <c r="F513" s="12"/>
      <c r="G513" s="158"/>
    </row>
    <row r="514">
      <c r="A514" s="153"/>
      <c r="B514" s="229"/>
      <c r="C514" s="230"/>
      <c r="D514" s="231"/>
      <c r="E514" s="157"/>
      <c r="F514" s="12"/>
      <c r="G514" s="158"/>
    </row>
    <row r="515">
      <c r="A515" s="153"/>
      <c r="B515" s="229"/>
      <c r="C515" s="230"/>
      <c r="D515" s="231"/>
      <c r="E515" s="157"/>
      <c r="F515" s="12"/>
      <c r="G515" s="158"/>
    </row>
    <row r="516">
      <c r="A516" s="153"/>
      <c r="B516" s="229"/>
      <c r="C516" s="230"/>
      <c r="D516" s="231"/>
      <c r="E516" s="157"/>
      <c r="F516" s="12"/>
      <c r="G516" s="158"/>
    </row>
    <row r="517">
      <c r="A517" s="153"/>
      <c r="B517" s="229"/>
      <c r="C517" s="230"/>
      <c r="D517" s="231"/>
      <c r="E517" s="157"/>
      <c r="F517" s="12"/>
      <c r="G517" s="158"/>
    </row>
    <row r="518">
      <c r="A518" s="153"/>
      <c r="B518" s="229"/>
      <c r="C518" s="230"/>
      <c r="D518" s="231"/>
      <c r="E518" s="157"/>
      <c r="F518" s="12"/>
      <c r="G518" s="158"/>
    </row>
    <row r="519">
      <c r="A519" s="153"/>
      <c r="B519" s="229"/>
      <c r="C519" s="230"/>
      <c r="D519" s="231"/>
      <c r="E519" s="157"/>
      <c r="F519" s="12"/>
      <c r="G519" s="158"/>
    </row>
    <row r="520">
      <c r="A520" s="153"/>
      <c r="B520" s="229"/>
      <c r="C520" s="230"/>
      <c r="D520" s="231"/>
      <c r="E520" s="157"/>
      <c r="F520" s="12"/>
      <c r="G520" s="158"/>
    </row>
    <row r="521">
      <c r="A521" s="153"/>
      <c r="B521" s="229"/>
      <c r="C521" s="230"/>
      <c r="D521" s="231"/>
      <c r="E521" s="157"/>
      <c r="F521" s="12"/>
      <c r="G521" s="158"/>
    </row>
    <row r="522">
      <c r="A522" s="153"/>
      <c r="B522" s="229"/>
      <c r="C522" s="230"/>
      <c r="D522" s="231"/>
      <c r="E522" s="157"/>
      <c r="F522" s="12"/>
      <c r="G522" s="158"/>
    </row>
    <row r="523">
      <c r="A523" s="153"/>
      <c r="B523" s="229"/>
      <c r="C523" s="230"/>
      <c r="D523" s="231"/>
      <c r="E523" s="157"/>
      <c r="F523" s="12"/>
      <c r="G523" s="158"/>
    </row>
    <row r="524">
      <c r="A524" s="153"/>
      <c r="B524" s="229"/>
      <c r="C524" s="230"/>
      <c r="D524" s="231"/>
      <c r="E524" s="157"/>
      <c r="F524" s="12"/>
      <c r="G524" s="158"/>
    </row>
    <row r="525">
      <c r="A525" s="153"/>
      <c r="B525" s="229"/>
      <c r="C525" s="230"/>
      <c r="D525" s="231"/>
      <c r="E525" s="157"/>
      <c r="F525" s="12"/>
      <c r="G525" s="158"/>
    </row>
    <row r="526">
      <c r="A526" s="153"/>
      <c r="B526" s="229"/>
      <c r="C526" s="230"/>
      <c r="D526" s="231"/>
      <c r="E526" s="157"/>
      <c r="F526" s="12"/>
      <c r="G526" s="158"/>
    </row>
    <row r="527">
      <c r="A527" s="153"/>
      <c r="B527" s="229"/>
      <c r="C527" s="230"/>
      <c r="D527" s="231"/>
      <c r="E527" s="157"/>
      <c r="F527" s="12"/>
      <c r="G527" s="158"/>
    </row>
    <row r="528">
      <c r="A528" s="153"/>
      <c r="B528" s="229"/>
      <c r="C528" s="230"/>
      <c r="D528" s="231"/>
      <c r="E528" s="157"/>
      <c r="F528" s="12"/>
      <c r="G528" s="158"/>
    </row>
    <row r="529">
      <c r="A529" s="153"/>
      <c r="B529" s="229"/>
      <c r="C529" s="230"/>
      <c r="D529" s="231"/>
      <c r="E529" s="157"/>
      <c r="F529" s="12"/>
      <c r="G529" s="158"/>
    </row>
    <row r="530">
      <c r="A530" s="153"/>
      <c r="B530" s="229"/>
      <c r="C530" s="230"/>
      <c r="D530" s="231"/>
      <c r="E530" s="157"/>
      <c r="F530" s="12"/>
      <c r="G530" s="158"/>
    </row>
    <row r="531">
      <c r="A531" s="153"/>
      <c r="B531" s="229"/>
      <c r="C531" s="230"/>
      <c r="D531" s="231"/>
      <c r="E531" s="157"/>
      <c r="F531" s="12"/>
      <c r="G531" s="158"/>
    </row>
    <row r="532">
      <c r="A532" s="153"/>
      <c r="B532" s="229"/>
      <c r="C532" s="230"/>
      <c r="D532" s="231"/>
      <c r="E532" s="157"/>
      <c r="F532" s="12"/>
      <c r="G532" s="158"/>
    </row>
    <row r="533">
      <c r="A533" s="153"/>
      <c r="B533" s="229"/>
      <c r="C533" s="230"/>
      <c r="D533" s="231"/>
      <c r="E533" s="157"/>
      <c r="F533" s="12"/>
      <c r="G533" s="158"/>
    </row>
    <row r="534">
      <c r="A534" s="153"/>
      <c r="B534" s="229"/>
      <c r="C534" s="230"/>
      <c r="D534" s="231"/>
      <c r="E534" s="157"/>
      <c r="F534" s="12"/>
      <c r="G534" s="158"/>
    </row>
    <row r="535">
      <c r="A535" s="153"/>
      <c r="B535" s="229"/>
      <c r="C535" s="230"/>
      <c r="D535" s="231"/>
      <c r="E535" s="157"/>
      <c r="F535" s="12"/>
      <c r="G535" s="158"/>
    </row>
    <row r="536">
      <c r="A536" s="153"/>
      <c r="B536" s="229"/>
      <c r="C536" s="230"/>
      <c r="D536" s="231"/>
      <c r="E536" s="157"/>
      <c r="F536" s="12"/>
      <c r="G536" s="158"/>
    </row>
    <row r="537">
      <c r="A537" s="153"/>
      <c r="B537" s="229"/>
      <c r="C537" s="230"/>
      <c r="D537" s="231"/>
      <c r="E537" s="157"/>
      <c r="F537" s="12"/>
      <c r="G537" s="158"/>
    </row>
    <row r="538">
      <c r="A538" s="153"/>
      <c r="B538" s="229"/>
      <c r="C538" s="230"/>
      <c r="D538" s="231"/>
      <c r="E538" s="157"/>
      <c r="F538" s="12"/>
      <c r="G538" s="158"/>
    </row>
    <row r="539">
      <c r="A539" s="153"/>
      <c r="B539" s="229"/>
      <c r="C539" s="230"/>
      <c r="D539" s="231"/>
      <c r="E539" s="157"/>
      <c r="F539" s="12"/>
      <c r="G539" s="158"/>
    </row>
    <row r="540">
      <c r="A540" s="153"/>
      <c r="B540" s="229"/>
      <c r="C540" s="230"/>
      <c r="D540" s="231"/>
      <c r="E540" s="157"/>
      <c r="F540" s="12"/>
      <c r="G540" s="158"/>
    </row>
    <row r="541">
      <c r="A541" s="153"/>
      <c r="B541" s="229"/>
      <c r="C541" s="230"/>
      <c r="D541" s="231"/>
      <c r="E541" s="157"/>
      <c r="F541" s="12"/>
      <c r="G541" s="158"/>
    </row>
    <row r="542">
      <c r="A542" s="153"/>
      <c r="B542" s="229"/>
      <c r="C542" s="230"/>
      <c r="D542" s="231"/>
      <c r="E542" s="157"/>
      <c r="F542" s="12"/>
      <c r="G542" s="158"/>
    </row>
    <row r="543">
      <c r="A543" s="153"/>
      <c r="B543" s="229"/>
      <c r="C543" s="230"/>
      <c r="D543" s="231"/>
      <c r="E543" s="157"/>
      <c r="F543" s="12"/>
      <c r="G543" s="158"/>
    </row>
    <row r="544">
      <c r="A544" s="153"/>
      <c r="B544" s="229"/>
      <c r="C544" s="230"/>
      <c r="D544" s="231"/>
      <c r="E544" s="157"/>
      <c r="F544" s="12"/>
      <c r="G544" s="158"/>
    </row>
    <row r="545">
      <c r="A545" s="153"/>
      <c r="B545" s="229"/>
      <c r="C545" s="230"/>
      <c r="D545" s="231"/>
      <c r="E545" s="157"/>
      <c r="F545" s="12"/>
      <c r="G545" s="158"/>
    </row>
    <row r="546">
      <c r="A546" s="153"/>
      <c r="B546" s="229"/>
      <c r="C546" s="230"/>
      <c r="D546" s="231"/>
      <c r="E546" s="157"/>
      <c r="F546" s="12"/>
      <c r="G546" s="158"/>
    </row>
    <row r="547">
      <c r="A547" s="153"/>
      <c r="B547" s="229"/>
      <c r="C547" s="230"/>
      <c r="D547" s="231"/>
      <c r="E547" s="157"/>
      <c r="F547" s="12"/>
      <c r="G547" s="158"/>
    </row>
    <row r="548">
      <c r="A548" s="153"/>
      <c r="B548" s="229"/>
      <c r="C548" s="230"/>
      <c r="D548" s="231"/>
      <c r="E548" s="157"/>
      <c r="F548" s="12"/>
      <c r="G548" s="158"/>
    </row>
    <row r="549">
      <c r="A549" s="153"/>
      <c r="B549" s="229"/>
      <c r="C549" s="230"/>
      <c r="D549" s="231"/>
      <c r="E549" s="157"/>
      <c r="F549" s="12"/>
      <c r="G549" s="158"/>
    </row>
    <row r="550">
      <c r="A550" s="153"/>
      <c r="B550" s="229"/>
      <c r="C550" s="230"/>
      <c r="D550" s="231"/>
      <c r="E550" s="157"/>
      <c r="F550" s="12"/>
      <c r="G550" s="158"/>
    </row>
    <row r="551">
      <c r="A551" s="153"/>
      <c r="B551" s="229"/>
      <c r="C551" s="230"/>
      <c r="D551" s="231"/>
      <c r="E551" s="157"/>
      <c r="F551" s="12"/>
      <c r="G551" s="158"/>
    </row>
    <row r="552">
      <c r="A552" s="153"/>
      <c r="B552" s="229"/>
      <c r="C552" s="230"/>
      <c r="D552" s="231"/>
      <c r="E552" s="157"/>
      <c r="F552" s="12"/>
      <c r="G552" s="158"/>
    </row>
    <row r="553">
      <c r="A553" s="153"/>
      <c r="B553" s="229"/>
      <c r="C553" s="230"/>
      <c r="D553" s="231"/>
      <c r="E553" s="157"/>
      <c r="F553" s="12"/>
      <c r="G553" s="158"/>
    </row>
    <row r="554">
      <c r="A554" s="153"/>
      <c r="B554" s="229"/>
      <c r="C554" s="230"/>
      <c r="D554" s="231"/>
      <c r="E554" s="157"/>
      <c r="F554" s="12"/>
      <c r="G554" s="158"/>
    </row>
    <row r="555">
      <c r="A555" s="153"/>
      <c r="B555" s="229"/>
      <c r="C555" s="230"/>
      <c r="D555" s="231"/>
      <c r="E555" s="157"/>
      <c r="F555" s="12"/>
      <c r="G555" s="158"/>
    </row>
    <row r="556">
      <c r="A556" s="153"/>
      <c r="B556" s="229"/>
      <c r="C556" s="230"/>
      <c r="D556" s="231"/>
      <c r="E556" s="157"/>
      <c r="F556" s="12"/>
      <c r="G556" s="158"/>
    </row>
    <row r="557">
      <c r="A557" s="153"/>
      <c r="B557" s="229"/>
      <c r="C557" s="230"/>
      <c r="D557" s="231"/>
      <c r="E557" s="157"/>
      <c r="F557" s="12"/>
      <c r="G557" s="158"/>
    </row>
    <row r="558">
      <c r="A558" s="153"/>
      <c r="B558" s="229"/>
      <c r="C558" s="230"/>
      <c r="D558" s="231"/>
      <c r="E558" s="157"/>
      <c r="F558" s="12"/>
      <c r="G558" s="158"/>
    </row>
    <row r="559">
      <c r="A559" s="153"/>
      <c r="B559" s="229"/>
      <c r="C559" s="230"/>
      <c r="D559" s="231"/>
      <c r="E559" s="157"/>
      <c r="F559" s="12"/>
      <c r="G559" s="158"/>
    </row>
    <row r="560">
      <c r="A560" s="153"/>
      <c r="B560" s="229"/>
      <c r="C560" s="230"/>
      <c r="D560" s="231"/>
      <c r="E560" s="157"/>
      <c r="F560" s="12"/>
      <c r="G560" s="158"/>
    </row>
    <row r="561">
      <c r="A561" s="153"/>
      <c r="B561" s="229"/>
      <c r="C561" s="230"/>
      <c r="D561" s="231"/>
      <c r="E561" s="157"/>
      <c r="F561" s="12"/>
      <c r="G561" s="158"/>
    </row>
    <row r="562">
      <c r="A562" s="153"/>
      <c r="B562" s="229"/>
      <c r="C562" s="230"/>
      <c r="D562" s="231"/>
      <c r="E562" s="157"/>
      <c r="F562" s="12"/>
      <c r="G562" s="158"/>
    </row>
    <row r="563">
      <c r="A563" s="153"/>
      <c r="B563" s="229"/>
      <c r="C563" s="230"/>
      <c r="D563" s="231"/>
      <c r="E563" s="157"/>
      <c r="F563" s="12"/>
      <c r="G563" s="158"/>
    </row>
    <row r="564">
      <c r="A564" s="153"/>
      <c r="B564" s="229"/>
      <c r="C564" s="230"/>
      <c r="D564" s="231"/>
      <c r="E564" s="157"/>
      <c r="F564" s="12"/>
      <c r="G564" s="158"/>
    </row>
    <row r="565">
      <c r="A565" s="153"/>
      <c r="B565" s="229"/>
      <c r="C565" s="230"/>
      <c r="D565" s="231"/>
      <c r="E565" s="157"/>
      <c r="F565" s="12"/>
      <c r="G565" s="158"/>
    </row>
    <row r="566">
      <c r="A566" s="153"/>
      <c r="B566" s="229"/>
      <c r="C566" s="230"/>
      <c r="D566" s="231"/>
      <c r="E566" s="157"/>
      <c r="F566" s="12"/>
      <c r="G566" s="158"/>
    </row>
    <row r="567">
      <c r="A567" s="153"/>
      <c r="B567" s="229"/>
      <c r="C567" s="230"/>
      <c r="D567" s="231"/>
      <c r="E567" s="157"/>
      <c r="F567" s="12"/>
      <c r="G567" s="158"/>
    </row>
    <row r="568">
      <c r="A568" s="153"/>
      <c r="B568" s="229"/>
      <c r="C568" s="230"/>
      <c r="D568" s="231"/>
      <c r="E568" s="157"/>
      <c r="F568" s="12"/>
      <c r="G568" s="158"/>
    </row>
    <row r="569">
      <c r="A569" s="153"/>
      <c r="B569" s="229"/>
      <c r="C569" s="230"/>
      <c r="D569" s="231"/>
      <c r="E569" s="157"/>
      <c r="F569" s="12"/>
      <c r="G569" s="158"/>
    </row>
    <row r="570">
      <c r="A570" s="153"/>
      <c r="B570" s="229"/>
      <c r="C570" s="230"/>
      <c r="D570" s="231"/>
      <c r="E570" s="157"/>
      <c r="F570" s="12"/>
      <c r="G570" s="158"/>
    </row>
    <row r="571">
      <c r="A571" s="153"/>
      <c r="B571" s="229"/>
      <c r="C571" s="230"/>
      <c r="D571" s="231"/>
      <c r="E571" s="157"/>
      <c r="F571" s="12"/>
      <c r="G571" s="158"/>
    </row>
    <row r="572">
      <c r="A572" s="153"/>
      <c r="B572" s="229"/>
      <c r="C572" s="230"/>
      <c r="D572" s="231"/>
      <c r="E572" s="157"/>
      <c r="F572" s="12"/>
      <c r="G572" s="158"/>
    </row>
    <row r="573">
      <c r="A573" s="153"/>
      <c r="B573" s="229"/>
      <c r="C573" s="230"/>
      <c r="D573" s="231"/>
      <c r="E573" s="157"/>
      <c r="F573" s="12"/>
      <c r="G573" s="158"/>
    </row>
    <row r="574">
      <c r="A574" s="153"/>
      <c r="B574" s="229"/>
      <c r="C574" s="230"/>
      <c r="D574" s="231"/>
      <c r="E574" s="157"/>
      <c r="F574" s="12"/>
      <c r="G574" s="158"/>
    </row>
    <row r="575">
      <c r="A575" s="153"/>
      <c r="B575" s="229"/>
      <c r="C575" s="230"/>
      <c r="D575" s="231"/>
      <c r="E575" s="157"/>
      <c r="F575" s="12"/>
      <c r="G575" s="158"/>
    </row>
    <row r="576">
      <c r="A576" s="153"/>
      <c r="B576" s="229"/>
      <c r="C576" s="230"/>
      <c r="D576" s="231"/>
      <c r="E576" s="157"/>
      <c r="F576" s="12"/>
      <c r="G576" s="158"/>
    </row>
    <row r="577">
      <c r="A577" s="153"/>
      <c r="B577" s="229"/>
      <c r="C577" s="230"/>
      <c r="D577" s="231"/>
      <c r="E577" s="157"/>
      <c r="F577" s="12"/>
      <c r="G577" s="158"/>
    </row>
    <row r="578">
      <c r="A578" s="153"/>
      <c r="B578" s="229"/>
      <c r="C578" s="230"/>
      <c r="D578" s="231"/>
      <c r="E578" s="157"/>
      <c r="F578" s="12"/>
      <c r="G578" s="158"/>
    </row>
    <row r="579">
      <c r="A579" s="153"/>
      <c r="B579" s="229"/>
      <c r="C579" s="230"/>
      <c r="D579" s="231"/>
      <c r="E579" s="157"/>
      <c r="F579" s="12"/>
      <c r="G579" s="158"/>
    </row>
    <row r="580">
      <c r="A580" s="153"/>
      <c r="B580" s="229"/>
      <c r="C580" s="230"/>
      <c r="D580" s="231"/>
      <c r="E580" s="157"/>
      <c r="F580" s="12"/>
      <c r="G580" s="158"/>
    </row>
    <row r="581">
      <c r="A581" s="153"/>
      <c r="B581" s="229"/>
      <c r="C581" s="230"/>
      <c r="D581" s="231"/>
      <c r="E581" s="157"/>
      <c r="F581" s="12"/>
      <c r="G581" s="158"/>
    </row>
    <row r="582">
      <c r="A582" s="153"/>
      <c r="B582" s="229"/>
      <c r="C582" s="230"/>
      <c r="D582" s="231"/>
      <c r="E582" s="157"/>
      <c r="F582" s="12"/>
      <c r="G582" s="158"/>
    </row>
    <row r="583">
      <c r="A583" s="153"/>
      <c r="B583" s="229"/>
      <c r="C583" s="230"/>
      <c r="D583" s="231"/>
      <c r="E583" s="157"/>
      <c r="F583" s="12"/>
      <c r="G583" s="158"/>
    </row>
    <row r="584">
      <c r="A584" s="153"/>
      <c r="B584" s="229"/>
      <c r="C584" s="230"/>
      <c r="D584" s="231"/>
      <c r="E584" s="157"/>
      <c r="F584" s="12"/>
      <c r="G584" s="158"/>
    </row>
    <row r="585">
      <c r="A585" s="153"/>
      <c r="B585" s="229"/>
      <c r="C585" s="230"/>
      <c r="D585" s="231"/>
      <c r="E585" s="157"/>
      <c r="F585" s="12"/>
      <c r="G585" s="158"/>
    </row>
    <row r="586">
      <c r="A586" s="153"/>
      <c r="B586" s="229"/>
      <c r="C586" s="230"/>
      <c r="D586" s="231"/>
      <c r="E586" s="157"/>
      <c r="F586" s="12"/>
      <c r="G586" s="158"/>
    </row>
    <row r="587">
      <c r="A587" s="153"/>
      <c r="B587" s="229"/>
      <c r="C587" s="230"/>
      <c r="D587" s="231"/>
      <c r="E587" s="157"/>
      <c r="F587" s="12"/>
      <c r="G587" s="158"/>
    </row>
    <row r="588">
      <c r="A588" s="153"/>
      <c r="B588" s="229"/>
      <c r="C588" s="230"/>
      <c r="D588" s="231"/>
      <c r="E588" s="157"/>
      <c r="F588" s="12"/>
      <c r="G588" s="158"/>
    </row>
    <row r="589">
      <c r="A589" s="153"/>
      <c r="B589" s="229"/>
      <c r="C589" s="230"/>
      <c r="D589" s="231"/>
      <c r="E589" s="157"/>
      <c r="F589" s="12"/>
      <c r="G589" s="158"/>
    </row>
    <row r="590">
      <c r="A590" s="153"/>
      <c r="B590" s="229"/>
      <c r="C590" s="230"/>
      <c r="D590" s="231"/>
      <c r="E590" s="157"/>
      <c r="F590" s="12"/>
      <c r="G590" s="158"/>
    </row>
    <row r="591">
      <c r="A591" s="153"/>
      <c r="B591" s="229"/>
      <c r="C591" s="230"/>
      <c r="D591" s="231"/>
      <c r="E591" s="157"/>
      <c r="F591" s="12"/>
      <c r="G591" s="158"/>
    </row>
    <row r="592">
      <c r="A592" s="153"/>
      <c r="B592" s="229"/>
      <c r="C592" s="230"/>
      <c r="D592" s="231"/>
      <c r="E592" s="157"/>
      <c r="F592" s="12"/>
      <c r="G592" s="158"/>
    </row>
    <row r="593">
      <c r="A593" s="153"/>
      <c r="B593" s="229"/>
      <c r="C593" s="230"/>
      <c r="D593" s="231"/>
      <c r="E593" s="157"/>
      <c r="F593" s="12"/>
      <c r="G593" s="158"/>
    </row>
    <row r="594">
      <c r="A594" s="153"/>
      <c r="B594" s="229"/>
      <c r="C594" s="230"/>
      <c r="D594" s="231"/>
      <c r="E594" s="157"/>
      <c r="F594" s="12"/>
      <c r="G594" s="158"/>
    </row>
    <row r="595">
      <c r="A595" s="153"/>
      <c r="B595" s="229"/>
      <c r="C595" s="230"/>
      <c r="D595" s="231"/>
      <c r="E595" s="157"/>
      <c r="F595" s="12"/>
      <c r="G595" s="158"/>
    </row>
    <row r="596">
      <c r="A596" s="153"/>
      <c r="B596" s="229"/>
      <c r="C596" s="230"/>
      <c r="D596" s="231"/>
      <c r="E596" s="157"/>
      <c r="F596" s="12"/>
      <c r="G596" s="158"/>
    </row>
    <row r="597">
      <c r="A597" s="153"/>
      <c r="B597" s="229"/>
      <c r="C597" s="230"/>
      <c r="D597" s="231"/>
      <c r="E597" s="157"/>
      <c r="F597" s="12"/>
      <c r="G597" s="158"/>
    </row>
    <row r="598">
      <c r="A598" s="153"/>
      <c r="B598" s="229"/>
      <c r="C598" s="230"/>
      <c r="D598" s="231"/>
      <c r="E598" s="157"/>
      <c r="F598" s="12"/>
      <c r="G598" s="158"/>
    </row>
    <row r="599">
      <c r="A599" s="153"/>
      <c r="B599" s="229"/>
      <c r="C599" s="230"/>
      <c r="D599" s="231"/>
      <c r="E599" s="157"/>
      <c r="F599" s="12"/>
      <c r="G599" s="158"/>
    </row>
    <row r="600">
      <c r="A600" s="153"/>
      <c r="B600" s="229"/>
      <c r="C600" s="230"/>
      <c r="D600" s="231"/>
      <c r="E600" s="157"/>
      <c r="F600" s="12"/>
      <c r="G600" s="158"/>
    </row>
    <row r="601">
      <c r="A601" s="153"/>
      <c r="B601" s="229"/>
      <c r="C601" s="230"/>
      <c r="D601" s="231"/>
      <c r="E601" s="157"/>
      <c r="F601" s="12"/>
      <c r="G601" s="158"/>
    </row>
    <row r="602">
      <c r="A602" s="153"/>
      <c r="B602" s="229"/>
      <c r="C602" s="230"/>
      <c r="D602" s="231"/>
      <c r="E602" s="157"/>
      <c r="F602" s="12"/>
      <c r="G602" s="158"/>
    </row>
    <row r="603">
      <c r="A603" s="153"/>
      <c r="B603" s="229"/>
      <c r="C603" s="230"/>
      <c r="D603" s="231"/>
      <c r="E603" s="157"/>
      <c r="F603" s="12"/>
      <c r="G603" s="158"/>
    </row>
    <row r="604">
      <c r="A604" s="153"/>
      <c r="B604" s="229"/>
      <c r="C604" s="230"/>
      <c r="D604" s="231"/>
      <c r="E604" s="157"/>
      <c r="F604" s="12"/>
      <c r="G604" s="158"/>
    </row>
    <row r="605">
      <c r="A605" s="153"/>
      <c r="B605" s="229"/>
      <c r="C605" s="230"/>
      <c r="D605" s="231"/>
      <c r="E605" s="157"/>
      <c r="F605" s="12"/>
      <c r="G605" s="158"/>
    </row>
    <row r="606">
      <c r="A606" s="153"/>
      <c r="B606" s="229"/>
      <c r="C606" s="230"/>
      <c r="D606" s="231"/>
      <c r="E606" s="157"/>
      <c r="F606" s="12"/>
      <c r="G606" s="158"/>
    </row>
    <row r="607">
      <c r="A607" s="153"/>
      <c r="B607" s="229"/>
      <c r="C607" s="230"/>
      <c r="D607" s="231"/>
      <c r="E607" s="157"/>
      <c r="F607" s="12"/>
      <c r="G607" s="158"/>
    </row>
    <row r="608">
      <c r="A608" s="153"/>
      <c r="B608" s="229"/>
      <c r="C608" s="230"/>
      <c r="D608" s="231"/>
      <c r="E608" s="157"/>
      <c r="F608" s="12"/>
      <c r="G608" s="158"/>
    </row>
    <row r="609">
      <c r="A609" s="153"/>
      <c r="B609" s="229"/>
      <c r="C609" s="230"/>
      <c r="D609" s="231"/>
      <c r="E609" s="157"/>
      <c r="F609" s="12"/>
      <c r="G609" s="158"/>
    </row>
    <row r="610">
      <c r="A610" s="153"/>
      <c r="B610" s="229"/>
      <c r="C610" s="230"/>
      <c r="D610" s="231"/>
      <c r="E610" s="157"/>
      <c r="F610" s="12"/>
      <c r="G610" s="158"/>
    </row>
    <row r="611">
      <c r="A611" s="153"/>
      <c r="B611" s="229"/>
      <c r="C611" s="230"/>
      <c r="D611" s="231"/>
      <c r="E611" s="157"/>
      <c r="F611" s="12"/>
      <c r="G611" s="158"/>
    </row>
    <row r="612">
      <c r="A612" s="153"/>
      <c r="B612" s="229"/>
      <c r="C612" s="230"/>
      <c r="D612" s="231"/>
      <c r="E612" s="157"/>
      <c r="F612" s="12"/>
      <c r="G612" s="158"/>
    </row>
    <row r="613">
      <c r="A613" s="153"/>
      <c r="B613" s="229"/>
      <c r="C613" s="230"/>
      <c r="D613" s="231"/>
      <c r="E613" s="157"/>
      <c r="F613" s="12"/>
      <c r="G613" s="158"/>
    </row>
    <row r="614">
      <c r="A614" s="153"/>
      <c r="B614" s="229"/>
      <c r="C614" s="230"/>
      <c r="D614" s="231"/>
      <c r="E614" s="157"/>
      <c r="F614" s="12"/>
      <c r="G614" s="158"/>
    </row>
    <row r="615">
      <c r="A615" s="153"/>
      <c r="B615" s="229"/>
      <c r="C615" s="230"/>
      <c r="D615" s="231"/>
      <c r="E615" s="157"/>
      <c r="F615" s="12"/>
      <c r="G615" s="158"/>
    </row>
    <row r="616">
      <c r="A616" s="153"/>
      <c r="B616" s="229"/>
      <c r="C616" s="230"/>
      <c r="D616" s="231"/>
      <c r="E616" s="157"/>
      <c r="F616" s="12"/>
      <c r="G616" s="158"/>
    </row>
    <row r="617">
      <c r="A617" s="153"/>
      <c r="B617" s="229"/>
      <c r="C617" s="230"/>
      <c r="D617" s="231"/>
      <c r="E617" s="157"/>
      <c r="F617" s="12"/>
      <c r="G617" s="158"/>
    </row>
    <row r="618">
      <c r="A618" s="153"/>
      <c r="B618" s="229"/>
      <c r="C618" s="230"/>
      <c r="D618" s="231"/>
      <c r="E618" s="157"/>
      <c r="F618" s="12"/>
      <c r="G618" s="158"/>
    </row>
    <row r="619">
      <c r="A619" s="153"/>
      <c r="B619" s="229"/>
      <c r="C619" s="230"/>
      <c r="D619" s="231"/>
      <c r="E619" s="157"/>
      <c r="F619" s="12"/>
      <c r="G619" s="158"/>
    </row>
    <row r="620">
      <c r="A620" s="153"/>
      <c r="B620" s="229"/>
      <c r="C620" s="230"/>
      <c r="D620" s="231"/>
      <c r="E620" s="157"/>
      <c r="F620" s="12"/>
      <c r="G620" s="158"/>
    </row>
    <row r="621">
      <c r="A621" s="153"/>
      <c r="B621" s="229"/>
      <c r="C621" s="230"/>
      <c r="D621" s="231"/>
      <c r="E621" s="157"/>
      <c r="F621" s="12"/>
      <c r="G621" s="158"/>
    </row>
    <row r="622">
      <c r="A622" s="153"/>
      <c r="B622" s="229"/>
      <c r="C622" s="230"/>
      <c r="D622" s="231"/>
      <c r="E622" s="157"/>
      <c r="F622" s="12"/>
      <c r="G622" s="158"/>
    </row>
    <row r="623">
      <c r="A623" s="153"/>
      <c r="B623" s="229"/>
      <c r="C623" s="230"/>
      <c r="D623" s="231"/>
      <c r="E623" s="157"/>
      <c r="F623" s="12"/>
      <c r="G623" s="158"/>
    </row>
    <row r="624">
      <c r="A624" s="153"/>
      <c r="B624" s="229"/>
      <c r="C624" s="230"/>
      <c r="D624" s="231"/>
      <c r="E624" s="157"/>
      <c r="F624" s="12"/>
      <c r="G624" s="158"/>
    </row>
    <row r="625">
      <c r="A625" s="153"/>
      <c r="B625" s="229"/>
      <c r="C625" s="230"/>
      <c r="D625" s="231"/>
      <c r="E625" s="157"/>
      <c r="F625" s="12"/>
      <c r="G625" s="158"/>
    </row>
    <row r="626">
      <c r="A626" s="153"/>
      <c r="B626" s="229"/>
      <c r="C626" s="230"/>
      <c r="D626" s="231"/>
      <c r="E626" s="157"/>
      <c r="F626" s="12"/>
      <c r="G626" s="158"/>
    </row>
    <row r="627">
      <c r="A627" s="153"/>
      <c r="B627" s="229"/>
      <c r="C627" s="230"/>
      <c r="D627" s="231"/>
      <c r="E627" s="157"/>
      <c r="F627" s="12"/>
      <c r="G627" s="158"/>
    </row>
    <row r="628">
      <c r="A628" s="153"/>
      <c r="B628" s="229"/>
      <c r="C628" s="230"/>
      <c r="D628" s="231"/>
      <c r="E628" s="157"/>
      <c r="F628" s="12"/>
      <c r="G628" s="158"/>
    </row>
    <row r="629">
      <c r="A629" s="153"/>
      <c r="B629" s="229"/>
      <c r="C629" s="230"/>
      <c r="D629" s="231"/>
      <c r="E629" s="157"/>
      <c r="F629" s="12"/>
      <c r="G629" s="158"/>
    </row>
    <row r="630">
      <c r="A630" s="153"/>
      <c r="B630" s="229"/>
      <c r="C630" s="230"/>
      <c r="D630" s="231"/>
      <c r="E630" s="157"/>
      <c r="F630" s="12"/>
      <c r="G630" s="158"/>
    </row>
    <row r="631">
      <c r="A631" s="153"/>
      <c r="B631" s="229"/>
      <c r="C631" s="230"/>
      <c r="D631" s="231"/>
      <c r="E631" s="157"/>
      <c r="F631" s="12"/>
      <c r="G631" s="158"/>
    </row>
    <row r="632">
      <c r="A632" s="153"/>
      <c r="B632" s="229"/>
      <c r="C632" s="230"/>
      <c r="D632" s="231"/>
      <c r="E632" s="157"/>
      <c r="F632" s="12"/>
      <c r="G632" s="158"/>
    </row>
    <row r="633">
      <c r="A633" s="153"/>
      <c r="B633" s="229"/>
      <c r="C633" s="230"/>
      <c r="D633" s="231"/>
      <c r="E633" s="157"/>
      <c r="F633" s="12"/>
      <c r="G633" s="158"/>
    </row>
    <row r="634">
      <c r="A634" s="153"/>
      <c r="B634" s="229"/>
      <c r="C634" s="230"/>
      <c r="D634" s="231"/>
      <c r="E634" s="157"/>
      <c r="F634" s="12"/>
      <c r="G634" s="158"/>
    </row>
    <row r="635">
      <c r="A635" s="153"/>
      <c r="B635" s="229"/>
      <c r="C635" s="230"/>
      <c r="D635" s="231"/>
      <c r="E635" s="157"/>
      <c r="F635" s="12"/>
      <c r="G635" s="158"/>
    </row>
    <row r="636">
      <c r="A636" s="153"/>
      <c r="B636" s="229"/>
      <c r="C636" s="230"/>
      <c r="D636" s="231"/>
      <c r="E636" s="157"/>
      <c r="F636" s="12"/>
      <c r="G636" s="158"/>
    </row>
    <row r="637">
      <c r="A637" s="153"/>
      <c r="B637" s="229"/>
      <c r="C637" s="230"/>
      <c r="D637" s="231"/>
      <c r="E637" s="157"/>
      <c r="F637" s="12"/>
      <c r="G637" s="158"/>
    </row>
    <row r="638">
      <c r="A638" s="153"/>
      <c r="B638" s="229"/>
      <c r="C638" s="230"/>
      <c r="D638" s="231"/>
      <c r="E638" s="157"/>
      <c r="F638" s="12"/>
      <c r="G638" s="158"/>
    </row>
    <row r="639">
      <c r="A639" s="153"/>
      <c r="B639" s="229"/>
      <c r="C639" s="230"/>
      <c r="D639" s="231"/>
      <c r="E639" s="157"/>
      <c r="F639" s="12"/>
      <c r="G639" s="158"/>
    </row>
    <row r="640">
      <c r="A640" s="153"/>
      <c r="B640" s="229"/>
      <c r="C640" s="230"/>
      <c r="D640" s="231"/>
      <c r="E640" s="157"/>
      <c r="F640" s="12"/>
      <c r="G640" s="158"/>
    </row>
    <row r="641">
      <c r="A641" s="153"/>
      <c r="B641" s="229"/>
      <c r="C641" s="230"/>
      <c r="D641" s="231"/>
      <c r="E641" s="157"/>
      <c r="F641" s="12"/>
      <c r="G641" s="158"/>
    </row>
    <row r="642">
      <c r="A642" s="153"/>
      <c r="B642" s="229"/>
      <c r="C642" s="230"/>
      <c r="D642" s="231"/>
      <c r="E642" s="157"/>
      <c r="F642" s="12"/>
      <c r="G642" s="158"/>
    </row>
    <row r="643">
      <c r="A643" s="153"/>
      <c r="B643" s="229"/>
      <c r="C643" s="230"/>
      <c r="D643" s="231"/>
      <c r="E643" s="157"/>
      <c r="F643" s="12"/>
      <c r="G643" s="158"/>
    </row>
    <row r="644">
      <c r="A644" s="153"/>
      <c r="B644" s="229"/>
      <c r="C644" s="230"/>
      <c r="D644" s="231"/>
      <c r="E644" s="157"/>
      <c r="F644" s="12"/>
      <c r="G644" s="158"/>
    </row>
    <row r="645">
      <c r="A645" s="153"/>
      <c r="B645" s="229"/>
      <c r="C645" s="230"/>
      <c r="D645" s="231"/>
      <c r="E645" s="157"/>
      <c r="F645" s="12"/>
      <c r="G645" s="158"/>
    </row>
    <row r="646">
      <c r="A646" s="153"/>
      <c r="B646" s="229"/>
      <c r="C646" s="230"/>
      <c r="D646" s="231"/>
      <c r="E646" s="157"/>
      <c r="F646" s="12"/>
      <c r="G646" s="158"/>
    </row>
    <row r="647">
      <c r="A647" s="153"/>
      <c r="B647" s="229"/>
      <c r="C647" s="230"/>
      <c r="D647" s="231"/>
      <c r="E647" s="157"/>
      <c r="F647" s="12"/>
      <c r="G647" s="158"/>
    </row>
    <row r="648">
      <c r="A648" s="153"/>
      <c r="B648" s="229"/>
      <c r="C648" s="230"/>
      <c r="D648" s="231"/>
      <c r="E648" s="157"/>
      <c r="F648" s="12"/>
      <c r="G648" s="158"/>
    </row>
    <row r="649">
      <c r="A649" s="153"/>
      <c r="B649" s="229"/>
      <c r="C649" s="230"/>
      <c r="D649" s="231"/>
      <c r="E649" s="157"/>
      <c r="F649" s="12"/>
      <c r="G649" s="158"/>
    </row>
    <row r="650">
      <c r="A650" s="153"/>
      <c r="B650" s="229"/>
      <c r="C650" s="230"/>
      <c r="D650" s="231"/>
      <c r="E650" s="157"/>
      <c r="F650" s="12"/>
      <c r="G650" s="158"/>
    </row>
    <row r="651">
      <c r="A651" s="153"/>
      <c r="B651" s="229"/>
      <c r="C651" s="230"/>
      <c r="D651" s="231"/>
      <c r="E651" s="157"/>
      <c r="F651" s="12"/>
      <c r="G651" s="158"/>
    </row>
    <row r="652">
      <c r="A652" s="153"/>
      <c r="B652" s="229"/>
      <c r="C652" s="230"/>
      <c r="D652" s="231"/>
      <c r="E652" s="157"/>
      <c r="F652" s="12"/>
      <c r="G652" s="158"/>
    </row>
    <row r="653">
      <c r="A653" s="153"/>
      <c r="B653" s="229"/>
      <c r="C653" s="230"/>
      <c r="D653" s="231"/>
      <c r="E653" s="157"/>
      <c r="F653" s="12"/>
      <c r="G653" s="158"/>
    </row>
    <row r="654">
      <c r="A654" s="153"/>
      <c r="B654" s="229"/>
      <c r="C654" s="230"/>
      <c r="D654" s="231"/>
      <c r="E654" s="157"/>
      <c r="F654" s="12"/>
      <c r="G654" s="158"/>
    </row>
    <row r="655">
      <c r="A655" s="153"/>
      <c r="B655" s="229"/>
      <c r="C655" s="230"/>
      <c r="D655" s="231"/>
      <c r="E655" s="157"/>
      <c r="F655" s="12"/>
      <c r="G655" s="158"/>
    </row>
    <row r="656">
      <c r="A656" s="153"/>
      <c r="B656" s="229"/>
      <c r="C656" s="230"/>
      <c r="D656" s="231"/>
      <c r="E656" s="157"/>
      <c r="F656" s="12"/>
      <c r="G656" s="158"/>
    </row>
    <row r="657">
      <c r="A657" s="153"/>
      <c r="B657" s="229"/>
      <c r="C657" s="230"/>
      <c r="D657" s="231"/>
      <c r="E657" s="157"/>
      <c r="F657" s="12"/>
      <c r="G657" s="158"/>
    </row>
    <row r="658">
      <c r="A658" s="153"/>
      <c r="B658" s="229"/>
      <c r="C658" s="230"/>
      <c r="D658" s="231"/>
      <c r="E658" s="157"/>
      <c r="F658" s="12"/>
      <c r="G658" s="158"/>
    </row>
    <row r="659">
      <c r="A659" s="153"/>
      <c r="B659" s="229"/>
      <c r="C659" s="230"/>
      <c r="D659" s="231"/>
      <c r="E659" s="157"/>
      <c r="F659" s="12"/>
      <c r="G659" s="158"/>
    </row>
    <row r="660">
      <c r="A660" s="153"/>
      <c r="B660" s="229"/>
      <c r="C660" s="230"/>
      <c r="D660" s="231"/>
      <c r="E660" s="157"/>
      <c r="F660" s="12"/>
      <c r="G660" s="158"/>
    </row>
    <row r="661">
      <c r="A661" s="153"/>
      <c r="B661" s="229"/>
      <c r="C661" s="230"/>
      <c r="D661" s="231"/>
      <c r="E661" s="157"/>
      <c r="F661" s="12"/>
      <c r="G661" s="158"/>
    </row>
    <row r="662">
      <c r="A662" s="153"/>
      <c r="B662" s="229"/>
      <c r="C662" s="230"/>
      <c r="D662" s="231"/>
      <c r="E662" s="157"/>
      <c r="F662" s="12"/>
      <c r="G662" s="158"/>
    </row>
    <row r="663">
      <c r="A663" s="153"/>
      <c r="B663" s="229"/>
      <c r="C663" s="230"/>
      <c r="D663" s="231"/>
      <c r="E663" s="157"/>
      <c r="F663" s="12"/>
      <c r="G663" s="158"/>
    </row>
    <row r="664">
      <c r="A664" s="153"/>
      <c r="B664" s="229"/>
      <c r="C664" s="230"/>
      <c r="D664" s="231"/>
      <c r="E664" s="157"/>
      <c r="F664" s="12"/>
      <c r="G664" s="158"/>
    </row>
    <row r="665">
      <c r="A665" s="153"/>
      <c r="B665" s="229"/>
      <c r="C665" s="230"/>
      <c r="D665" s="231"/>
      <c r="E665" s="157"/>
      <c r="F665" s="12"/>
      <c r="G665" s="158"/>
    </row>
    <row r="666">
      <c r="A666" s="153"/>
      <c r="B666" s="229"/>
      <c r="C666" s="230"/>
      <c r="D666" s="231"/>
      <c r="E666" s="157"/>
      <c r="F666" s="12"/>
      <c r="G666" s="158"/>
    </row>
    <row r="667">
      <c r="A667" s="153"/>
      <c r="B667" s="229"/>
      <c r="C667" s="230"/>
      <c r="D667" s="231"/>
      <c r="E667" s="157"/>
      <c r="F667" s="12"/>
      <c r="G667" s="158"/>
    </row>
    <row r="668">
      <c r="A668" s="153"/>
      <c r="B668" s="229"/>
      <c r="C668" s="230"/>
      <c r="D668" s="231"/>
      <c r="E668" s="157"/>
      <c r="F668" s="12"/>
      <c r="G668" s="158"/>
    </row>
    <row r="669">
      <c r="A669" s="153"/>
      <c r="B669" s="229"/>
      <c r="C669" s="230"/>
      <c r="D669" s="231"/>
      <c r="E669" s="157"/>
      <c r="F669" s="12"/>
      <c r="G669" s="158"/>
    </row>
    <row r="670">
      <c r="A670" s="153"/>
      <c r="B670" s="229"/>
      <c r="C670" s="230"/>
      <c r="D670" s="231"/>
      <c r="E670" s="157"/>
      <c r="F670" s="12"/>
      <c r="G670" s="158"/>
    </row>
    <row r="671">
      <c r="A671" s="153"/>
      <c r="B671" s="229"/>
      <c r="C671" s="230"/>
      <c r="D671" s="231"/>
      <c r="E671" s="157"/>
      <c r="F671" s="12"/>
      <c r="G671" s="158"/>
    </row>
    <row r="672">
      <c r="A672" s="153"/>
      <c r="B672" s="229"/>
      <c r="C672" s="230"/>
      <c r="D672" s="231"/>
      <c r="E672" s="157"/>
      <c r="F672" s="12"/>
      <c r="G672" s="158"/>
    </row>
    <row r="673">
      <c r="A673" s="153"/>
      <c r="B673" s="229"/>
      <c r="C673" s="230"/>
      <c r="D673" s="231"/>
      <c r="E673" s="157"/>
      <c r="F673" s="12"/>
      <c r="G673" s="158"/>
    </row>
    <row r="674">
      <c r="A674" s="153"/>
      <c r="B674" s="229"/>
      <c r="C674" s="230"/>
      <c r="D674" s="231"/>
      <c r="E674" s="157"/>
      <c r="F674" s="12"/>
      <c r="G674" s="158"/>
    </row>
    <row r="675">
      <c r="A675" s="153"/>
      <c r="B675" s="229"/>
      <c r="C675" s="230"/>
      <c r="D675" s="231"/>
      <c r="E675" s="157"/>
      <c r="F675" s="12"/>
      <c r="G675" s="158"/>
    </row>
    <row r="676">
      <c r="A676" s="153"/>
      <c r="B676" s="229"/>
      <c r="C676" s="230"/>
      <c r="D676" s="231"/>
      <c r="E676" s="157"/>
      <c r="F676" s="12"/>
      <c r="G676" s="158"/>
    </row>
    <row r="677">
      <c r="A677" s="153"/>
      <c r="B677" s="229"/>
      <c r="C677" s="230"/>
      <c r="D677" s="231"/>
      <c r="E677" s="157"/>
      <c r="F677" s="12"/>
      <c r="G677" s="158"/>
    </row>
    <row r="678">
      <c r="A678" s="153"/>
      <c r="B678" s="229"/>
      <c r="C678" s="230"/>
      <c r="D678" s="231"/>
      <c r="E678" s="157"/>
      <c r="F678" s="12"/>
      <c r="G678" s="158"/>
    </row>
    <row r="679">
      <c r="A679" s="153"/>
      <c r="B679" s="229"/>
      <c r="C679" s="230"/>
      <c r="D679" s="231"/>
      <c r="E679" s="157"/>
      <c r="F679" s="12"/>
      <c r="G679" s="158"/>
    </row>
    <row r="680">
      <c r="A680" s="153"/>
      <c r="B680" s="229"/>
      <c r="C680" s="230"/>
      <c r="D680" s="231"/>
      <c r="E680" s="157"/>
      <c r="F680" s="12"/>
      <c r="G680" s="158"/>
    </row>
    <row r="681">
      <c r="A681" s="153"/>
      <c r="B681" s="229"/>
      <c r="C681" s="230"/>
      <c r="D681" s="231"/>
      <c r="E681" s="157"/>
      <c r="F681" s="12"/>
      <c r="G681" s="158"/>
    </row>
    <row r="682">
      <c r="A682" s="153"/>
      <c r="B682" s="229"/>
      <c r="C682" s="230"/>
      <c r="D682" s="231"/>
      <c r="E682" s="157"/>
      <c r="F682" s="12"/>
      <c r="G682" s="158"/>
    </row>
    <row r="683">
      <c r="A683" s="153"/>
      <c r="B683" s="229"/>
      <c r="C683" s="230"/>
      <c r="D683" s="231"/>
      <c r="E683" s="157"/>
      <c r="F683" s="12"/>
      <c r="G683" s="158"/>
    </row>
    <row r="684">
      <c r="A684" s="153"/>
      <c r="B684" s="229"/>
      <c r="C684" s="230"/>
      <c r="D684" s="231"/>
      <c r="E684" s="157"/>
      <c r="F684" s="12"/>
      <c r="G684" s="158"/>
    </row>
    <row r="685">
      <c r="A685" s="153"/>
      <c r="B685" s="229"/>
      <c r="C685" s="230"/>
      <c r="D685" s="231"/>
      <c r="E685" s="157"/>
      <c r="F685" s="12"/>
      <c r="G685" s="158"/>
    </row>
    <row r="686">
      <c r="A686" s="153"/>
      <c r="B686" s="229"/>
      <c r="C686" s="230"/>
      <c r="D686" s="231"/>
      <c r="E686" s="157"/>
      <c r="F686" s="12"/>
      <c r="G686" s="158"/>
    </row>
    <row r="687">
      <c r="A687" s="153"/>
      <c r="B687" s="229"/>
      <c r="C687" s="230"/>
      <c r="D687" s="231"/>
      <c r="E687" s="157"/>
      <c r="F687" s="12"/>
      <c r="G687" s="158"/>
    </row>
    <row r="688">
      <c r="A688" s="153"/>
      <c r="B688" s="229"/>
      <c r="C688" s="230"/>
      <c r="D688" s="231"/>
      <c r="E688" s="157"/>
      <c r="F688" s="12"/>
      <c r="G688" s="158"/>
    </row>
    <row r="689">
      <c r="A689" s="153"/>
      <c r="B689" s="229"/>
      <c r="C689" s="230"/>
      <c r="D689" s="231"/>
      <c r="E689" s="157"/>
      <c r="F689" s="12"/>
      <c r="G689" s="158"/>
    </row>
    <row r="690">
      <c r="A690" s="153"/>
      <c r="B690" s="229"/>
      <c r="C690" s="230"/>
      <c r="D690" s="231"/>
      <c r="E690" s="157"/>
      <c r="F690" s="12"/>
      <c r="G690" s="158"/>
    </row>
    <row r="691">
      <c r="A691" s="153"/>
      <c r="B691" s="229"/>
      <c r="C691" s="230"/>
      <c r="D691" s="231"/>
      <c r="E691" s="157"/>
      <c r="F691" s="12"/>
      <c r="G691" s="158"/>
    </row>
    <row r="692">
      <c r="A692" s="153"/>
      <c r="B692" s="229"/>
      <c r="C692" s="230"/>
      <c r="D692" s="231"/>
      <c r="E692" s="157"/>
      <c r="F692" s="12"/>
      <c r="G692" s="158"/>
    </row>
    <row r="693">
      <c r="A693" s="153"/>
      <c r="B693" s="229"/>
      <c r="C693" s="230"/>
      <c r="D693" s="231"/>
      <c r="E693" s="157"/>
      <c r="F693" s="12"/>
      <c r="G693" s="158"/>
    </row>
    <row r="694">
      <c r="A694" s="153"/>
      <c r="B694" s="229"/>
      <c r="C694" s="230"/>
      <c r="D694" s="231"/>
      <c r="E694" s="157"/>
      <c r="F694" s="12"/>
      <c r="G694" s="158"/>
    </row>
    <row r="695">
      <c r="A695" s="153"/>
      <c r="B695" s="229"/>
      <c r="C695" s="230"/>
      <c r="D695" s="231"/>
      <c r="E695" s="157"/>
      <c r="F695" s="12"/>
      <c r="G695" s="158"/>
    </row>
    <row r="696">
      <c r="A696" s="153"/>
      <c r="B696" s="229"/>
      <c r="C696" s="230"/>
      <c r="D696" s="231"/>
      <c r="E696" s="157"/>
      <c r="F696" s="12"/>
      <c r="G696" s="158"/>
    </row>
    <row r="697">
      <c r="A697" s="153"/>
      <c r="B697" s="229"/>
      <c r="C697" s="230"/>
      <c r="D697" s="231"/>
      <c r="E697" s="157"/>
      <c r="F697" s="12"/>
      <c r="G697" s="158"/>
    </row>
    <row r="698">
      <c r="A698" s="153"/>
      <c r="B698" s="229"/>
      <c r="C698" s="230"/>
      <c r="D698" s="231"/>
      <c r="E698" s="157"/>
      <c r="F698" s="12"/>
      <c r="G698" s="158"/>
    </row>
    <row r="699">
      <c r="A699" s="153"/>
      <c r="B699" s="229"/>
      <c r="C699" s="230"/>
      <c r="D699" s="231"/>
      <c r="E699" s="157"/>
      <c r="F699" s="12"/>
      <c r="G699" s="158"/>
    </row>
    <row r="700">
      <c r="A700" s="153"/>
      <c r="B700" s="229"/>
      <c r="C700" s="230"/>
      <c r="D700" s="231"/>
      <c r="E700" s="157"/>
      <c r="F700" s="12"/>
      <c r="G700" s="158"/>
    </row>
    <row r="701">
      <c r="A701" s="153"/>
      <c r="B701" s="229"/>
      <c r="C701" s="230"/>
      <c r="D701" s="231"/>
      <c r="E701" s="157"/>
      <c r="F701" s="12"/>
      <c r="G701" s="158"/>
    </row>
    <row r="702">
      <c r="A702" s="153"/>
      <c r="B702" s="229"/>
      <c r="C702" s="230"/>
      <c r="D702" s="231"/>
      <c r="E702" s="157"/>
      <c r="F702" s="12"/>
      <c r="G702" s="158"/>
    </row>
    <row r="703">
      <c r="A703" s="153"/>
      <c r="B703" s="229"/>
      <c r="C703" s="230"/>
      <c r="D703" s="231"/>
      <c r="E703" s="157"/>
      <c r="F703" s="12"/>
      <c r="G703" s="158"/>
    </row>
    <row r="704">
      <c r="A704" s="153"/>
      <c r="B704" s="229"/>
      <c r="C704" s="230"/>
      <c r="D704" s="231"/>
      <c r="E704" s="157"/>
      <c r="F704" s="12"/>
      <c r="G704" s="158"/>
    </row>
    <row r="705">
      <c r="A705" s="153"/>
      <c r="B705" s="229"/>
      <c r="C705" s="230"/>
      <c r="D705" s="231"/>
      <c r="E705" s="157"/>
      <c r="F705" s="12"/>
      <c r="G705" s="158"/>
    </row>
    <row r="706">
      <c r="A706" s="153"/>
      <c r="B706" s="229"/>
      <c r="C706" s="230"/>
      <c r="D706" s="231"/>
      <c r="E706" s="157"/>
      <c r="F706" s="12"/>
      <c r="G706" s="158"/>
    </row>
    <row r="707">
      <c r="A707" s="153"/>
      <c r="B707" s="229"/>
      <c r="C707" s="230"/>
      <c r="D707" s="231"/>
      <c r="E707" s="157"/>
      <c r="F707" s="12"/>
      <c r="G707" s="158"/>
    </row>
    <row r="708">
      <c r="A708" s="153"/>
      <c r="B708" s="229"/>
      <c r="C708" s="230"/>
      <c r="D708" s="231"/>
      <c r="E708" s="157"/>
      <c r="F708" s="12"/>
      <c r="G708" s="158"/>
    </row>
    <row r="709">
      <c r="A709" s="153"/>
      <c r="B709" s="229"/>
      <c r="C709" s="230"/>
      <c r="D709" s="231"/>
      <c r="E709" s="157"/>
      <c r="F709" s="12"/>
      <c r="G709" s="158"/>
    </row>
    <row r="710">
      <c r="A710" s="153"/>
      <c r="B710" s="229"/>
      <c r="C710" s="230"/>
      <c r="D710" s="231"/>
      <c r="E710" s="157"/>
      <c r="F710" s="12"/>
      <c r="G710" s="158"/>
    </row>
    <row r="711">
      <c r="A711" s="153"/>
      <c r="B711" s="229"/>
      <c r="C711" s="230"/>
      <c r="D711" s="231"/>
      <c r="E711" s="157"/>
      <c r="F711" s="12"/>
      <c r="G711" s="158"/>
    </row>
    <row r="712">
      <c r="A712" s="153"/>
      <c r="B712" s="229"/>
      <c r="C712" s="230"/>
      <c r="D712" s="231"/>
      <c r="E712" s="157"/>
      <c r="F712" s="12"/>
      <c r="G712" s="158"/>
    </row>
    <row r="713">
      <c r="A713" s="153"/>
      <c r="B713" s="229"/>
      <c r="C713" s="230"/>
      <c r="D713" s="231"/>
      <c r="E713" s="157"/>
      <c r="F713" s="12"/>
      <c r="G713" s="158"/>
    </row>
    <row r="714">
      <c r="A714" s="153"/>
      <c r="B714" s="229"/>
      <c r="C714" s="230"/>
      <c r="D714" s="231"/>
      <c r="E714" s="157"/>
      <c r="F714" s="12"/>
      <c r="G714" s="158"/>
    </row>
    <row r="715">
      <c r="A715" s="153"/>
      <c r="B715" s="229"/>
      <c r="C715" s="230"/>
      <c r="D715" s="231"/>
      <c r="E715" s="157"/>
      <c r="F715" s="12"/>
      <c r="G715" s="158"/>
    </row>
    <row r="716">
      <c r="A716" s="153"/>
      <c r="B716" s="229"/>
      <c r="C716" s="230"/>
      <c r="D716" s="231"/>
      <c r="E716" s="157"/>
      <c r="F716" s="12"/>
      <c r="G716" s="158"/>
    </row>
    <row r="717">
      <c r="A717" s="153"/>
      <c r="B717" s="229"/>
      <c r="C717" s="230"/>
      <c r="D717" s="231"/>
      <c r="E717" s="157"/>
      <c r="F717" s="12"/>
      <c r="G717" s="158"/>
    </row>
    <row r="718">
      <c r="A718" s="153"/>
      <c r="B718" s="229"/>
      <c r="C718" s="230"/>
      <c r="D718" s="231"/>
      <c r="E718" s="157"/>
      <c r="F718" s="12"/>
      <c r="G718" s="158"/>
    </row>
    <row r="719">
      <c r="A719" s="153"/>
      <c r="B719" s="229"/>
      <c r="C719" s="230"/>
      <c r="D719" s="231"/>
      <c r="E719" s="157"/>
      <c r="F719" s="12"/>
      <c r="G719" s="158"/>
    </row>
    <row r="720">
      <c r="A720" s="153"/>
      <c r="B720" s="229"/>
      <c r="C720" s="230"/>
      <c r="D720" s="231"/>
      <c r="E720" s="157"/>
      <c r="F720" s="12"/>
      <c r="G720" s="158"/>
    </row>
    <row r="721">
      <c r="A721" s="153"/>
      <c r="B721" s="229"/>
      <c r="C721" s="230"/>
      <c r="D721" s="231"/>
      <c r="E721" s="157"/>
      <c r="F721" s="12"/>
      <c r="G721" s="158"/>
    </row>
    <row r="722">
      <c r="A722" s="153"/>
      <c r="B722" s="229"/>
      <c r="C722" s="230"/>
      <c r="D722" s="231"/>
      <c r="E722" s="157"/>
      <c r="F722" s="12"/>
      <c r="G722" s="158"/>
    </row>
    <row r="723">
      <c r="A723" s="153"/>
      <c r="B723" s="229"/>
      <c r="C723" s="230"/>
      <c r="D723" s="231"/>
      <c r="E723" s="157"/>
      <c r="F723" s="12"/>
      <c r="G723" s="158"/>
    </row>
    <row r="724">
      <c r="A724" s="153"/>
      <c r="B724" s="229"/>
      <c r="C724" s="230"/>
      <c r="D724" s="231"/>
      <c r="E724" s="157"/>
      <c r="F724" s="12"/>
      <c r="G724" s="158"/>
    </row>
    <row r="725">
      <c r="A725" s="153"/>
      <c r="B725" s="229"/>
      <c r="C725" s="230"/>
      <c r="D725" s="231"/>
      <c r="E725" s="157"/>
      <c r="F725" s="12"/>
      <c r="G725" s="158"/>
    </row>
    <row r="726">
      <c r="A726" s="153"/>
      <c r="B726" s="229"/>
      <c r="C726" s="230"/>
      <c r="D726" s="231"/>
      <c r="E726" s="157"/>
      <c r="F726" s="12"/>
      <c r="G726" s="158"/>
    </row>
    <row r="727">
      <c r="A727" s="153"/>
      <c r="B727" s="229"/>
      <c r="C727" s="230"/>
      <c r="D727" s="231"/>
      <c r="E727" s="157"/>
      <c r="F727" s="12"/>
      <c r="G727" s="158"/>
    </row>
    <row r="728">
      <c r="A728" s="153"/>
      <c r="B728" s="229"/>
      <c r="C728" s="230"/>
      <c r="D728" s="231"/>
      <c r="E728" s="157"/>
      <c r="F728" s="12"/>
      <c r="G728" s="158"/>
    </row>
    <row r="729">
      <c r="A729" s="153"/>
      <c r="B729" s="229"/>
      <c r="C729" s="230"/>
      <c r="D729" s="231"/>
      <c r="E729" s="157"/>
      <c r="F729" s="12"/>
      <c r="G729" s="158"/>
    </row>
    <row r="730">
      <c r="A730" s="153"/>
      <c r="B730" s="229"/>
      <c r="C730" s="230"/>
      <c r="D730" s="231"/>
      <c r="E730" s="157"/>
      <c r="F730" s="12"/>
      <c r="G730" s="158"/>
    </row>
    <row r="731">
      <c r="A731" s="153"/>
      <c r="B731" s="229"/>
      <c r="C731" s="230"/>
      <c r="D731" s="231"/>
      <c r="E731" s="157"/>
      <c r="F731" s="12"/>
      <c r="G731" s="158"/>
    </row>
    <row r="732">
      <c r="A732" s="153"/>
      <c r="B732" s="229"/>
      <c r="C732" s="230"/>
      <c r="D732" s="231"/>
      <c r="E732" s="157"/>
      <c r="F732" s="12"/>
      <c r="G732" s="158"/>
    </row>
    <row r="733">
      <c r="A733" s="153"/>
      <c r="B733" s="229"/>
      <c r="C733" s="230"/>
      <c r="D733" s="231"/>
      <c r="E733" s="157"/>
      <c r="F733" s="12"/>
      <c r="G733" s="158"/>
    </row>
    <row r="734">
      <c r="A734" s="153"/>
      <c r="B734" s="229"/>
      <c r="C734" s="230"/>
      <c r="D734" s="231"/>
      <c r="E734" s="157"/>
      <c r="F734" s="12"/>
      <c r="G734" s="158"/>
    </row>
    <row r="735">
      <c r="A735" s="153"/>
      <c r="B735" s="229"/>
      <c r="C735" s="230"/>
      <c r="D735" s="231"/>
      <c r="E735" s="157"/>
      <c r="F735" s="12"/>
      <c r="G735" s="158"/>
    </row>
    <row r="736">
      <c r="A736" s="153"/>
      <c r="B736" s="229"/>
      <c r="C736" s="230"/>
      <c r="D736" s="231"/>
      <c r="E736" s="157"/>
      <c r="F736" s="12"/>
      <c r="G736" s="158"/>
    </row>
    <row r="737">
      <c r="A737" s="153"/>
      <c r="B737" s="229"/>
      <c r="C737" s="230"/>
      <c r="D737" s="231"/>
      <c r="E737" s="157"/>
      <c r="F737" s="12"/>
      <c r="G737" s="158"/>
    </row>
    <row r="738">
      <c r="A738" s="153"/>
      <c r="B738" s="229"/>
      <c r="C738" s="230"/>
      <c r="D738" s="231"/>
      <c r="E738" s="157"/>
      <c r="F738" s="12"/>
      <c r="G738" s="158"/>
    </row>
    <row r="739">
      <c r="A739" s="153"/>
      <c r="B739" s="229"/>
      <c r="C739" s="230"/>
      <c r="D739" s="231"/>
      <c r="E739" s="157"/>
      <c r="F739" s="12"/>
      <c r="G739" s="158"/>
    </row>
    <row r="740">
      <c r="A740" s="153"/>
      <c r="B740" s="229"/>
      <c r="C740" s="230"/>
      <c r="D740" s="231"/>
      <c r="E740" s="157"/>
      <c r="F740" s="12"/>
      <c r="G740" s="158"/>
    </row>
    <row r="741">
      <c r="A741" s="153"/>
      <c r="B741" s="229"/>
      <c r="C741" s="230"/>
      <c r="D741" s="231"/>
      <c r="E741" s="157"/>
      <c r="F741" s="12"/>
      <c r="G741" s="158"/>
    </row>
    <row r="742">
      <c r="A742" s="153"/>
      <c r="B742" s="229"/>
      <c r="C742" s="230"/>
      <c r="D742" s="231"/>
      <c r="E742" s="157"/>
      <c r="F742" s="12"/>
      <c r="G742" s="158"/>
    </row>
    <row r="743">
      <c r="A743" s="153"/>
      <c r="B743" s="229"/>
      <c r="C743" s="230"/>
      <c r="D743" s="231"/>
      <c r="E743" s="157"/>
      <c r="F743" s="12"/>
      <c r="G743" s="158"/>
    </row>
    <row r="744">
      <c r="A744" s="153"/>
      <c r="B744" s="229"/>
      <c r="C744" s="230"/>
      <c r="D744" s="231"/>
      <c r="E744" s="157"/>
      <c r="F744" s="12"/>
      <c r="G744" s="158"/>
    </row>
    <row r="745">
      <c r="A745" s="153"/>
      <c r="B745" s="229"/>
      <c r="C745" s="230"/>
      <c r="D745" s="231"/>
      <c r="E745" s="157"/>
      <c r="F745" s="12"/>
      <c r="G745" s="158"/>
    </row>
    <row r="746">
      <c r="A746" s="153"/>
      <c r="B746" s="229"/>
      <c r="C746" s="230"/>
      <c r="D746" s="231"/>
      <c r="E746" s="157"/>
      <c r="F746" s="12"/>
      <c r="G746" s="158"/>
    </row>
    <row r="747">
      <c r="A747" s="153"/>
      <c r="B747" s="229"/>
      <c r="C747" s="230"/>
      <c r="D747" s="231"/>
      <c r="E747" s="157"/>
      <c r="F747" s="12"/>
      <c r="G747" s="158"/>
    </row>
    <row r="748">
      <c r="A748" s="153"/>
      <c r="B748" s="229"/>
      <c r="C748" s="230"/>
      <c r="D748" s="231"/>
      <c r="E748" s="157"/>
      <c r="F748" s="12"/>
      <c r="G748" s="158"/>
    </row>
    <row r="749">
      <c r="A749" s="153"/>
      <c r="B749" s="229"/>
      <c r="C749" s="230"/>
      <c r="D749" s="231"/>
      <c r="E749" s="157"/>
      <c r="F749" s="12"/>
      <c r="G749" s="158"/>
    </row>
    <row r="750">
      <c r="A750" s="153"/>
      <c r="B750" s="229"/>
      <c r="C750" s="230"/>
      <c r="D750" s="231"/>
      <c r="E750" s="157"/>
      <c r="F750" s="12"/>
      <c r="G750" s="158"/>
    </row>
    <row r="751">
      <c r="A751" s="153"/>
      <c r="B751" s="229"/>
      <c r="C751" s="230"/>
      <c r="D751" s="231"/>
      <c r="E751" s="157"/>
      <c r="F751" s="12"/>
      <c r="G751" s="158"/>
    </row>
    <row r="752">
      <c r="A752" s="153"/>
      <c r="B752" s="229"/>
      <c r="C752" s="230"/>
      <c r="D752" s="231"/>
      <c r="E752" s="157"/>
      <c r="F752" s="12"/>
      <c r="G752" s="158"/>
    </row>
    <row r="753">
      <c r="A753" s="153"/>
      <c r="B753" s="229"/>
      <c r="C753" s="230"/>
      <c r="D753" s="231"/>
      <c r="E753" s="157"/>
      <c r="F753" s="12"/>
      <c r="G753" s="158"/>
    </row>
    <row r="754">
      <c r="A754" s="153"/>
      <c r="B754" s="229"/>
      <c r="C754" s="230"/>
      <c r="D754" s="231"/>
      <c r="E754" s="157"/>
      <c r="F754" s="12"/>
      <c r="G754" s="158"/>
    </row>
    <row r="755">
      <c r="A755" s="153"/>
      <c r="B755" s="229"/>
      <c r="C755" s="230"/>
      <c r="D755" s="231"/>
      <c r="E755" s="157"/>
      <c r="F755" s="12"/>
      <c r="G755" s="158"/>
    </row>
    <row r="756">
      <c r="A756" s="153"/>
      <c r="B756" s="229"/>
      <c r="C756" s="230"/>
      <c r="D756" s="231"/>
      <c r="E756" s="157"/>
      <c r="F756" s="12"/>
      <c r="G756" s="158"/>
    </row>
    <row r="757">
      <c r="A757" s="153"/>
      <c r="B757" s="229"/>
      <c r="C757" s="230"/>
      <c r="D757" s="231"/>
      <c r="E757" s="157"/>
      <c r="F757" s="12"/>
      <c r="G757" s="158"/>
    </row>
    <row r="758">
      <c r="A758" s="153"/>
      <c r="B758" s="229"/>
      <c r="C758" s="230"/>
      <c r="D758" s="231"/>
      <c r="E758" s="157"/>
      <c r="F758" s="12"/>
      <c r="G758" s="158"/>
    </row>
    <row r="759">
      <c r="A759" s="153"/>
      <c r="B759" s="229"/>
      <c r="C759" s="230"/>
      <c r="D759" s="231"/>
      <c r="E759" s="157"/>
      <c r="F759" s="12"/>
      <c r="G759" s="158"/>
    </row>
    <row r="760">
      <c r="A760" s="153"/>
      <c r="B760" s="229"/>
      <c r="C760" s="230"/>
      <c r="D760" s="231"/>
      <c r="E760" s="157"/>
      <c r="F760" s="12"/>
      <c r="G760" s="158"/>
    </row>
    <row r="761">
      <c r="A761" s="153"/>
      <c r="B761" s="229"/>
      <c r="C761" s="230"/>
      <c r="D761" s="231"/>
      <c r="E761" s="157"/>
      <c r="F761" s="12"/>
      <c r="G761" s="158"/>
    </row>
    <row r="762">
      <c r="A762" s="153"/>
      <c r="B762" s="229"/>
      <c r="C762" s="230"/>
      <c r="D762" s="231"/>
      <c r="E762" s="157"/>
      <c r="F762" s="12"/>
      <c r="G762" s="158"/>
    </row>
    <row r="763">
      <c r="A763" s="153"/>
      <c r="B763" s="229"/>
      <c r="C763" s="230"/>
      <c r="D763" s="231"/>
      <c r="E763" s="157"/>
      <c r="F763" s="12"/>
      <c r="G763" s="158"/>
    </row>
    <row r="764">
      <c r="A764" s="153"/>
      <c r="B764" s="229"/>
      <c r="C764" s="230"/>
      <c r="D764" s="231"/>
      <c r="E764" s="157"/>
      <c r="F764" s="12"/>
      <c r="G764" s="158"/>
    </row>
    <row r="765">
      <c r="A765" s="153"/>
      <c r="B765" s="229"/>
      <c r="C765" s="230"/>
      <c r="D765" s="231"/>
      <c r="E765" s="157"/>
      <c r="F765" s="12"/>
      <c r="G765" s="158"/>
    </row>
    <row r="766">
      <c r="A766" s="153"/>
      <c r="B766" s="229"/>
      <c r="C766" s="230"/>
      <c r="D766" s="231"/>
      <c r="E766" s="157"/>
      <c r="F766" s="12"/>
      <c r="G766" s="158"/>
    </row>
    <row r="767">
      <c r="A767" s="153"/>
      <c r="B767" s="229"/>
      <c r="C767" s="230"/>
      <c r="D767" s="231"/>
      <c r="E767" s="157"/>
      <c r="F767" s="12"/>
      <c r="G767" s="158"/>
    </row>
    <row r="768">
      <c r="A768" s="153"/>
      <c r="B768" s="229"/>
      <c r="C768" s="230"/>
      <c r="D768" s="231"/>
      <c r="E768" s="157"/>
      <c r="F768" s="12"/>
      <c r="G768" s="158"/>
    </row>
    <row r="769">
      <c r="A769" s="153"/>
      <c r="B769" s="229"/>
      <c r="C769" s="230"/>
      <c r="D769" s="231"/>
      <c r="E769" s="157"/>
      <c r="F769" s="12"/>
      <c r="G769" s="158"/>
    </row>
    <row r="770">
      <c r="A770" s="153"/>
      <c r="B770" s="229"/>
      <c r="C770" s="230"/>
      <c r="D770" s="231"/>
      <c r="E770" s="157"/>
      <c r="F770" s="12"/>
      <c r="G770" s="158"/>
    </row>
    <row r="771">
      <c r="A771" s="153"/>
      <c r="B771" s="229"/>
      <c r="C771" s="230"/>
      <c r="D771" s="231"/>
      <c r="E771" s="157"/>
      <c r="F771" s="12"/>
      <c r="G771" s="158"/>
    </row>
    <row r="772">
      <c r="A772" s="153"/>
      <c r="B772" s="229"/>
      <c r="C772" s="230"/>
      <c r="D772" s="231"/>
      <c r="E772" s="157"/>
      <c r="F772" s="12"/>
      <c r="G772" s="158"/>
    </row>
    <row r="773">
      <c r="A773" s="153"/>
      <c r="B773" s="229"/>
      <c r="C773" s="230"/>
      <c r="D773" s="231"/>
      <c r="E773" s="157"/>
      <c r="F773" s="12"/>
      <c r="G773" s="158"/>
    </row>
    <row r="774">
      <c r="A774" s="153"/>
      <c r="B774" s="229"/>
      <c r="C774" s="230"/>
      <c r="D774" s="231"/>
      <c r="E774" s="157"/>
      <c r="F774" s="12"/>
      <c r="G774" s="158"/>
    </row>
    <row r="775">
      <c r="A775" s="153"/>
      <c r="B775" s="229"/>
      <c r="C775" s="230"/>
      <c r="D775" s="231"/>
      <c r="E775" s="157"/>
      <c r="F775" s="12"/>
      <c r="G775" s="158"/>
    </row>
    <row r="776">
      <c r="A776" s="153"/>
      <c r="B776" s="229"/>
      <c r="C776" s="230"/>
      <c r="D776" s="231"/>
      <c r="E776" s="157"/>
      <c r="F776" s="12"/>
      <c r="G776" s="158"/>
    </row>
    <row r="777">
      <c r="A777" s="153"/>
      <c r="B777" s="229"/>
      <c r="C777" s="230"/>
      <c r="D777" s="231"/>
      <c r="E777" s="157"/>
      <c r="F777" s="12"/>
      <c r="G777" s="158"/>
    </row>
    <row r="778">
      <c r="A778" s="153"/>
      <c r="B778" s="229"/>
      <c r="C778" s="230"/>
      <c r="D778" s="231"/>
      <c r="E778" s="157"/>
      <c r="F778" s="12"/>
      <c r="G778" s="158"/>
    </row>
    <row r="779">
      <c r="A779" s="153"/>
      <c r="B779" s="229"/>
      <c r="C779" s="230"/>
      <c r="D779" s="231"/>
      <c r="E779" s="157"/>
      <c r="F779" s="12"/>
      <c r="G779" s="158"/>
    </row>
    <row r="780">
      <c r="A780" s="153"/>
      <c r="B780" s="229"/>
      <c r="C780" s="230"/>
      <c r="D780" s="231"/>
      <c r="E780" s="157"/>
      <c r="F780" s="12"/>
      <c r="G780" s="158"/>
    </row>
    <row r="781">
      <c r="A781" s="153"/>
      <c r="B781" s="229"/>
      <c r="C781" s="230"/>
      <c r="D781" s="231"/>
      <c r="E781" s="157"/>
      <c r="F781" s="12"/>
      <c r="G781" s="158"/>
    </row>
    <row r="782">
      <c r="A782" s="153"/>
      <c r="B782" s="229"/>
      <c r="C782" s="230"/>
      <c r="D782" s="231"/>
      <c r="E782" s="157"/>
      <c r="F782" s="12"/>
      <c r="G782" s="158"/>
    </row>
    <row r="783">
      <c r="A783" s="153"/>
      <c r="B783" s="229"/>
      <c r="C783" s="230"/>
      <c r="D783" s="231"/>
      <c r="E783" s="157"/>
      <c r="F783" s="12"/>
      <c r="G783" s="158"/>
    </row>
    <row r="784">
      <c r="A784" s="153"/>
      <c r="B784" s="229"/>
      <c r="C784" s="230"/>
      <c r="D784" s="231"/>
      <c r="E784" s="157"/>
      <c r="F784" s="12"/>
      <c r="G784" s="158"/>
    </row>
    <row r="785">
      <c r="A785" s="153"/>
      <c r="B785" s="229"/>
      <c r="C785" s="230"/>
      <c r="D785" s="231"/>
      <c r="E785" s="157"/>
      <c r="F785" s="12"/>
      <c r="G785" s="158"/>
    </row>
    <row r="786">
      <c r="A786" s="153"/>
      <c r="B786" s="229"/>
      <c r="C786" s="230"/>
      <c r="D786" s="231"/>
      <c r="E786" s="157"/>
      <c r="F786" s="12"/>
      <c r="G786" s="158"/>
    </row>
    <row r="787">
      <c r="A787" s="153"/>
      <c r="B787" s="229"/>
      <c r="C787" s="230"/>
      <c r="D787" s="231"/>
      <c r="E787" s="157"/>
      <c r="F787" s="12"/>
      <c r="G787" s="158"/>
    </row>
    <row r="788">
      <c r="A788" s="153"/>
      <c r="B788" s="229"/>
      <c r="C788" s="230"/>
      <c r="D788" s="231"/>
      <c r="E788" s="157"/>
      <c r="F788" s="12"/>
      <c r="G788" s="158"/>
    </row>
    <row r="789">
      <c r="A789" s="153"/>
      <c r="B789" s="229"/>
      <c r="C789" s="230"/>
      <c r="D789" s="231"/>
      <c r="E789" s="157"/>
      <c r="F789" s="12"/>
      <c r="G789" s="158"/>
    </row>
    <row r="790">
      <c r="A790" s="153"/>
      <c r="B790" s="229"/>
      <c r="C790" s="230"/>
      <c r="D790" s="231"/>
      <c r="E790" s="157"/>
      <c r="F790" s="12"/>
      <c r="G790" s="158"/>
    </row>
    <row r="791">
      <c r="A791" s="153"/>
      <c r="B791" s="229"/>
      <c r="C791" s="230"/>
      <c r="D791" s="231"/>
      <c r="E791" s="157"/>
      <c r="F791" s="12"/>
      <c r="G791" s="158"/>
    </row>
    <row r="792">
      <c r="A792" s="153"/>
      <c r="B792" s="229"/>
      <c r="C792" s="230"/>
      <c r="D792" s="231"/>
      <c r="E792" s="157"/>
      <c r="F792" s="12"/>
      <c r="G792" s="158"/>
    </row>
    <row r="793">
      <c r="A793" s="153"/>
      <c r="B793" s="229"/>
      <c r="C793" s="230"/>
      <c r="D793" s="231"/>
      <c r="E793" s="157"/>
      <c r="F793" s="12"/>
      <c r="G793" s="158"/>
    </row>
    <row r="794">
      <c r="A794" s="153"/>
      <c r="B794" s="229"/>
      <c r="C794" s="230"/>
      <c r="D794" s="231"/>
      <c r="E794" s="157"/>
      <c r="F794" s="12"/>
      <c r="G794" s="158"/>
    </row>
    <row r="795">
      <c r="A795" s="153"/>
      <c r="B795" s="229"/>
      <c r="C795" s="230"/>
      <c r="D795" s="231"/>
      <c r="E795" s="157"/>
      <c r="F795" s="12"/>
      <c r="G795" s="158"/>
    </row>
    <row r="796">
      <c r="A796" s="153"/>
      <c r="B796" s="229"/>
      <c r="C796" s="230"/>
      <c r="D796" s="231"/>
      <c r="E796" s="157"/>
      <c r="F796" s="12"/>
      <c r="G796" s="158"/>
    </row>
    <row r="797">
      <c r="A797" s="153"/>
      <c r="B797" s="229"/>
      <c r="C797" s="230"/>
      <c r="D797" s="231"/>
      <c r="E797" s="157"/>
      <c r="F797" s="12"/>
      <c r="G797" s="158"/>
    </row>
    <row r="798">
      <c r="A798" s="153"/>
      <c r="B798" s="229"/>
      <c r="C798" s="230"/>
      <c r="D798" s="231"/>
      <c r="E798" s="157"/>
      <c r="F798" s="12"/>
      <c r="G798" s="158"/>
    </row>
    <row r="799">
      <c r="A799" s="153"/>
      <c r="B799" s="229"/>
      <c r="C799" s="230"/>
      <c r="D799" s="231"/>
      <c r="E799" s="157"/>
      <c r="F799" s="12"/>
      <c r="G799" s="158"/>
    </row>
    <row r="800">
      <c r="A800" s="153"/>
      <c r="B800" s="229"/>
      <c r="C800" s="230"/>
      <c r="D800" s="231"/>
      <c r="E800" s="157"/>
      <c r="F800" s="12"/>
      <c r="G800" s="158"/>
    </row>
    <row r="801">
      <c r="A801" s="153"/>
      <c r="B801" s="229"/>
      <c r="C801" s="230"/>
      <c r="D801" s="231"/>
      <c r="E801" s="157"/>
      <c r="F801" s="12"/>
      <c r="G801" s="158"/>
    </row>
    <row r="802">
      <c r="A802" s="153"/>
      <c r="B802" s="229"/>
      <c r="C802" s="230"/>
      <c r="D802" s="231"/>
      <c r="E802" s="157"/>
      <c r="F802" s="12"/>
      <c r="G802" s="158"/>
    </row>
    <row r="803">
      <c r="A803" s="153"/>
      <c r="B803" s="229"/>
      <c r="C803" s="230"/>
      <c r="D803" s="231"/>
      <c r="E803" s="157"/>
      <c r="F803" s="12"/>
      <c r="G803" s="158"/>
    </row>
    <row r="804">
      <c r="A804" s="153"/>
      <c r="B804" s="229"/>
      <c r="C804" s="230"/>
      <c r="D804" s="231"/>
      <c r="E804" s="157"/>
      <c r="F804" s="12"/>
      <c r="G804" s="158"/>
    </row>
    <row r="805">
      <c r="A805" s="153"/>
      <c r="B805" s="229"/>
      <c r="C805" s="230"/>
      <c r="D805" s="231"/>
      <c r="E805" s="157"/>
      <c r="F805" s="12"/>
      <c r="G805" s="158"/>
    </row>
    <row r="806">
      <c r="A806" s="153"/>
      <c r="B806" s="229"/>
      <c r="C806" s="230"/>
      <c r="D806" s="231"/>
      <c r="E806" s="157"/>
      <c r="F806" s="12"/>
      <c r="G806" s="158"/>
    </row>
    <row r="807">
      <c r="A807" s="153"/>
      <c r="B807" s="229"/>
      <c r="C807" s="230"/>
      <c r="D807" s="231"/>
      <c r="E807" s="157"/>
      <c r="F807" s="12"/>
      <c r="G807" s="158"/>
    </row>
    <row r="808">
      <c r="A808" s="153"/>
      <c r="B808" s="229"/>
      <c r="C808" s="230"/>
      <c r="D808" s="231"/>
      <c r="E808" s="157"/>
      <c r="F808" s="12"/>
      <c r="G808" s="158"/>
    </row>
    <row r="809">
      <c r="A809" s="153"/>
      <c r="B809" s="229"/>
      <c r="C809" s="230"/>
      <c r="D809" s="231"/>
      <c r="E809" s="157"/>
      <c r="F809" s="12"/>
      <c r="G809" s="158"/>
    </row>
    <row r="810">
      <c r="A810" s="153"/>
      <c r="B810" s="229"/>
      <c r="C810" s="230"/>
      <c r="D810" s="231"/>
      <c r="E810" s="157"/>
      <c r="F810" s="12"/>
      <c r="G810" s="158"/>
    </row>
    <row r="811">
      <c r="A811" s="153"/>
      <c r="B811" s="229"/>
      <c r="C811" s="230"/>
      <c r="D811" s="231"/>
      <c r="E811" s="157"/>
      <c r="F811" s="12"/>
      <c r="G811" s="158"/>
    </row>
    <row r="812">
      <c r="A812" s="153"/>
      <c r="B812" s="229"/>
      <c r="C812" s="230"/>
      <c r="D812" s="231"/>
      <c r="E812" s="157"/>
      <c r="F812" s="12"/>
      <c r="G812" s="158"/>
    </row>
    <row r="813">
      <c r="A813" s="153"/>
      <c r="B813" s="229"/>
      <c r="C813" s="230"/>
      <c r="D813" s="231"/>
      <c r="E813" s="157"/>
      <c r="F813" s="12"/>
      <c r="G813" s="158"/>
    </row>
    <row r="814">
      <c r="A814" s="153"/>
      <c r="B814" s="229"/>
      <c r="C814" s="230"/>
      <c r="D814" s="231"/>
      <c r="E814" s="157"/>
      <c r="F814" s="12"/>
      <c r="G814" s="158"/>
    </row>
    <row r="815">
      <c r="A815" s="153"/>
      <c r="B815" s="229"/>
      <c r="C815" s="230"/>
      <c r="D815" s="231"/>
      <c r="E815" s="157"/>
      <c r="F815" s="12"/>
      <c r="G815" s="158"/>
    </row>
    <row r="816">
      <c r="A816" s="153"/>
      <c r="B816" s="229"/>
      <c r="C816" s="230"/>
      <c r="D816" s="231"/>
      <c r="E816" s="157"/>
      <c r="F816" s="12"/>
      <c r="G816" s="158"/>
    </row>
    <row r="817">
      <c r="A817" s="153"/>
      <c r="B817" s="229"/>
      <c r="C817" s="230"/>
      <c r="D817" s="231"/>
      <c r="E817" s="157"/>
      <c r="F817" s="12"/>
      <c r="G817" s="158"/>
    </row>
    <row r="818">
      <c r="A818" s="153"/>
      <c r="B818" s="229"/>
      <c r="C818" s="230"/>
      <c r="D818" s="231"/>
      <c r="E818" s="157"/>
      <c r="F818" s="12"/>
      <c r="G818" s="158"/>
    </row>
    <row r="819">
      <c r="A819" s="153"/>
      <c r="B819" s="229"/>
      <c r="C819" s="230"/>
      <c r="D819" s="231"/>
      <c r="E819" s="157"/>
      <c r="F819" s="12"/>
      <c r="G819" s="158"/>
    </row>
    <row r="820">
      <c r="A820" s="153"/>
      <c r="B820" s="229"/>
      <c r="C820" s="230"/>
      <c r="D820" s="231"/>
      <c r="E820" s="157"/>
      <c r="F820" s="12"/>
      <c r="G820" s="158"/>
    </row>
    <row r="821">
      <c r="A821" s="153"/>
      <c r="B821" s="229"/>
      <c r="C821" s="230"/>
      <c r="D821" s="231"/>
      <c r="E821" s="157"/>
      <c r="F821" s="12"/>
      <c r="G821" s="158"/>
    </row>
    <row r="822">
      <c r="A822" s="153"/>
      <c r="B822" s="229"/>
      <c r="C822" s="230"/>
      <c r="D822" s="231"/>
      <c r="E822" s="157"/>
      <c r="F822" s="12"/>
      <c r="G822" s="158"/>
    </row>
    <row r="823">
      <c r="A823" s="153"/>
      <c r="B823" s="229"/>
      <c r="C823" s="230"/>
      <c r="D823" s="231"/>
      <c r="E823" s="157"/>
      <c r="F823" s="12"/>
      <c r="G823" s="158"/>
    </row>
    <row r="824">
      <c r="A824" s="153"/>
      <c r="B824" s="229"/>
      <c r="C824" s="230"/>
      <c r="D824" s="231"/>
      <c r="E824" s="157"/>
      <c r="F824" s="12"/>
      <c r="G824" s="158"/>
    </row>
    <row r="825">
      <c r="A825" s="153"/>
      <c r="B825" s="229"/>
      <c r="C825" s="230"/>
      <c r="D825" s="231"/>
      <c r="E825" s="157"/>
      <c r="F825" s="12"/>
      <c r="G825" s="158"/>
    </row>
    <row r="826">
      <c r="A826" s="153"/>
      <c r="B826" s="229"/>
      <c r="C826" s="230"/>
      <c r="D826" s="231"/>
      <c r="E826" s="157"/>
      <c r="F826" s="12"/>
      <c r="G826" s="158"/>
    </row>
    <row r="827">
      <c r="A827" s="153"/>
      <c r="B827" s="229"/>
      <c r="C827" s="230"/>
      <c r="D827" s="231"/>
      <c r="E827" s="157"/>
      <c r="F827" s="12"/>
      <c r="G827" s="158"/>
    </row>
    <row r="828">
      <c r="A828" s="153"/>
      <c r="B828" s="229"/>
      <c r="C828" s="230"/>
      <c r="D828" s="231"/>
      <c r="E828" s="157"/>
      <c r="F828" s="12"/>
      <c r="G828" s="158"/>
    </row>
    <row r="829">
      <c r="A829" s="153"/>
      <c r="B829" s="229"/>
      <c r="C829" s="230"/>
      <c r="D829" s="231"/>
      <c r="E829" s="157"/>
      <c r="F829" s="12"/>
      <c r="G829" s="158"/>
    </row>
    <row r="830">
      <c r="A830" s="153"/>
      <c r="B830" s="229"/>
      <c r="C830" s="230"/>
      <c r="D830" s="231"/>
      <c r="E830" s="157"/>
      <c r="F830" s="12"/>
      <c r="G830" s="158"/>
    </row>
    <row r="831">
      <c r="A831" s="153"/>
      <c r="B831" s="229"/>
      <c r="C831" s="230"/>
      <c r="D831" s="231"/>
      <c r="E831" s="157"/>
      <c r="F831" s="12"/>
      <c r="G831" s="158"/>
    </row>
    <row r="832">
      <c r="A832" s="153"/>
      <c r="B832" s="229"/>
      <c r="C832" s="230"/>
      <c r="D832" s="231"/>
      <c r="E832" s="157"/>
      <c r="F832" s="12"/>
      <c r="G832" s="158"/>
    </row>
    <row r="833">
      <c r="A833" s="153"/>
      <c r="B833" s="229"/>
      <c r="C833" s="230"/>
      <c r="D833" s="231"/>
      <c r="E833" s="157"/>
      <c r="F833" s="12"/>
      <c r="G833" s="158"/>
    </row>
    <row r="834">
      <c r="A834" s="153"/>
      <c r="B834" s="229"/>
      <c r="C834" s="230"/>
      <c r="D834" s="231"/>
      <c r="E834" s="157"/>
      <c r="F834" s="12"/>
      <c r="G834" s="158"/>
    </row>
    <row r="835">
      <c r="A835" s="153"/>
      <c r="B835" s="229"/>
      <c r="C835" s="230"/>
      <c r="D835" s="231"/>
      <c r="E835" s="157"/>
      <c r="F835" s="12"/>
      <c r="G835" s="158"/>
    </row>
    <row r="836">
      <c r="A836" s="153"/>
      <c r="B836" s="229"/>
      <c r="C836" s="230"/>
      <c r="D836" s="231"/>
      <c r="E836" s="157"/>
      <c r="F836" s="12"/>
      <c r="G836" s="158"/>
    </row>
    <row r="837">
      <c r="A837" s="153"/>
      <c r="B837" s="229"/>
      <c r="C837" s="230"/>
      <c r="D837" s="231"/>
      <c r="E837" s="157"/>
      <c r="F837" s="12"/>
      <c r="G837" s="158"/>
    </row>
    <row r="838">
      <c r="A838" s="153"/>
      <c r="B838" s="229"/>
      <c r="C838" s="230"/>
      <c r="D838" s="231"/>
      <c r="E838" s="157"/>
      <c r="F838" s="12"/>
      <c r="G838" s="158"/>
    </row>
    <row r="839">
      <c r="A839" s="153"/>
      <c r="B839" s="229"/>
      <c r="C839" s="230"/>
      <c r="D839" s="231"/>
      <c r="E839" s="157"/>
      <c r="F839" s="12"/>
      <c r="G839" s="158"/>
    </row>
    <row r="840">
      <c r="A840" s="153"/>
      <c r="B840" s="229"/>
      <c r="C840" s="230"/>
      <c r="D840" s="231"/>
      <c r="E840" s="157"/>
      <c r="F840" s="12"/>
      <c r="G840" s="158"/>
    </row>
    <row r="841">
      <c r="A841" s="153"/>
      <c r="B841" s="229"/>
      <c r="C841" s="230"/>
      <c r="D841" s="231"/>
      <c r="E841" s="157"/>
      <c r="F841" s="12"/>
      <c r="G841" s="158"/>
    </row>
    <row r="842">
      <c r="A842" s="153"/>
      <c r="B842" s="229"/>
      <c r="C842" s="230"/>
      <c r="D842" s="231"/>
      <c r="E842" s="157"/>
      <c r="F842" s="12"/>
      <c r="G842" s="158"/>
    </row>
    <row r="843">
      <c r="A843" s="153"/>
      <c r="B843" s="229"/>
      <c r="C843" s="230"/>
      <c r="D843" s="231"/>
      <c r="E843" s="157"/>
      <c r="F843" s="12"/>
      <c r="G843" s="158"/>
    </row>
    <row r="844">
      <c r="A844" s="153"/>
      <c r="B844" s="229"/>
      <c r="C844" s="230"/>
      <c r="D844" s="231"/>
      <c r="E844" s="157"/>
      <c r="F844" s="12"/>
      <c r="G844" s="158"/>
    </row>
    <row r="845">
      <c r="A845" s="153"/>
      <c r="B845" s="229"/>
      <c r="C845" s="230"/>
      <c r="D845" s="231"/>
      <c r="E845" s="157"/>
      <c r="F845" s="12"/>
      <c r="G845" s="158"/>
    </row>
    <row r="846">
      <c r="A846" s="153"/>
      <c r="B846" s="229"/>
      <c r="C846" s="230"/>
      <c r="D846" s="231"/>
      <c r="E846" s="157"/>
      <c r="F846" s="12"/>
      <c r="G846" s="158"/>
    </row>
    <row r="847">
      <c r="A847" s="153"/>
      <c r="B847" s="229"/>
      <c r="C847" s="230"/>
      <c r="D847" s="231"/>
      <c r="E847" s="157"/>
      <c r="F847" s="12"/>
      <c r="G847" s="158"/>
    </row>
    <row r="848">
      <c r="A848" s="153"/>
      <c r="B848" s="229"/>
      <c r="C848" s="230"/>
      <c r="D848" s="231"/>
      <c r="E848" s="157"/>
      <c r="F848" s="12"/>
      <c r="G848" s="158"/>
    </row>
    <row r="849">
      <c r="A849" s="153"/>
      <c r="B849" s="229"/>
      <c r="C849" s="230"/>
      <c r="D849" s="231"/>
      <c r="E849" s="157"/>
      <c r="F849" s="12"/>
      <c r="G849" s="158"/>
    </row>
    <row r="850">
      <c r="A850" s="153"/>
      <c r="B850" s="229"/>
      <c r="C850" s="230"/>
      <c r="D850" s="231"/>
      <c r="E850" s="157"/>
      <c r="F850" s="12"/>
      <c r="G850" s="158"/>
    </row>
    <row r="851">
      <c r="A851" s="153"/>
      <c r="B851" s="229"/>
      <c r="C851" s="230"/>
      <c r="D851" s="231"/>
      <c r="E851" s="157"/>
      <c r="F851" s="12"/>
      <c r="G851" s="158"/>
    </row>
    <row r="852">
      <c r="A852" s="153"/>
      <c r="B852" s="229"/>
      <c r="C852" s="230"/>
      <c r="D852" s="231"/>
      <c r="E852" s="157"/>
      <c r="F852" s="12"/>
      <c r="G852" s="158"/>
    </row>
    <row r="853">
      <c r="A853" s="153"/>
      <c r="B853" s="229"/>
      <c r="C853" s="230"/>
      <c r="D853" s="231"/>
      <c r="E853" s="157"/>
      <c r="F853" s="12"/>
      <c r="G853" s="158"/>
    </row>
    <row r="854">
      <c r="A854" s="153"/>
      <c r="B854" s="229"/>
      <c r="C854" s="230"/>
      <c r="D854" s="231"/>
      <c r="E854" s="157"/>
      <c r="F854" s="12"/>
      <c r="G854" s="158"/>
    </row>
    <row r="855">
      <c r="A855" s="153"/>
      <c r="B855" s="229"/>
      <c r="C855" s="230"/>
      <c r="D855" s="231"/>
      <c r="E855" s="157"/>
      <c r="F855" s="12"/>
      <c r="G855" s="158"/>
    </row>
    <row r="856">
      <c r="A856" s="153"/>
      <c r="B856" s="229"/>
      <c r="C856" s="230"/>
      <c r="D856" s="231"/>
      <c r="E856" s="157"/>
      <c r="F856" s="12"/>
      <c r="G856" s="158"/>
    </row>
    <row r="857">
      <c r="A857" s="153"/>
      <c r="B857" s="229"/>
      <c r="C857" s="230"/>
      <c r="D857" s="231"/>
      <c r="E857" s="157"/>
      <c r="F857" s="12"/>
      <c r="G857" s="158"/>
    </row>
    <row r="858">
      <c r="A858" s="153"/>
      <c r="B858" s="229"/>
      <c r="C858" s="230"/>
      <c r="D858" s="231"/>
      <c r="E858" s="157"/>
      <c r="F858" s="12"/>
      <c r="G858" s="158"/>
    </row>
    <row r="859">
      <c r="A859" s="153"/>
      <c r="B859" s="229"/>
      <c r="C859" s="230"/>
      <c r="D859" s="231"/>
      <c r="E859" s="157"/>
      <c r="F859" s="12"/>
      <c r="G859" s="158"/>
    </row>
    <row r="860">
      <c r="A860" s="153"/>
      <c r="B860" s="229"/>
      <c r="C860" s="230"/>
      <c r="D860" s="231"/>
      <c r="E860" s="157"/>
      <c r="F860" s="12"/>
      <c r="G860" s="158"/>
    </row>
    <row r="861">
      <c r="A861" s="153"/>
      <c r="B861" s="229"/>
      <c r="C861" s="230"/>
      <c r="D861" s="231"/>
      <c r="E861" s="157"/>
      <c r="F861" s="12"/>
      <c r="G861" s="158"/>
    </row>
    <row r="862">
      <c r="A862" s="153"/>
      <c r="B862" s="229"/>
      <c r="C862" s="230"/>
      <c r="D862" s="231"/>
      <c r="E862" s="157"/>
      <c r="F862" s="12"/>
      <c r="G862" s="158"/>
    </row>
    <row r="863">
      <c r="A863" s="153"/>
      <c r="B863" s="229"/>
      <c r="C863" s="230"/>
      <c r="D863" s="231"/>
      <c r="E863" s="157"/>
      <c r="F863" s="12"/>
      <c r="G863" s="158"/>
    </row>
    <row r="864">
      <c r="A864" s="153"/>
      <c r="B864" s="229"/>
      <c r="C864" s="230"/>
      <c r="D864" s="231"/>
      <c r="E864" s="157"/>
      <c r="F864" s="12"/>
      <c r="G864" s="158"/>
    </row>
    <row r="865">
      <c r="A865" s="153"/>
      <c r="B865" s="229"/>
      <c r="C865" s="230"/>
      <c r="D865" s="231"/>
      <c r="E865" s="157"/>
      <c r="F865" s="12"/>
      <c r="G865" s="158"/>
    </row>
    <row r="866">
      <c r="A866" s="153"/>
      <c r="B866" s="229"/>
      <c r="C866" s="230"/>
      <c r="D866" s="231"/>
      <c r="E866" s="157"/>
      <c r="F866" s="12"/>
      <c r="G866" s="158"/>
    </row>
    <row r="867">
      <c r="A867" s="153"/>
      <c r="B867" s="229"/>
      <c r="C867" s="230"/>
      <c r="D867" s="231"/>
      <c r="E867" s="157"/>
      <c r="F867" s="12"/>
      <c r="G867" s="158"/>
    </row>
    <row r="868">
      <c r="A868" s="153"/>
      <c r="B868" s="229"/>
      <c r="C868" s="230"/>
      <c r="D868" s="231"/>
      <c r="E868" s="157"/>
      <c r="F868" s="12"/>
      <c r="G868" s="158"/>
    </row>
    <row r="869">
      <c r="A869" s="153"/>
      <c r="B869" s="229"/>
      <c r="C869" s="230"/>
      <c r="D869" s="231"/>
      <c r="E869" s="157"/>
      <c r="F869" s="12"/>
      <c r="G869" s="158"/>
    </row>
    <row r="870">
      <c r="A870" s="153"/>
      <c r="B870" s="229"/>
      <c r="C870" s="230"/>
      <c r="D870" s="231"/>
      <c r="E870" s="157"/>
      <c r="F870" s="12"/>
      <c r="G870" s="158"/>
    </row>
    <row r="871">
      <c r="A871" s="153"/>
      <c r="B871" s="229"/>
      <c r="C871" s="230"/>
      <c r="D871" s="231"/>
      <c r="E871" s="157"/>
      <c r="F871" s="12"/>
      <c r="G871" s="158"/>
    </row>
    <row r="872">
      <c r="A872" s="153"/>
      <c r="B872" s="229"/>
      <c r="C872" s="230"/>
      <c r="D872" s="231"/>
      <c r="E872" s="157"/>
      <c r="F872" s="12"/>
      <c r="G872" s="158"/>
    </row>
    <row r="873">
      <c r="A873" s="153"/>
      <c r="B873" s="229"/>
      <c r="C873" s="230"/>
      <c r="D873" s="231"/>
      <c r="E873" s="157"/>
      <c r="F873" s="12"/>
      <c r="G873" s="158"/>
    </row>
    <row r="874">
      <c r="A874" s="153"/>
      <c r="B874" s="229"/>
      <c r="C874" s="230"/>
      <c r="D874" s="231"/>
      <c r="E874" s="157"/>
      <c r="F874" s="12"/>
      <c r="G874" s="158"/>
    </row>
    <row r="875">
      <c r="A875" s="153"/>
      <c r="B875" s="229"/>
      <c r="C875" s="230"/>
      <c r="D875" s="231"/>
      <c r="E875" s="157"/>
      <c r="F875" s="12"/>
      <c r="G875" s="158"/>
    </row>
    <row r="876">
      <c r="A876" s="153"/>
      <c r="B876" s="229"/>
      <c r="C876" s="230"/>
      <c r="D876" s="231"/>
      <c r="E876" s="157"/>
      <c r="F876" s="12"/>
      <c r="G876" s="158"/>
    </row>
    <row r="877">
      <c r="A877" s="153"/>
      <c r="B877" s="229"/>
      <c r="C877" s="230"/>
      <c r="D877" s="231"/>
      <c r="E877" s="157"/>
      <c r="F877" s="12"/>
      <c r="G877" s="158"/>
    </row>
    <row r="878">
      <c r="A878" s="153"/>
      <c r="B878" s="229"/>
      <c r="C878" s="230"/>
      <c r="D878" s="231"/>
      <c r="E878" s="157"/>
      <c r="F878" s="12"/>
      <c r="G878" s="158"/>
    </row>
    <row r="879">
      <c r="A879" s="153"/>
      <c r="B879" s="229"/>
      <c r="C879" s="230"/>
      <c r="D879" s="231"/>
      <c r="E879" s="157"/>
      <c r="F879" s="12"/>
      <c r="G879" s="158"/>
    </row>
    <row r="880">
      <c r="A880" s="153"/>
      <c r="B880" s="229"/>
      <c r="C880" s="230"/>
      <c r="D880" s="231"/>
      <c r="E880" s="157"/>
      <c r="F880" s="12"/>
      <c r="G880" s="158"/>
    </row>
    <row r="881">
      <c r="A881" s="153"/>
      <c r="B881" s="229"/>
      <c r="C881" s="230"/>
      <c r="D881" s="231"/>
      <c r="E881" s="157"/>
      <c r="F881" s="12"/>
      <c r="G881" s="158"/>
    </row>
    <row r="882">
      <c r="A882" s="153"/>
      <c r="B882" s="229"/>
      <c r="C882" s="230"/>
      <c r="D882" s="231"/>
      <c r="E882" s="157"/>
      <c r="F882" s="12"/>
      <c r="G882" s="158"/>
    </row>
    <row r="883">
      <c r="A883" s="153"/>
      <c r="B883" s="229"/>
      <c r="C883" s="230"/>
      <c r="D883" s="231"/>
      <c r="E883" s="157"/>
      <c r="F883" s="12"/>
      <c r="G883" s="158"/>
    </row>
    <row r="884">
      <c r="A884" s="153"/>
      <c r="B884" s="229"/>
      <c r="C884" s="230"/>
      <c r="D884" s="231"/>
      <c r="E884" s="157"/>
      <c r="F884" s="12"/>
      <c r="G884" s="158"/>
    </row>
    <row r="885">
      <c r="A885" s="153"/>
      <c r="B885" s="229"/>
      <c r="C885" s="230"/>
      <c r="D885" s="231"/>
      <c r="E885" s="157"/>
      <c r="F885" s="12"/>
      <c r="G885" s="158"/>
    </row>
    <row r="886">
      <c r="A886" s="153"/>
      <c r="B886" s="229"/>
      <c r="C886" s="230"/>
      <c r="D886" s="231"/>
      <c r="E886" s="157"/>
      <c r="F886" s="12"/>
      <c r="G886" s="158"/>
    </row>
    <row r="887">
      <c r="A887" s="153"/>
      <c r="B887" s="229"/>
      <c r="C887" s="230"/>
      <c r="D887" s="231"/>
      <c r="E887" s="157"/>
      <c r="F887" s="12"/>
      <c r="G887" s="158"/>
    </row>
    <row r="888">
      <c r="A888" s="153"/>
      <c r="B888" s="229"/>
      <c r="C888" s="230"/>
      <c r="D888" s="231"/>
      <c r="E888" s="157"/>
      <c r="F888" s="12"/>
      <c r="G888" s="158"/>
    </row>
    <row r="889">
      <c r="A889" s="153"/>
      <c r="B889" s="229"/>
      <c r="C889" s="230"/>
      <c r="D889" s="231"/>
      <c r="E889" s="157"/>
      <c r="F889" s="12"/>
      <c r="G889" s="158"/>
    </row>
    <row r="890">
      <c r="A890" s="153"/>
      <c r="B890" s="229"/>
      <c r="C890" s="230"/>
      <c r="D890" s="231"/>
      <c r="E890" s="157"/>
      <c r="F890" s="12"/>
      <c r="G890" s="158"/>
    </row>
    <row r="891">
      <c r="A891" s="153"/>
      <c r="B891" s="229"/>
      <c r="C891" s="230"/>
      <c r="D891" s="231"/>
      <c r="E891" s="157"/>
      <c r="F891" s="12"/>
      <c r="G891" s="158"/>
    </row>
    <row r="892">
      <c r="A892" s="153"/>
      <c r="B892" s="229"/>
      <c r="C892" s="230"/>
      <c r="D892" s="231"/>
      <c r="E892" s="157"/>
      <c r="F892" s="12"/>
      <c r="G892" s="158"/>
    </row>
    <row r="893">
      <c r="A893" s="153"/>
      <c r="B893" s="229"/>
      <c r="C893" s="230"/>
      <c r="D893" s="231"/>
      <c r="E893" s="157"/>
      <c r="F893" s="12"/>
      <c r="G893" s="158"/>
    </row>
    <row r="894">
      <c r="A894" s="153"/>
      <c r="B894" s="229"/>
      <c r="C894" s="230"/>
      <c r="D894" s="231"/>
      <c r="E894" s="157"/>
      <c r="F894" s="12"/>
      <c r="G894" s="158"/>
    </row>
    <row r="895">
      <c r="A895" s="153"/>
      <c r="B895" s="229"/>
      <c r="C895" s="230"/>
      <c r="D895" s="231"/>
      <c r="E895" s="157"/>
      <c r="F895" s="12"/>
      <c r="G895" s="158"/>
    </row>
    <row r="896">
      <c r="A896" s="153"/>
      <c r="B896" s="229"/>
      <c r="C896" s="230"/>
      <c r="D896" s="231"/>
      <c r="E896" s="157"/>
      <c r="F896" s="12"/>
      <c r="G896" s="158"/>
    </row>
    <row r="897">
      <c r="A897" s="153"/>
      <c r="B897" s="229"/>
      <c r="C897" s="230"/>
      <c r="D897" s="231"/>
      <c r="E897" s="157"/>
      <c r="F897" s="12"/>
      <c r="G897" s="158"/>
    </row>
    <row r="898">
      <c r="A898" s="153"/>
      <c r="B898" s="229"/>
      <c r="C898" s="230"/>
      <c r="D898" s="231"/>
      <c r="E898" s="157"/>
      <c r="F898" s="12"/>
      <c r="G898" s="158"/>
    </row>
    <row r="899">
      <c r="A899" s="153"/>
      <c r="B899" s="229"/>
      <c r="C899" s="230"/>
      <c r="D899" s="231"/>
      <c r="E899" s="157"/>
      <c r="F899" s="12"/>
      <c r="G899" s="158"/>
    </row>
    <row r="900">
      <c r="A900" s="153"/>
      <c r="B900" s="229"/>
      <c r="C900" s="230"/>
      <c r="D900" s="231"/>
      <c r="E900" s="157"/>
      <c r="F900" s="12"/>
      <c r="G900" s="158"/>
    </row>
    <row r="901">
      <c r="A901" s="153"/>
      <c r="B901" s="229"/>
      <c r="C901" s="230"/>
      <c r="D901" s="231"/>
      <c r="E901" s="157"/>
      <c r="F901" s="12"/>
      <c r="G901" s="158"/>
    </row>
    <row r="902">
      <c r="A902" s="153"/>
      <c r="B902" s="229"/>
      <c r="C902" s="230"/>
      <c r="D902" s="231"/>
      <c r="E902" s="157"/>
      <c r="F902" s="12"/>
      <c r="G902" s="158"/>
    </row>
    <row r="903">
      <c r="A903" s="153"/>
      <c r="B903" s="229"/>
      <c r="C903" s="230"/>
      <c r="D903" s="231"/>
      <c r="E903" s="157"/>
      <c r="F903" s="12"/>
      <c r="G903" s="158"/>
    </row>
    <row r="904">
      <c r="A904" s="153"/>
      <c r="B904" s="229"/>
      <c r="C904" s="230"/>
      <c r="D904" s="231"/>
      <c r="E904" s="157"/>
      <c r="F904" s="12"/>
      <c r="G904" s="158"/>
    </row>
    <row r="905">
      <c r="A905" s="153"/>
      <c r="B905" s="229"/>
      <c r="C905" s="230"/>
      <c r="D905" s="231"/>
      <c r="E905" s="157"/>
      <c r="F905" s="12"/>
      <c r="G905" s="158"/>
    </row>
    <row r="906">
      <c r="A906" s="153"/>
      <c r="B906" s="229"/>
      <c r="C906" s="230"/>
      <c r="D906" s="231"/>
      <c r="E906" s="157"/>
      <c r="F906" s="12"/>
      <c r="G906" s="158"/>
    </row>
    <row r="907">
      <c r="A907" s="153"/>
      <c r="B907" s="229"/>
      <c r="C907" s="230"/>
      <c r="D907" s="231"/>
      <c r="E907" s="157"/>
      <c r="F907" s="12"/>
      <c r="G907" s="158"/>
    </row>
    <row r="908">
      <c r="A908" s="153"/>
      <c r="B908" s="229"/>
      <c r="C908" s="230"/>
      <c r="D908" s="231"/>
      <c r="E908" s="157"/>
      <c r="F908" s="12"/>
      <c r="G908" s="158"/>
    </row>
    <row r="909">
      <c r="A909" s="153"/>
      <c r="B909" s="229"/>
      <c r="C909" s="230"/>
      <c r="D909" s="231"/>
      <c r="E909" s="157"/>
      <c r="F909" s="12"/>
      <c r="G909" s="158"/>
    </row>
    <row r="910">
      <c r="A910" s="153"/>
      <c r="B910" s="229"/>
      <c r="C910" s="230"/>
      <c r="D910" s="231"/>
      <c r="E910" s="157"/>
      <c r="F910" s="12"/>
      <c r="G910" s="158"/>
    </row>
    <row r="911">
      <c r="A911" s="153"/>
      <c r="B911" s="229"/>
      <c r="C911" s="230"/>
      <c r="D911" s="231"/>
      <c r="E911" s="157"/>
      <c r="F911" s="12"/>
      <c r="G911" s="158"/>
    </row>
    <row r="912">
      <c r="A912" s="153"/>
      <c r="B912" s="229"/>
      <c r="C912" s="230"/>
      <c r="D912" s="231"/>
      <c r="E912" s="157"/>
      <c r="F912" s="12"/>
      <c r="G912" s="158"/>
    </row>
    <row r="913">
      <c r="A913" s="153"/>
      <c r="B913" s="229"/>
      <c r="C913" s="230"/>
      <c r="D913" s="231"/>
      <c r="E913" s="157"/>
      <c r="F913" s="12"/>
      <c r="G913" s="158"/>
    </row>
    <row r="914">
      <c r="A914" s="153"/>
      <c r="B914" s="229"/>
      <c r="C914" s="230"/>
      <c r="D914" s="231"/>
      <c r="E914" s="157"/>
      <c r="F914" s="12"/>
      <c r="G914" s="158"/>
    </row>
    <row r="915">
      <c r="A915" s="153"/>
      <c r="B915" s="229"/>
      <c r="C915" s="230"/>
      <c r="D915" s="231"/>
      <c r="E915" s="157"/>
      <c r="F915" s="12"/>
      <c r="G915" s="158"/>
    </row>
    <row r="916">
      <c r="A916" s="153"/>
      <c r="B916" s="229"/>
      <c r="C916" s="230"/>
      <c r="D916" s="231"/>
      <c r="E916" s="157"/>
      <c r="F916" s="12"/>
      <c r="G916" s="158"/>
    </row>
    <row r="917">
      <c r="A917" s="153"/>
      <c r="B917" s="229"/>
      <c r="C917" s="230"/>
      <c r="D917" s="231"/>
      <c r="E917" s="157"/>
      <c r="F917" s="12"/>
      <c r="G917" s="158"/>
    </row>
    <row r="918">
      <c r="A918" s="153"/>
      <c r="B918" s="229"/>
      <c r="C918" s="230"/>
      <c r="D918" s="231"/>
      <c r="E918" s="157"/>
      <c r="F918" s="12"/>
      <c r="G918" s="158"/>
    </row>
    <row r="919">
      <c r="A919" s="153"/>
      <c r="B919" s="229"/>
      <c r="C919" s="230"/>
      <c r="D919" s="231"/>
      <c r="E919" s="157"/>
      <c r="F919" s="12"/>
      <c r="G919" s="158"/>
    </row>
    <row r="920">
      <c r="A920" s="153"/>
      <c r="B920" s="229"/>
      <c r="C920" s="230"/>
      <c r="D920" s="231"/>
      <c r="E920" s="157"/>
      <c r="F920" s="12"/>
      <c r="G920" s="158"/>
    </row>
    <row r="921">
      <c r="A921" s="153"/>
      <c r="B921" s="229"/>
      <c r="C921" s="230"/>
      <c r="D921" s="231"/>
      <c r="E921" s="157"/>
      <c r="F921" s="12"/>
      <c r="G921" s="158"/>
    </row>
    <row r="922">
      <c r="A922" s="153"/>
      <c r="B922" s="229"/>
      <c r="C922" s="230"/>
      <c r="D922" s="231"/>
      <c r="E922" s="157"/>
      <c r="F922" s="12"/>
      <c r="G922" s="158"/>
    </row>
    <row r="923">
      <c r="A923" s="153"/>
      <c r="B923" s="229"/>
      <c r="C923" s="230"/>
      <c r="D923" s="231"/>
      <c r="E923" s="157"/>
      <c r="F923" s="12"/>
      <c r="G923" s="158"/>
    </row>
    <row r="924">
      <c r="A924" s="153"/>
      <c r="B924" s="229"/>
      <c r="C924" s="230"/>
      <c r="D924" s="231"/>
      <c r="E924" s="157"/>
      <c r="F924" s="12"/>
      <c r="G924" s="158"/>
    </row>
    <row r="925">
      <c r="A925" s="153"/>
      <c r="B925" s="229"/>
      <c r="C925" s="230"/>
      <c r="D925" s="231"/>
      <c r="E925" s="157"/>
      <c r="F925" s="12"/>
      <c r="G925" s="158"/>
    </row>
    <row r="926">
      <c r="A926" s="153"/>
      <c r="B926" s="229"/>
      <c r="C926" s="230"/>
      <c r="D926" s="231"/>
      <c r="E926" s="157"/>
      <c r="F926" s="12"/>
      <c r="G926" s="158"/>
    </row>
    <row r="927">
      <c r="A927" s="153"/>
      <c r="B927" s="229"/>
      <c r="C927" s="230"/>
      <c r="D927" s="231"/>
      <c r="E927" s="157"/>
      <c r="F927" s="12"/>
      <c r="G927" s="158"/>
    </row>
    <row r="928">
      <c r="A928" s="153"/>
      <c r="B928" s="229"/>
      <c r="C928" s="230"/>
      <c r="D928" s="231"/>
      <c r="E928" s="157"/>
      <c r="F928" s="12"/>
      <c r="G928" s="158"/>
    </row>
    <row r="929">
      <c r="A929" s="153"/>
      <c r="B929" s="229"/>
      <c r="C929" s="230"/>
      <c r="D929" s="231"/>
      <c r="E929" s="157"/>
      <c r="F929" s="12"/>
      <c r="G929" s="158"/>
    </row>
    <row r="930">
      <c r="A930" s="153"/>
      <c r="B930" s="229"/>
      <c r="C930" s="230"/>
      <c r="D930" s="231"/>
      <c r="E930" s="157"/>
      <c r="F930" s="12"/>
      <c r="G930" s="158"/>
    </row>
    <row r="931">
      <c r="A931" s="153"/>
      <c r="B931" s="229"/>
      <c r="C931" s="230"/>
      <c r="D931" s="231"/>
      <c r="E931" s="157"/>
      <c r="F931" s="12"/>
      <c r="G931" s="158"/>
    </row>
    <row r="932">
      <c r="A932" s="153"/>
      <c r="B932" s="229"/>
      <c r="C932" s="230"/>
      <c r="D932" s="231"/>
      <c r="E932" s="157"/>
      <c r="F932" s="12"/>
      <c r="G932" s="158"/>
    </row>
    <row r="933">
      <c r="A933" s="153"/>
      <c r="B933" s="229"/>
      <c r="C933" s="230"/>
      <c r="D933" s="231"/>
      <c r="E933" s="157"/>
      <c r="F933" s="12"/>
      <c r="G933" s="158"/>
    </row>
    <row r="934">
      <c r="A934" s="153"/>
      <c r="B934" s="229"/>
      <c r="C934" s="230"/>
      <c r="D934" s="231"/>
      <c r="E934" s="157"/>
      <c r="F934" s="12"/>
      <c r="G934" s="158"/>
    </row>
    <row r="935">
      <c r="A935" s="153"/>
      <c r="B935" s="229"/>
      <c r="C935" s="230"/>
      <c r="D935" s="231"/>
      <c r="E935" s="157"/>
      <c r="F935" s="12"/>
      <c r="G935" s="158"/>
    </row>
    <row r="936">
      <c r="A936" s="153"/>
      <c r="B936" s="229"/>
      <c r="C936" s="230"/>
      <c r="D936" s="231"/>
      <c r="E936" s="157"/>
      <c r="F936" s="12"/>
      <c r="G936" s="158"/>
    </row>
    <row r="937">
      <c r="A937" s="153"/>
      <c r="B937" s="229"/>
      <c r="C937" s="230"/>
      <c r="D937" s="231"/>
      <c r="E937" s="157"/>
      <c r="F937" s="12"/>
      <c r="G937" s="158"/>
    </row>
    <row r="938">
      <c r="A938" s="153"/>
      <c r="B938" s="229"/>
      <c r="C938" s="230"/>
      <c r="D938" s="231"/>
      <c r="E938" s="157"/>
      <c r="F938" s="12"/>
      <c r="G938" s="158"/>
    </row>
    <row r="939">
      <c r="A939" s="153"/>
      <c r="B939" s="229"/>
      <c r="C939" s="230"/>
      <c r="D939" s="231"/>
      <c r="E939" s="157"/>
      <c r="F939" s="12"/>
      <c r="G939" s="158"/>
    </row>
    <row r="940">
      <c r="A940" s="153"/>
      <c r="B940" s="229"/>
      <c r="C940" s="230"/>
      <c r="D940" s="231"/>
      <c r="E940" s="157"/>
      <c r="F940" s="12"/>
      <c r="G940" s="158"/>
    </row>
    <row r="941">
      <c r="A941" s="153"/>
      <c r="B941" s="229"/>
      <c r="C941" s="230"/>
      <c r="D941" s="231"/>
      <c r="E941" s="157"/>
      <c r="F941" s="12"/>
      <c r="G941" s="158"/>
    </row>
    <row r="942">
      <c r="A942" s="153"/>
      <c r="B942" s="229"/>
      <c r="C942" s="230"/>
      <c r="D942" s="231"/>
      <c r="E942" s="157"/>
      <c r="F942" s="12"/>
      <c r="G942" s="158"/>
    </row>
    <row r="943">
      <c r="A943" s="153"/>
      <c r="B943" s="229"/>
      <c r="C943" s="230"/>
      <c r="D943" s="231"/>
      <c r="E943" s="157"/>
      <c r="F943" s="12"/>
      <c r="G943" s="158"/>
    </row>
    <row r="944">
      <c r="A944" s="153"/>
      <c r="B944" s="229"/>
      <c r="C944" s="230"/>
      <c r="D944" s="231"/>
      <c r="E944" s="157"/>
      <c r="F944" s="12"/>
      <c r="G944" s="158"/>
    </row>
    <row r="945">
      <c r="A945" s="153"/>
      <c r="B945" s="229"/>
      <c r="C945" s="230"/>
      <c r="D945" s="231"/>
      <c r="E945" s="157"/>
      <c r="F945" s="12"/>
      <c r="G945" s="158"/>
    </row>
    <row r="946">
      <c r="A946" s="153"/>
      <c r="B946" s="229"/>
      <c r="C946" s="230"/>
      <c r="D946" s="231"/>
      <c r="E946" s="157"/>
      <c r="F946" s="12"/>
      <c r="G946" s="158"/>
    </row>
    <row r="947">
      <c r="A947" s="153"/>
      <c r="B947" s="229"/>
      <c r="C947" s="230"/>
      <c r="D947" s="231"/>
      <c r="E947" s="157"/>
      <c r="F947" s="12"/>
      <c r="G947" s="158"/>
    </row>
    <row r="948">
      <c r="A948" s="153"/>
      <c r="B948" s="229"/>
      <c r="C948" s="230"/>
      <c r="D948" s="231"/>
      <c r="E948" s="157"/>
      <c r="F948" s="12"/>
      <c r="G948" s="158"/>
    </row>
    <row r="949">
      <c r="A949" s="153"/>
      <c r="B949" s="229"/>
      <c r="C949" s="230"/>
      <c r="D949" s="231"/>
      <c r="E949" s="157"/>
      <c r="F949" s="12"/>
      <c r="G949" s="158"/>
    </row>
    <row r="950">
      <c r="A950" s="153"/>
      <c r="B950" s="229"/>
      <c r="C950" s="230"/>
      <c r="D950" s="231"/>
      <c r="E950" s="157"/>
      <c r="F950" s="12"/>
      <c r="G950" s="158"/>
    </row>
    <row r="951">
      <c r="A951" s="153"/>
      <c r="B951" s="229"/>
      <c r="C951" s="230"/>
      <c r="D951" s="231"/>
      <c r="E951" s="157"/>
      <c r="F951" s="12"/>
      <c r="G951" s="158"/>
    </row>
    <row r="952">
      <c r="A952" s="153"/>
      <c r="B952" s="229"/>
      <c r="C952" s="230"/>
      <c r="D952" s="231"/>
      <c r="E952" s="157"/>
      <c r="F952" s="12"/>
      <c r="G952" s="158"/>
    </row>
    <row r="953">
      <c r="A953" s="153"/>
      <c r="B953" s="229"/>
      <c r="C953" s="230"/>
      <c r="D953" s="231"/>
      <c r="E953" s="157"/>
      <c r="F953" s="12"/>
      <c r="G953" s="158"/>
    </row>
    <row r="954">
      <c r="A954" s="153"/>
      <c r="B954" s="229"/>
      <c r="C954" s="230"/>
      <c r="D954" s="231"/>
      <c r="E954" s="157"/>
      <c r="F954" s="12"/>
      <c r="G954" s="158"/>
    </row>
    <row r="955">
      <c r="A955" s="153"/>
      <c r="B955" s="229"/>
      <c r="C955" s="230"/>
      <c r="D955" s="231"/>
      <c r="E955" s="157"/>
      <c r="F955" s="12"/>
      <c r="G955" s="158"/>
    </row>
    <row r="956">
      <c r="A956" s="153"/>
      <c r="B956" s="229"/>
      <c r="C956" s="230"/>
      <c r="D956" s="231"/>
      <c r="E956" s="157"/>
      <c r="F956" s="12"/>
      <c r="G956" s="158"/>
    </row>
    <row r="957">
      <c r="A957" s="153"/>
      <c r="B957" s="229"/>
      <c r="C957" s="230"/>
      <c r="D957" s="231"/>
      <c r="E957" s="157"/>
      <c r="F957" s="12"/>
      <c r="G957" s="158"/>
    </row>
    <row r="958">
      <c r="A958" s="153"/>
      <c r="B958" s="229"/>
      <c r="C958" s="230"/>
      <c r="D958" s="231"/>
      <c r="E958" s="157"/>
      <c r="F958" s="12"/>
      <c r="G958" s="158"/>
    </row>
    <row r="959">
      <c r="A959" s="153"/>
      <c r="B959" s="229"/>
      <c r="C959" s="230"/>
      <c r="D959" s="231"/>
      <c r="E959" s="157"/>
      <c r="F959" s="12"/>
      <c r="G959" s="158"/>
    </row>
    <row r="960">
      <c r="A960" s="153"/>
      <c r="B960" s="229"/>
      <c r="C960" s="230"/>
      <c r="D960" s="231"/>
      <c r="E960" s="157"/>
      <c r="F960" s="12"/>
      <c r="G960" s="158"/>
    </row>
    <row r="961">
      <c r="A961" s="153"/>
      <c r="B961" s="229"/>
      <c r="C961" s="230"/>
      <c r="D961" s="231"/>
      <c r="E961" s="157"/>
      <c r="F961" s="12"/>
      <c r="G961" s="158"/>
    </row>
    <row r="962">
      <c r="A962" s="153"/>
      <c r="B962" s="229"/>
      <c r="C962" s="230"/>
      <c r="D962" s="231"/>
      <c r="E962" s="157"/>
      <c r="F962" s="12"/>
      <c r="G962" s="158"/>
    </row>
    <row r="963">
      <c r="A963" s="153"/>
      <c r="B963" s="229"/>
      <c r="C963" s="230"/>
      <c r="D963" s="231"/>
      <c r="E963" s="157"/>
      <c r="F963" s="12"/>
      <c r="G963" s="158"/>
    </row>
    <row r="964">
      <c r="A964" s="153"/>
      <c r="B964" s="229"/>
      <c r="C964" s="230"/>
      <c r="D964" s="231"/>
      <c r="E964" s="157"/>
      <c r="F964" s="12"/>
      <c r="G964" s="158"/>
    </row>
    <row r="965">
      <c r="A965" s="153"/>
      <c r="B965" s="229"/>
      <c r="C965" s="230"/>
      <c r="D965" s="231"/>
      <c r="E965" s="157"/>
      <c r="F965" s="12"/>
      <c r="G965" s="158"/>
    </row>
    <row r="966">
      <c r="A966" s="153"/>
      <c r="B966" s="229"/>
      <c r="C966" s="230"/>
      <c r="D966" s="231"/>
      <c r="E966" s="157"/>
      <c r="F966" s="12"/>
      <c r="G966" s="158"/>
    </row>
    <row r="967">
      <c r="A967" s="153"/>
      <c r="B967" s="229"/>
      <c r="C967" s="230"/>
      <c r="D967" s="231"/>
      <c r="E967" s="157"/>
      <c r="F967" s="12"/>
      <c r="G967" s="158"/>
    </row>
    <row r="968">
      <c r="A968" s="153"/>
      <c r="B968" s="229"/>
      <c r="C968" s="230"/>
      <c r="D968" s="231"/>
      <c r="E968" s="157"/>
      <c r="F968" s="12"/>
      <c r="G968" s="158"/>
    </row>
    <row r="969">
      <c r="A969" s="153"/>
      <c r="B969" s="229"/>
      <c r="C969" s="230"/>
      <c r="D969" s="231"/>
      <c r="E969" s="157"/>
      <c r="F969" s="12"/>
      <c r="G969" s="158"/>
    </row>
    <row r="970">
      <c r="A970" s="153"/>
      <c r="B970" s="229"/>
      <c r="C970" s="230"/>
      <c r="D970" s="231"/>
      <c r="E970" s="157"/>
      <c r="F970" s="12"/>
      <c r="G970" s="158"/>
    </row>
    <row r="971">
      <c r="A971" s="153"/>
      <c r="B971" s="229"/>
      <c r="C971" s="230"/>
      <c r="D971" s="231"/>
      <c r="E971" s="157"/>
      <c r="F971" s="12"/>
      <c r="G971" s="158"/>
    </row>
    <row r="972">
      <c r="A972" s="153"/>
      <c r="B972" s="229"/>
      <c r="C972" s="230"/>
      <c r="D972" s="231"/>
      <c r="E972" s="157"/>
      <c r="F972" s="12"/>
      <c r="G972" s="158"/>
    </row>
    <row r="973">
      <c r="A973" s="153"/>
      <c r="B973" s="229"/>
      <c r="C973" s="230"/>
      <c r="D973" s="231"/>
      <c r="E973" s="157"/>
      <c r="F973" s="12"/>
      <c r="G973" s="158"/>
    </row>
    <row r="974">
      <c r="A974" s="153"/>
      <c r="B974" s="229"/>
      <c r="C974" s="230"/>
      <c r="D974" s="231"/>
      <c r="E974" s="157"/>
      <c r="F974" s="12"/>
      <c r="G974" s="158"/>
    </row>
    <row r="975">
      <c r="A975" s="153"/>
      <c r="B975" s="229"/>
      <c r="C975" s="230"/>
      <c r="D975" s="231"/>
      <c r="E975" s="157"/>
      <c r="F975" s="12"/>
      <c r="G975" s="158"/>
    </row>
    <row r="976">
      <c r="A976" s="153"/>
      <c r="B976" s="229"/>
      <c r="C976" s="230"/>
      <c r="D976" s="231"/>
      <c r="E976" s="157"/>
      <c r="F976" s="12"/>
      <c r="G976" s="158"/>
    </row>
    <row r="977">
      <c r="A977" s="153"/>
      <c r="B977" s="229"/>
      <c r="C977" s="230"/>
      <c r="D977" s="231"/>
      <c r="E977" s="157"/>
      <c r="F977" s="12"/>
      <c r="G977" s="158"/>
    </row>
    <row r="978">
      <c r="A978" s="153"/>
      <c r="B978" s="229"/>
      <c r="C978" s="230"/>
      <c r="D978" s="231"/>
      <c r="E978" s="157"/>
      <c r="F978" s="12"/>
      <c r="G978" s="158"/>
    </row>
    <row r="979">
      <c r="A979" s="153"/>
      <c r="B979" s="229"/>
      <c r="C979" s="230"/>
      <c r="D979" s="231"/>
      <c r="E979" s="157"/>
      <c r="F979" s="12"/>
      <c r="G979" s="158"/>
    </row>
    <row r="980">
      <c r="A980" s="153"/>
      <c r="B980" s="229"/>
      <c r="C980" s="230"/>
      <c r="D980" s="231"/>
      <c r="E980" s="157"/>
      <c r="F980" s="12"/>
      <c r="G980" s="158"/>
    </row>
    <row r="981">
      <c r="A981" s="153"/>
      <c r="B981" s="288" t="s">
        <v>494</v>
      </c>
      <c r="C981" s="230"/>
      <c r="D981" s="231"/>
      <c r="E981" s="157"/>
      <c r="F981" s="12"/>
      <c r="G981" s="158"/>
    </row>
    <row r="982">
      <c r="A982" s="153"/>
      <c r="B982" s="229"/>
      <c r="C982" s="230"/>
      <c r="D982" s="231"/>
      <c r="E982" s="157"/>
      <c r="F982" s="12"/>
      <c r="G982" s="158"/>
    </row>
    <row r="983">
      <c r="A983" s="153"/>
      <c r="B983" s="229"/>
      <c r="C983" s="230"/>
      <c r="D983" s="231"/>
      <c r="E983" s="157"/>
      <c r="F983" s="12"/>
      <c r="G983" s="158"/>
    </row>
    <row r="984">
      <c r="A984" s="153"/>
      <c r="B984" s="229"/>
      <c r="C984" s="230"/>
      <c r="D984" s="231"/>
      <c r="E984" s="157"/>
      <c r="F984" s="12"/>
      <c r="G984" s="158"/>
    </row>
    <row r="985">
      <c r="A985" s="153"/>
      <c r="B985" s="229"/>
      <c r="C985" s="230"/>
      <c r="D985" s="231"/>
      <c r="E985" s="157"/>
      <c r="F985" s="12"/>
      <c r="G985" s="158"/>
    </row>
    <row r="986">
      <c r="A986" s="153"/>
      <c r="B986" s="229"/>
      <c r="C986" s="230"/>
      <c r="D986" s="231"/>
      <c r="E986" s="157"/>
      <c r="F986" s="12"/>
      <c r="G986" s="158"/>
    </row>
    <row r="987">
      <c r="A987" s="153"/>
      <c r="B987" s="229"/>
      <c r="C987" s="230"/>
      <c r="D987" s="231"/>
      <c r="E987" s="157"/>
      <c r="F987" s="12"/>
      <c r="G987" s="158"/>
    </row>
    <row r="988">
      <c r="A988" s="153"/>
      <c r="B988" s="229"/>
      <c r="C988" s="230"/>
      <c r="D988" s="231"/>
      <c r="E988" s="157"/>
      <c r="F988" s="12"/>
      <c r="G988" s="158"/>
    </row>
    <row r="989">
      <c r="A989" s="153"/>
      <c r="B989" s="229"/>
      <c r="C989" s="230"/>
      <c r="D989" s="231"/>
      <c r="E989" s="157"/>
      <c r="F989" s="12"/>
      <c r="G989" s="158"/>
    </row>
    <row r="990">
      <c r="A990" s="153"/>
      <c r="B990" s="229"/>
      <c r="C990" s="230"/>
      <c r="D990" s="231"/>
      <c r="E990" s="157"/>
      <c r="F990" s="12"/>
      <c r="G990" s="158"/>
    </row>
    <row r="991">
      <c r="A991" s="153"/>
      <c r="B991" s="229"/>
      <c r="C991" s="230"/>
      <c r="D991" s="231"/>
      <c r="E991" s="157"/>
      <c r="F991" s="12"/>
      <c r="G991" s="158"/>
    </row>
    <row r="992">
      <c r="A992" s="153"/>
      <c r="B992" s="229"/>
      <c r="C992" s="230"/>
      <c r="D992" s="231"/>
      <c r="E992" s="157"/>
      <c r="F992" s="12"/>
      <c r="G992" s="158"/>
    </row>
    <row r="993">
      <c r="A993" s="153"/>
      <c r="B993" s="229"/>
      <c r="C993" s="230"/>
      <c r="D993" s="231"/>
      <c r="E993" s="157"/>
      <c r="F993" s="12"/>
      <c r="G993" s="158"/>
    </row>
    <row r="994">
      <c r="A994" s="153"/>
      <c r="B994" s="229"/>
      <c r="C994" s="230"/>
      <c r="D994" s="231"/>
      <c r="E994" s="157"/>
      <c r="F994" s="12"/>
      <c r="G994" s="158"/>
    </row>
    <row r="995">
      <c r="A995" s="153"/>
      <c r="B995" s="229"/>
      <c r="C995" s="230"/>
      <c r="D995" s="231"/>
      <c r="E995" s="157"/>
      <c r="F995" s="12"/>
      <c r="G995" s="158"/>
    </row>
    <row r="996">
      <c r="A996" s="153"/>
      <c r="B996" s="229"/>
      <c r="C996" s="230"/>
      <c r="D996" s="231"/>
      <c r="E996" s="157"/>
      <c r="F996" s="12"/>
      <c r="G996" s="158"/>
    </row>
    <row r="997">
      <c r="A997" s="153"/>
      <c r="B997" s="229"/>
      <c r="C997" s="230"/>
      <c r="D997" s="231"/>
      <c r="E997" s="157"/>
      <c r="F997" s="12"/>
      <c r="G997" s="158"/>
    </row>
    <row r="998">
      <c r="A998" s="153"/>
      <c r="B998" s="229"/>
      <c r="C998" s="230"/>
      <c r="D998" s="231"/>
      <c r="E998" s="157"/>
      <c r="F998" s="12"/>
      <c r="G998" s="158"/>
    </row>
    <row r="999">
      <c r="A999" s="153"/>
      <c r="B999" s="229"/>
      <c r="C999" s="230"/>
      <c r="D999" s="231"/>
      <c r="E999" s="157"/>
      <c r="F999" s="12"/>
      <c r="G999" s="158"/>
    </row>
    <row r="1000">
      <c r="A1000" s="153"/>
      <c r="B1000" s="229"/>
      <c r="C1000" s="230"/>
      <c r="D1000" s="231"/>
      <c r="E1000" s="157"/>
      <c r="F1000" s="12"/>
      <c r="G1000" s="158"/>
    </row>
    <row r="1001">
      <c r="A1001" s="153"/>
      <c r="B1001" s="229"/>
      <c r="C1001" s="230"/>
      <c r="D1001" s="231"/>
      <c r="E1001" s="157"/>
      <c r="F1001" s="12"/>
      <c r="G1001" s="158"/>
    </row>
    <row r="1002">
      <c r="A1002" s="153"/>
      <c r="B1002" s="229"/>
      <c r="C1002" s="230"/>
      <c r="D1002" s="231"/>
      <c r="E1002" s="157"/>
      <c r="F1002" s="12"/>
      <c r="G1002" s="158"/>
    </row>
    <row r="1003">
      <c r="A1003" s="153"/>
      <c r="B1003" s="229"/>
      <c r="C1003" s="230"/>
      <c r="D1003" s="231"/>
      <c r="E1003" s="157"/>
      <c r="F1003" s="12"/>
      <c r="G1003" s="158"/>
    </row>
    <row r="1004">
      <c r="A1004" s="153"/>
      <c r="B1004" s="229"/>
      <c r="C1004" s="230"/>
      <c r="D1004" s="231"/>
      <c r="E1004" s="157"/>
      <c r="F1004" s="12"/>
      <c r="G1004" s="158"/>
    </row>
    <row r="1005">
      <c r="A1005" s="153"/>
      <c r="B1005" s="229"/>
      <c r="C1005" s="230"/>
      <c r="D1005" s="231"/>
      <c r="E1005" s="157"/>
      <c r="F1005" s="12"/>
      <c r="G1005" s="158"/>
    </row>
    <row r="1006">
      <c r="A1006" s="153"/>
      <c r="B1006" s="229"/>
      <c r="C1006" s="230"/>
      <c r="D1006" s="231"/>
      <c r="E1006" s="157"/>
      <c r="F1006" s="12"/>
      <c r="G1006" s="158"/>
    </row>
    <row r="1007">
      <c r="A1007" s="153"/>
      <c r="B1007" s="229"/>
      <c r="C1007" s="230"/>
      <c r="D1007" s="231"/>
      <c r="E1007" s="157"/>
      <c r="F1007" s="12"/>
      <c r="G1007" s="158"/>
    </row>
    <row r="1008">
      <c r="A1008" s="153"/>
      <c r="B1008" s="229"/>
      <c r="C1008" s="230"/>
      <c r="D1008" s="231"/>
      <c r="E1008" s="157"/>
      <c r="F1008" s="12"/>
      <c r="G1008" s="158"/>
    </row>
  </sheetData>
  <mergeCells count="41">
    <mergeCell ref="I13:I15"/>
    <mergeCell ref="I16:I20"/>
    <mergeCell ref="I21:I23"/>
    <mergeCell ref="I24:I25"/>
    <mergeCell ref="I26:I27"/>
    <mergeCell ref="A27:D27"/>
    <mergeCell ref="I28:I29"/>
    <mergeCell ref="A28:D28"/>
    <mergeCell ref="A29:D29"/>
    <mergeCell ref="A30:D30"/>
    <mergeCell ref="A31:D31"/>
    <mergeCell ref="A32:D32"/>
    <mergeCell ref="A33:D33"/>
    <mergeCell ref="A34:D34"/>
    <mergeCell ref="A35:D35"/>
    <mergeCell ref="A36:D36"/>
    <mergeCell ref="A37:D37"/>
    <mergeCell ref="A38:D38"/>
    <mergeCell ref="A39:D39"/>
    <mergeCell ref="A40:D40"/>
    <mergeCell ref="A41:D41"/>
    <mergeCell ref="A42:D42"/>
    <mergeCell ref="A43:D43"/>
    <mergeCell ref="A44:D44"/>
    <mergeCell ref="A45:D45"/>
    <mergeCell ref="A46:D46"/>
    <mergeCell ref="A47:D47"/>
    <mergeCell ref="A48:D48"/>
    <mergeCell ref="A56:D56"/>
    <mergeCell ref="A57:D57"/>
    <mergeCell ref="A58:D58"/>
    <mergeCell ref="A59:D59"/>
    <mergeCell ref="A60:D60"/>
    <mergeCell ref="A61:D61"/>
    <mergeCell ref="A49:D49"/>
    <mergeCell ref="A50:D50"/>
    <mergeCell ref="A51:D51"/>
    <mergeCell ref="A52:D52"/>
    <mergeCell ref="A53:D53"/>
    <mergeCell ref="A54:D54"/>
    <mergeCell ref="A55:D55"/>
  </mergeCells>
  <conditionalFormatting sqref="B9:D24">
    <cfRule type="expression" dxfId="13" priority="1">
      <formula>$A9="Yes!"</formula>
    </cfRule>
  </conditionalFormatting>
  <conditionalFormatting sqref="A9:A24">
    <cfRule type="containsText" dxfId="14" priority="2" operator="containsText" text="No">
      <formula>NOT(ISERROR(SEARCH(("No"),(A9))))</formula>
    </cfRule>
  </conditionalFormatting>
  <conditionalFormatting sqref="A9:A24">
    <cfRule type="containsText" dxfId="15" priority="3" operator="containsText" text="Yes">
      <formula>NOT(ISERROR(SEARCH(("Yes"),(A9))))</formula>
    </cfRule>
  </conditionalFormatting>
  <drawing r:id="rId4"/>
  <legacy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1" width="21.38"/>
    <col customWidth="1" min="2" max="2" width="15.13"/>
    <col customWidth="1" min="3" max="3" width="68.75"/>
    <col customWidth="1" min="4" max="4" width="9.0"/>
    <col customWidth="1" min="10" max="10" width="11.0"/>
  </cols>
  <sheetData>
    <row r="1">
      <c r="A1" s="254" t="str">
        <f>IFERROR(__xludf.DUMMYFUNCTION("IMPORTRANGE(""https://docs.google.com/spreadsheets/d/1PPFix0KE5FV0_ekB8X93l4fBTTlhI3_4FnP7klgfg_Y/edit?gid=0#gid=0"", ""Arden!a1:f100"")"),"ARDEN")</f>
        <v>ARDEN</v>
      </c>
      <c r="B1" s="255"/>
      <c r="C1" s="256" t="str">
        <f>IFERROR(__xludf.DUMMYFUNCTION("""COMPUTED_VALUE"""),"Ari (Chelsea Hadlock)")</f>
        <v>Ari (Chelsea Hadlock)</v>
      </c>
      <c r="D1" s="257"/>
      <c r="E1" s="257"/>
      <c r="F1" s="258"/>
      <c r="G1" s="258"/>
      <c r="H1" s="258"/>
      <c r="I1" s="258"/>
      <c r="J1" s="258"/>
      <c r="K1" s="257"/>
      <c r="L1" s="257"/>
      <c r="M1" s="257"/>
      <c r="N1" s="257"/>
      <c r="O1" s="257"/>
      <c r="P1" s="257"/>
      <c r="Q1" s="257"/>
      <c r="R1" s="257"/>
      <c r="S1" s="257"/>
      <c r="T1" s="257"/>
      <c r="U1" s="257"/>
      <c r="V1" s="257"/>
      <c r="W1" s="257"/>
      <c r="X1" s="257"/>
      <c r="Y1" s="257"/>
    </row>
    <row r="2">
      <c r="A2" s="214"/>
      <c r="B2" s="12"/>
      <c r="C2" s="137"/>
      <c r="D2" s="214"/>
      <c r="E2" s="260" t="str">
        <f>IFERROR(__xludf.DUMMYFUNCTION("""COMPUTED_VALUE"""),"Caster")</f>
        <v>Caster</v>
      </c>
      <c r="F2" s="214" t="str">
        <f>IFERROR(__xludf.DUMMYFUNCTION("""COMPUTED_VALUE"""),"Starling; flower earrings")</f>
        <v>Starling; flower earrings</v>
      </c>
    </row>
    <row r="3">
      <c r="A3" s="262" t="str">
        <f>IFERROR(__xludf.DUMMYFUNCTION("""COMPUTED_VALUE"""),"PARTY PATH")</f>
        <v>PARTY PATH</v>
      </c>
      <c r="B3" s="12"/>
      <c r="C3" s="137"/>
      <c r="D3" s="214"/>
      <c r="E3" s="260" t="str">
        <f>IFERROR(__xludf.DUMMYFUNCTION("""COMPUTED_VALUE"""),"Keeper")</f>
        <v>Keeper</v>
      </c>
      <c r="F3" s="214" t="str">
        <f>IFERROR(__xludf.DUMMYFUNCTION("""COMPUTED_VALUE"""),"Von Haggen; black Arden cloak")</f>
        <v>Von Haggen; black Arden cloak</v>
      </c>
    </row>
    <row r="4">
      <c r="A4" s="8" t="str">
        <f>IFERROR(__xludf.DUMMYFUNCTION("""COMPUTED_VALUE"""),"Character")</f>
        <v>Character</v>
      </c>
      <c r="B4" s="86" t="str">
        <f>IFERROR(__xludf.DUMMYFUNCTION("""COMPUTED_VALUE"""),"Gave Item/Info")</f>
        <v>Gave Item/Info</v>
      </c>
      <c r="C4" s="263" t="str">
        <f>IFERROR(__xludf.DUMMYFUNCTION("""COMPUTED_VALUE"""),"Notes")</f>
        <v>Notes</v>
      </c>
      <c r="D4" s="214"/>
      <c r="E4" s="260" t="str">
        <f>IFERROR(__xludf.DUMMYFUNCTION("""COMPUTED_VALUE"""),"Maker")</f>
        <v>Maker</v>
      </c>
      <c r="F4" s="214" t="str">
        <f>IFERROR(__xludf.DUMMYFUNCTION("""COMPUTED_VALUE"""),"Willow; black vest, green skirt")</f>
        <v>Willow; black vest, green skirt</v>
      </c>
    </row>
    <row r="5">
      <c r="A5" s="32" t="str">
        <f>IFERROR(__xludf.DUMMYFUNCTION("""COMPUTED_VALUE"""),"Aria Morgan")</f>
        <v>Aria Morgan</v>
      </c>
      <c r="B5" s="48" t="b">
        <f>IFERROR(__xludf.DUMMYFUNCTION("""COMPUTED_VALUE"""),TRUE)</f>
        <v>1</v>
      </c>
      <c r="C5" s="138" t="str">
        <f>IFERROR(__xludf.DUMMYFUNCTION("""COMPUTED_VALUE"""),"Spoke with Birdie, Starling, &amp; Willow- discussed Memory Lapse from last night, theater burning, and Golden Page/Nemaiah. Party was ""hesitant to trust others"" but they opened up after some conversation. Introduced to Ursula. DG")</f>
        <v>Spoke with Birdie, Starling, &amp; Willow- discussed Memory Lapse from last night, theater burning, and Golden Page/Nemaiah. Party was "hesitant to trust others" but they opened up after some conversation. Introduced to Ursula. DG</v>
      </c>
      <c r="D5" s="214"/>
      <c r="E5" s="260" t="str">
        <f>IFERROR(__xludf.DUMMYFUNCTION("""COMPUTED_VALUE"""),"Ranger")</f>
        <v>Ranger</v>
      </c>
      <c r="F5" s="214" t="str">
        <f>IFERROR(__xludf.DUMMYFUNCTION("""COMPUTED_VALUE"""),"Erebadan; brown hat, long hair")</f>
        <v>Erebadan; brown hat, long hair</v>
      </c>
    </row>
    <row r="6">
      <c r="A6" s="32" t="str">
        <f>IFERROR(__xludf.DUMMYFUNCTION("""COMPUTED_VALUE"""),"Ursula Smirch")</f>
        <v>Ursula Smirch</v>
      </c>
      <c r="B6" s="48" t="b">
        <f>IFERROR(__xludf.DUMMYFUNCTION("""COMPUTED_VALUE"""),TRUE)</f>
        <v>1</v>
      </c>
      <c r="C6" s="222"/>
      <c r="D6" s="214"/>
      <c r="E6" s="260" t="str">
        <f>IFERROR(__xludf.DUMMYFUNCTION("""COMPUTED_VALUE"""),"Seeker")</f>
        <v>Seeker</v>
      </c>
      <c r="F6" s="214" t="str">
        <f>IFERROR(__xludf.DUMMYFUNCTION("""COMPUTED_VALUE"""),"Kestra; tabard, brown sweater")</f>
        <v>Kestra; tabard, brown sweater</v>
      </c>
    </row>
    <row r="7">
      <c r="A7" s="32" t="str">
        <f>IFERROR(__xludf.DUMMYFUNCTION("""COMPUTED_VALUE"""),"Nix Valerius")</f>
        <v>Nix Valerius</v>
      </c>
      <c r="B7" s="12" t="b">
        <f>IFERROR(__xludf.DUMMYFUNCTION("""COMPUTED_VALUE"""),FALSE)</f>
        <v>0</v>
      </c>
      <c r="C7" s="138"/>
      <c r="D7" s="214"/>
      <c r="E7" s="260" t="str">
        <f>IFERROR(__xludf.DUMMYFUNCTION("""COMPUTED_VALUE"""),"Traveler")</f>
        <v>Traveler</v>
      </c>
      <c r="F7" s="214" t="str">
        <f>IFERROR(__xludf.DUMMYFUNCTION("""COMPUTED_VALUE"""),"Birdie; light green poofie shirt")</f>
        <v>Birdie; light green poofie shirt</v>
      </c>
    </row>
    <row r="8">
      <c r="A8" s="32" t="str">
        <f>IFERROR(__xludf.DUMMYFUNCTION("""COMPUTED_VALUE"""),"Isaiah Cooke")</f>
        <v>Isaiah Cooke</v>
      </c>
      <c r="B8" s="48" t="b">
        <f>IFERROR(__xludf.DUMMYFUNCTION("""COMPUTED_VALUE"""),TRUE)</f>
        <v>1</v>
      </c>
      <c r="C8" s="138" t="str">
        <f>IFERROR(__xludf.DUMMYFUNCTION("""COMPUTED_VALUE"""),"Gave them the list Friday night (sorry, put in the wrong cell)")</f>
        <v>Gave them the list Friday night (sorry, put in the wrong cell)</v>
      </c>
      <c r="D8" s="214"/>
      <c r="E8" s="214"/>
      <c r="F8" s="214"/>
    </row>
    <row r="9">
      <c r="A9" s="32" t="str">
        <f>IFERROR(__xludf.DUMMYFUNCTION("""COMPUTED_VALUE"""),"Kiko Truthspeaker")</f>
        <v>Kiko Truthspeaker</v>
      </c>
      <c r="B9" s="48" t="b">
        <f>IFERROR(__xludf.DUMMYFUNCTION("""COMPUTED_VALUE"""),TRUE)</f>
        <v>1</v>
      </c>
      <c r="C9" s="222" t="str">
        <f>IFERROR(__xludf.DUMMYFUNCTION("""COMPUTED_VALUE"""),"Traveler had not shared the list with the group, got her to share lore, and some of the list, but fewer people heard that. 10:30.")</f>
        <v>Traveler had not shared the list with the group, got her to share lore, and some of the list, but fewer people heard that. 10:30.</v>
      </c>
      <c r="D9" s="214"/>
      <c r="E9" s="214"/>
      <c r="F9" s="214"/>
    </row>
    <row r="10">
      <c r="A10" s="32" t="str">
        <f>IFERROR(__xludf.DUMMYFUNCTION("""COMPUTED_VALUE"""),"Buzzkill (Don't Give Item)")</f>
        <v>Buzzkill (Don't Give Item)</v>
      </c>
      <c r="B10" s="48" t="b">
        <f>IFERROR(__xludf.DUMMYFUNCTION("""COMPUTED_VALUE"""),TRUE)</f>
        <v>1</v>
      </c>
      <c r="C10" s="138" t="str">
        <f>IFERROR(__xludf.DUMMYFUNCTION("""COMPUTED_VALUE"""),"Did challenge with them, will give on Sunday at the coordinator's leisure (AS)")</f>
        <v>Did challenge with them, will give on Sunday at the coordinator's leisure (AS)</v>
      </c>
      <c r="D10" s="214"/>
      <c r="E10" s="214"/>
      <c r="F10" s="214"/>
    </row>
    <row r="11">
      <c r="A11" s="32" t="str">
        <f>IFERROR(__xludf.DUMMYFUNCTION("""COMPUTED_VALUE"""),"Pascal Valerius")</f>
        <v>Pascal Valerius</v>
      </c>
      <c r="B11" s="48" t="b">
        <f>IFERROR(__xludf.DUMMYFUNCTION("""COMPUTED_VALUE"""),TRUE)</f>
        <v>1</v>
      </c>
      <c r="C11" s="138"/>
      <c r="D11" s="214"/>
      <c r="E11" s="214"/>
      <c r="F11" s="214"/>
    </row>
    <row r="12">
      <c r="A12" s="214" t="str">
        <f>IFERROR(__xludf.DUMMYFUNCTION("""COMPUTED_VALUE"""),"Karmin Smirch")</f>
        <v>Karmin Smirch</v>
      </c>
      <c r="B12" s="48" t="b">
        <f>IFERROR(__xludf.DUMMYFUNCTION("""COMPUTED_VALUE"""),TRUE)</f>
        <v>1</v>
      </c>
      <c r="C12" s="138" t="str">
        <f>IFERROR(__xludf.DUMMYFUNCTION("""COMPUTED_VALUE"""),"Finished the jingle challenge with them at 4pm on Saturday.  I'm sure nothing horrible happened right as I walked away.  -DaveKamin")</f>
        <v>Finished the jingle challenge with them at 4pm on Saturday.  I'm sure nothing horrible happened right as I walked away.  -DaveKamin</v>
      </c>
      <c r="D12" s="214"/>
      <c r="E12" s="214"/>
      <c r="F12" s="214"/>
    </row>
    <row r="13">
      <c r="A13" s="214" t="str">
        <f>IFERROR(__xludf.DUMMYFUNCTION("""COMPUTED_VALUE"""),"Valentina")</f>
        <v>Valentina</v>
      </c>
      <c r="B13" s="12" t="b">
        <f>IFERROR(__xludf.DUMMYFUNCTION("""COMPUTED_VALUE"""),TRUE)</f>
        <v>1</v>
      </c>
      <c r="C13" s="138"/>
      <c r="D13" s="214"/>
      <c r="E13" s="214"/>
      <c r="F13" s="214"/>
    </row>
    <row r="14">
      <c r="A14" s="214" t="str">
        <f>IFERROR(__xludf.DUMMYFUNCTION("""COMPUTED_VALUE"""),"Charlie Peacock")</f>
        <v>Charlie Peacock</v>
      </c>
      <c r="B14" s="12" t="b">
        <f>IFERROR(__xludf.DUMMYFUNCTION("""COMPUTED_VALUE"""),TRUE)</f>
        <v>1</v>
      </c>
      <c r="C14" s="138" t="str">
        <f>IFERROR(__xludf.DUMMYFUNCTION("""COMPUTED_VALUE"""),"Switched to pitch pipe challenge and did it in front of tavern after their ghost theater in Charlie's absence.  -JF")</f>
        <v>Switched to pitch pipe challenge and did it in front of tavern after their ghost theater in Charlie's absence.  -JF</v>
      </c>
      <c r="D14" s="214"/>
      <c r="E14" s="214"/>
      <c r="F14" s="214"/>
    </row>
    <row r="15">
      <c r="A15" s="32" t="str">
        <f>IFERROR(__xludf.DUMMYFUNCTION("""COMPUTED_VALUE"""),"Moxie (or any Warband)")</f>
        <v>Moxie (or any Warband)</v>
      </c>
      <c r="B15" s="12" t="b">
        <f>IFERROR(__xludf.DUMMYFUNCTION("""COMPUTED_VALUE"""),TRUE)</f>
        <v>1</v>
      </c>
      <c r="C15" s="138" t="str">
        <f>IFERROR(__xludf.DUMMYFUNCTION("""COMPUTED_VALUE"""),"Found them at 6pm. Petulantly threw the stupid riddle at them. -LN")</f>
        <v>Found them at 6pm. Petulantly threw the stupid riddle at them. -LN</v>
      </c>
      <c r="D15" s="214"/>
      <c r="E15" s="214"/>
      <c r="F15" s="214"/>
    </row>
    <row r="16">
      <c r="A16" s="214" t="str">
        <f>IFERROR(__xludf.DUMMYFUNCTION("""COMPUTED_VALUE"""),"Obsidian")</f>
        <v>Obsidian</v>
      </c>
      <c r="B16" s="12" t="b">
        <f>IFERROR(__xludf.DUMMYFUNCTION("""COMPUTED_VALUE"""),TRUE)</f>
        <v>1</v>
      </c>
      <c r="C16" s="137"/>
      <c r="D16" s="214"/>
      <c r="E16" s="214"/>
      <c r="F16" s="214"/>
    </row>
    <row r="17">
      <c r="A17" s="216" t="str">
        <f>IFERROR(__xludf.DUMMYFUNCTION("""COMPUTED_VALUE"""),"Ghost Theater")</f>
        <v>Ghost Theater</v>
      </c>
      <c r="B17" s="216" t="b">
        <f>IFERROR(__xludf.DUMMYFUNCTION("""COMPUTED_VALUE"""),TRUE)</f>
        <v>1</v>
      </c>
      <c r="C17" s="137" t="str">
        <f>IFERROR(__xludf.DUMMYFUNCTION("""COMPUTED_VALUE"""),"Did a bit of a ""who cares speedrun"" but had a good experience.  -Dave Nadig")</f>
        <v>Did a bit of a "who cares speedrun" but had a good experience.  -Dave Nadig</v>
      </c>
      <c r="D17" s="214" t="str">
        <f>IFERROR(__xludf.DUMMYFUNCTION("""COMPUTED_VALUE"""),"Fri PM- Aria showed them Golden Page, and explained ""theater belongs to the ghosts now"" DG")</f>
        <v>Fri PM- Aria showed them Golden Page, and explained "theater belongs to the ghosts now" DG</v>
      </c>
      <c r="E17" s="214"/>
      <c r="F17" s="214"/>
    </row>
    <row r="18">
      <c r="A18" s="216" t="str">
        <f>IFERROR(__xludf.DUMMYFUNCTION("""COMPUTED_VALUE"""),"Buzzkill (Sunday)")</f>
        <v>Buzzkill (Sunday)</v>
      </c>
      <c r="B18" s="232" t="b">
        <f>IFERROR(__xludf.DUMMYFUNCTION("""COMPUTED_VALUE"""),FALSE)</f>
        <v>0</v>
      </c>
      <c r="C18" s="263"/>
      <c r="D18" s="86"/>
      <c r="E18" s="214"/>
      <c r="F18" s="214"/>
    </row>
    <row r="19">
      <c r="A19" s="32" t="str">
        <f>IFERROR(__xludf.DUMMYFUNCTION("""COMPUTED_VALUE"""),"Morgoth &amp; Henchmen")</f>
        <v>Morgoth &amp; Henchmen</v>
      </c>
      <c r="B19" s="48" t="b">
        <f>IFERROR(__xludf.DUMMYFUNCTION("""COMPUTED_VALUE"""),FALSE)</f>
        <v>0</v>
      </c>
      <c r="C19" s="138"/>
      <c r="D19" s="12"/>
      <c r="E19" s="214"/>
      <c r="F19" s="214"/>
    </row>
    <row r="20">
      <c r="A20" s="32"/>
      <c r="B20" s="48"/>
      <c r="C20" s="138"/>
      <c r="D20" s="12"/>
      <c r="E20" s="214"/>
      <c r="F20" s="214"/>
    </row>
    <row r="21">
      <c r="A21" s="32"/>
      <c r="B21" s="48"/>
      <c r="C21" s="222"/>
      <c r="D21" s="12"/>
      <c r="E21" s="214"/>
      <c r="F21" s="214"/>
    </row>
    <row r="22">
      <c r="A22" s="32" t="str">
        <f>IFERROR(__xludf.DUMMYFUNCTION("""COMPUTED_VALUE"""),"CHARGE INFO")</f>
        <v>CHARGE INFO</v>
      </c>
      <c r="B22" s="48" t="str">
        <f>IFERROR(__xludf.DUMMYFUNCTION("""COMPUTED_VALUE"""),"(Bracken)")</f>
        <v>(Bracken)</v>
      </c>
      <c r="C22" s="138"/>
      <c r="D22" s="12"/>
      <c r="E22" s="214"/>
      <c r="F22" s="214"/>
    </row>
    <row r="23">
      <c r="A23" s="32" t="str">
        <f>IFERROR(__xludf.DUMMYFUNCTION("""COMPUTED_VALUE"""),"Character")</f>
        <v>Character</v>
      </c>
      <c r="B23" s="48" t="str">
        <f>IFERROR(__xludf.DUMMYFUNCTION("""COMPUTED_VALUE"""),"Gave Info")</f>
        <v>Gave Info</v>
      </c>
      <c r="C23" s="222" t="str">
        <f>IFERROR(__xludf.DUMMYFUNCTION("""COMPUTED_VALUE"""),"Notes")</f>
        <v>Notes</v>
      </c>
      <c r="D23" s="12"/>
      <c r="E23" s="214"/>
      <c r="F23" s="214"/>
    </row>
    <row r="24">
      <c r="A24" s="32" t="str">
        <f>IFERROR(__xludf.DUMMYFUNCTION("""COMPUTED_VALUE"""),"Angelica Sprink")</f>
        <v>Angelica Sprink</v>
      </c>
      <c r="B24" s="48" t="b">
        <f>IFERROR(__xludf.DUMMYFUNCTION("""COMPUTED_VALUE"""),TRUE)</f>
        <v>1</v>
      </c>
      <c r="C24" s="138" t="str">
        <f>IFERROR(__xludf.DUMMYFUNCTION("""COMPUTED_VALUE"""),"Met them in preperation to assign charge LD, assigned charge with a side of tears and teenage angst.")</f>
        <v>Met them in preperation to assign charge LD, assigned charge with a side of tears and teenage angst.</v>
      </c>
      <c r="D24" s="12"/>
      <c r="E24" s="214"/>
      <c r="F24" s="214"/>
    </row>
    <row r="25">
      <c r="A25" s="32" t="str">
        <f>IFERROR(__xludf.DUMMYFUNCTION("""COMPUTED_VALUE"""),"Geneva Sprink")</f>
        <v>Geneva Sprink</v>
      </c>
      <c r="B25" s="48" t="b">
        <f>IFERROR(__xludf.DUMMYFUNCTION("""COMPUTED_VALUE"""),TRUE)</f>
        <v>1</v>
      </c>
      <c r="C25" s="138" t="str">
        <f>IFERROR(__xludf.DUMMYFUNCTION("""COMPUTED_VALUE"""),"Did not directly approach but sat next to them at lunch and was told they already fully understood charge from overhearing Angelica and Geneva fight and not to clue hammer any more ")</f>
        <v>Did not directly approach but sat next to them at lunch and was told they already fully understood charge from overhearing Angelica and Geneva fight and not to clue hammer any more </v>
      </c>
      <c r="D25" s="12"/>
      <c r="E25" s="214"/>
      <c r="F25" s="214"/>
    </row>
    <row r="26">
      <c r="A26" s="32" t="str">
        <f>IFERROR(__xludf.DUMMYFUNCTION("""COMPUTED_VALUE"""),"Bartleby Sprink")</f>
        <v>Bartleby Sprink</v>
      </c>
      <c r="B26" s="48" t="b">
        <f>IFERROR(__xludf.DUMMYFUNCTION("""COMPUTED_VALUE"""),TRUE)</f>
        <v>1</v>
      </c>
      <c r="C26" s="138"/>
      <c r="D26" s="12"/>
      <c r="E26" s="214"/>
      <c r="F26" s="214"/>
    </row>
    <row r="27">
      <c r="A27" s="32" t="str">
        <f>IFERROR(__xludf.DUMMYFUNCTION("""COMPUTED_VALUE"""),"Lenora Graves")</f>
        <v>Lenora Graves</v>
      </c>
      <c r="B27" s="48" t="b">
        <f>IFERROR(__xludf.DUMMYFUNCTION("""COMPUTED_VALUE"""),FALSE)</f>
        <v>0</v>
      </c>
      <c r="C27" s="138" t="str">
        <f>IFERROR(__xludf.DUMMYFUNCTION("""COMPUTED_VALUE"""),"Was told they already had info they needed, not to clue hammer them")</f>
        <v>Was told they already had info they needed, not to clue hammer them</v>
      </c>
      <c r="D27" s="12"/>
      <c r="E27" s="214"/>
      <c r="F27" s="214"/>
    </row>
    <row r="28">
      <c r="A28" s="32" t="str">
        <f>IFERROR(__xludf.DUMMYFUNCTION("""COMPUTED_VALUE"""),"Kyson Wayseeker")</f>
        <v>Kyson Wayseeker</v>
      </c>
      <c r="B28" s="48" t="b">
        <f>IFERROR(__xludf.DUMMYFUNCTION("""COMPUTED_VALUE"""),FALSE)</f>
        <v>0</v>
      </c>
      <c r="C28" s="222"/>
      <c r="D28" s="12"/>
      <c r="E28" s="214"/>
      <c r="F28" s="214"/>
    </row>
    <row r="29">
      <c r="A29" s="32" t="str">
        <f>IFERROR(__xludf.DUMMYFUNCTION("""COMPUTED_VALUE"""),"Samuelson")</f>
        <v>Samuelson</v>
      </c>
      <c r="B29" s="48" t="b">
        <f>IFERROR(__xludf.DUMMYFUNCTION("""COMPUTED_VALUE"""),TRUE)</f>
        <v>1</v>
      </c>
      <c r="C29" s="138" t="str">
        <f>IFERROR(__xludf.DUMMYFUNCTION("""COMPUTED_VALUE"""),"Talked to woman in light green shirt. Two others listened.")</f>
        <v>Talked to woman in light green shirt. Two others listened.</v>
      </c>
      <c r="D29" s="12"/>
      <c r="E29" s="214"/>
      <c r="F29" s="214"/>
    </row>
    <row r="30">
      <c r="A30" s="32" t="str">
        <f>IFERROR(__xludf.DUMMYFUNCTION("""COMPUTED_VALUE"""),"Pansy Golden")</f>
        <v>Pansy Golden</v>
      </c>
      <c r="B30" s="48" t="b">
        <f>IFERROR(__xludf.DUMMYFUNCTION("""COMPUTED_VALUE"""),TRUE)</f>
        <v>1</v>
      </c>
      <c r="C30" s="138" t="str">
        <f>IFERROR(__xludf.DUMMYFUNCTION("""COMPUTED_VALUE"""),"Sat night during apple crisp. They asked about a Black Lamp secret society, I said I didn't know anything about that.")</f>
        <v>Sat night during apple crisp. They asked about a Black Lamp secret society, I said I didn't know anything about that.</v>
      </c>
      <c r="D30" s="12"/>
      <c r="E30" s="214"/>
      <c r="F30" s="214"/>
    </row>
    <row r="31">
      <c r="A31" s="32" t="str">
        <f>IFERROR(__xludf.DUMMYFUNCTION("""COMPUTED_VALUE"""),"Kulinos")</f>
        <v>Kulinos</v>
      </c>
      <c r="B31" s="48" t="b">
        <f>IFERROR(__xludf.DUMMYFUNCTION("""COMPUTED_VALUE"""),TRUE)</f>
        <v>1</v>
      </c>
      <c r="C31" s="138"/>
      <c r="D31" s="12"/>
      <c r="E31" s="214"/>
      <c r="F31" s="214"/>
    </row>
    <row r="32">
      <c r="A32" s="32" t="str">
        <f>IFERROR(__xludf.DUMMYFUNCTION("""COMPUTED_VALUE"""),"Aleeya Witchborn")</f>
        <v>Aleeya Witchborn</v>
      </c>
      <c r="B32" s="48" t="b">
        <f>IFERROR(__xludf.DUMMYFUNCTION("""COMPUTED_VALUE"""),TRUE)</f>
        <v>1</v>
      </c>
      <c r="C32" s="138" t="str">
        <f>IFERROR(__xludf.DUMMYFUNCTION("""COMPUTED_VALUE"""),"Slipped the info in as a natural aside at breakfast to two participants on the periphery just after they spoke with Samuelson about Angelica, and before Bartleby came over to them. Very interested. ")</f>
        <v>Slipped the info in as a natural aside at breakfast to two participants on the periphery just after they spoke with Samuelson about Angelica, and before Bartleby came over to them. Very interested. </v>
      </c>
      <c r="D32" s="12"/>
      <c r="E32" s="214"/>
      <c r="F32" s="214"/>
    </row>
    <row r="33">
      <c r="A33" s="32" t="str">
        <f>IFERROR(__xludf.DUMMYFUNCTION("""COMPUTED_VALUE"""),"Karla Smirch")</f>
        <v>Karla Smirch</v>
      </c>
      <c r="B33" s="48" t="b">
        <f>IFERROR(__xludf.DUMMYFUNCTION("""COMPUTED_VALUE"""),TRUE)</f>
        <v>1</v>
      </c>
      <c r="C33" s="138" t="str">
        <f>IFERROR(__xludf.DUMMYFUNCTION("""COMPUTED_VALUE"""),"3 of the party members were very focused on the info and then tried to teach Karla the magic of giving to help her better understand Bracken")</f>
        <v>3 of the party members were very focused on the info and then tried to teach Karla the magic of giving to help her better understand Bracken</v>
      </c>
      <c r="D33" s="12"/>
      <c r="E33" s="214"/>
      <c r="F33" s="214"/>
    </row>
    <row r="34">
      <c r="A34" s="32" t="str">
        <f>IFERROR(__xludf.DUMMYFUNCTION("""COMPUTED_VALUE"""),"Dusty Peacock")</f>
        <v>Dusty Peacock</v>
      </c>
      <c r="B34" s="48" t="b">
        <f>IFERROR(__xludf.DUMMYFUNCTION("""COMPUTED_VALUE"""),FALSE)</f>
        <v>0</v>
      </c>
      <c r="C34" s="138"/>
      <c r="D34" s="12"/>
      <c r="E34" s="214"/>
      <c r="F34" s="214"/>
    </row>
    <row r="35">
      <c r="A35" s="32" t="str">
        <f>IFERROR(__xludf.DUMMYFUNCTION("""COMPUTED_VALUE"""),"Phineas Smirch")</f>
        <v>Phineas Smirch</v>
      </c>
      <c r="B35" s="48" t="b">
        <f>IFERROR(__xludf.DUMMYFUNCTION("""COMPUTED_VALUE"""),TRUE)</f>
        <v>1</v>
      </c>
      <c r="C35" s="138" t="str">
        <f>IFERROR(__xludf.DUMMYFUNCTION("""COMPUTED_VALUE"""),"Got asked about Bracken after ritual")</f>
        <v>Got asked about Bracken after ritual</v>
      </c>
      <c r="D35" s="12"/>
      <c r="E35" s="214"/>
      <c r="F35" s="214"/>
    </row>
    <row r="36">
      <c r="A36" s="32" t="str">
        <f>IFERROR(__xludf.DUMMYFUNCTION("""COMPUTED_VALUE"""),"Equinoxious")</f>
        <v>Equinoxious</v>
      </c>
      <c r="B36" s="48" t="b">
        <f>IFERROR(__xludf.DUMMYFUNCTION("""COMPUTED_VALUE"""),FALSE)</f>
        <v>0</v>
      </c>
      <c r="C36" s="138"/>
      <c r="D36" s="12"/>
      <c r="E36" s="214"/>
      <c r="F36" s="214"/>
    </row>
    <row r="37">
      <c r="A37" s="32" t="str">
        <f>IFERROR(__xludf.DUMMYFUNCTION("""COMPUTED_VALUE"""),"Isaiah Cooke")</f>
        <v>Isaiah Cooke</v>
      </c>
      <c r="B37" s="48" t="b">
        <f>IFERROR(__xludf.DUMMYFUNCTION("""COMPUTED_VALUE"""),TRUE)</f>
        <v>1</v>
      </c>
      <c r="C37" s="138" t="str">
        <f>IFERROR(__xludf.DUMMYFUNCTION("""COMPUTED_VALUE"""),"Gave them the location spell listing and they wrote all the ppl on it.   They crushed the illiterate challenge.   Invested in all parts of Otherworld already.   Seemed like a great crew. Update, gave them charge info at 12:15")</f>
        <v>Gave them the location spell listing and they wrote all the ppl on it.   They crushed the illiterate challenge.   Invested in all parts of Otherworld already.   Seemed like a great crew. Update, gave them charge info at 12:15</v>
      </c>
      <c r="D37" s="12"/>
      <c r="E37" s="214"/>
      <c r="F37" s="214"/>
    </row>
    <row r="38">
      <c r="A38" s="32" t="str">
        <f>IFERROR(__xludf.DUMMYFUNCTION("""COMPUTED_VALUE"""),"Crabtree")</f>
        <v>Crabtree</v>
      </c>
      <c r="B38" s="48" t="b">
        <f>IFERROR(__xludf.DUMMYFUNCTION("""COMPUTED_VALUE"""),TRUE)</f>
        <v>1</v>
      </c>
      <c r="C38" s="138" t="str">
        <f>IFERROR(__xludf.DUMMYFUNCTION("""COMPUTED_VALUE"""),"Gave clue info re: St Mora crown &amp; SWV's return to Mistal; they were interested &amp; wrote a few things down; Saturday late morning - MO")</f>
        <v>Gave clue info re: St Mora crown &amp; SWV's return to Mistal; they were interested &amp; wrote a few things down; Saturday late morning - MO</v>
      </c>
      <c r="D38" s="12"/>
      <c r="E38" s="214"/>
      <c r="F38" s="214"/>
    </row>
    <row r="39">
      <c r="A39" s="32" t="str">
        <f>IFERROR(__xludf.DUMMYFUNCTION("""COMPUTED_VALUE"""),"Aesthetika")</f>
        <v>Aesthetika</v>
      </c>
      <c r="B39" s="48" t="b">
        <f>IFERROR(__xludf.DUMMYFUNCTION("""COMPUTED_VALUE"""),TRUE)</f>
        <v>1</v>
      </c>
      <c r="C39" s="138" t="str">
        <f>IFERROR(__xludf.DUMMYFUNCTION("""COMPUTED_VALUE"""),"I told one woman who seemed to be listening intently.  (before lunch)  -TO'")</f>
        <v>I told one woman who seemed to be listening intently.  (before lunch)  -TO'</v>
      </c>
      <c r="D39" s="12"/>
      <c r="E39" s="214"/>
      <c r="F39" s="214"/>
    </row>
    <row r="40">
      <c r="A40" s="32" t="str">
        <f>IFERROR(__xludf.DUMMYFUNCTION("""COMPUTED_VALUE"""),"Santiago Valerius")</f>
        <v>Santiago Valerius</v>
      </c>
      <c r="B40" s="48" t="b">
        <f>IFERROR(__xludf.DUMMYFUNCTION("""COMPUTED_VALUE"""),TRUE)</f>
        <v>1</v>
      </c>
      <c r="C40" s="138" t="str">
        <f>IFERROR(__xludf.DUMMYFUNCTION("""COMPUTED_VALUE"""),"Gave the charge information to the Traveler.  She asked proactively after the Crown and has been tracking Bracken and Angelica")</f>
        <v>Gave the charge information to the Traveler.  She asked proactively after the Crown and has been tracking Bracken and Angelica</v>
      </c>
      <c r="D40" s="12"/>
      <c r="E40" s="214"/>
      <c r="F40" s="214"/>
    </row>
    <row r="41">
      <c r="A41" s="32" t="str">
        <f>IFERROR(__xludf.DUMMYFUNCTION("""COMPUTED_VALUE"""),"Dimitri")</f>
        <v>Dimitri</v>
      </c>
      <c r="B41" s="48" t="b">
        <f>IFERROR(__xludf.DUMMYFUNCTION("""COMPUTED_VALUE"""),TRUE)</f>
        <v>1</v>
      </c>
      <c r="C41" s="138" t="str">
        <f>IFERROR(__xludf.DUMMYFUNCTION("""COMPUTED_VALUE"""),"Seemed to know about St. Mora and be putting together with other clues. RCY. ")</f>
        <v>Seemed to know about St. Mora and be putting together with other clues. RCY. </v>
      </c>
      <c r="D41" s="12"/>
      <c r="E41" s="214"/>
      <c r="F41" s="214"/>
    </row>
    <row r="42">
      <c r="A42" s="32" t="str">
        <f>IFERROR(__xludf.DUMMYFUNCTION("""COMPUTED_VALUE"""),"Fenwick Michaels")</f>
        <v>Fenwick Michaels</v>
      </c>
      <c r="B42" s="48" t="b">
        <f>IFERROR(__xludf.DUMMYFUNCTION("""COMPUTED_VALUE"""),FALSE)</f>
        <v>0</v>
      </c>
      <c r="C42" s="138"/>
      <c r="D42" s="12"/>
      <c r="E42" s="214"/>
      <c r="F42" s="214"/>
    </row>
    <row r="43">
      <c r="A43" s="32" t="str">
        <f>IFERROR(__xludf.DUMMYFUNCTION("""COMPUTED_VALUE"""),"Bracken")</f>
        <v>Bracken</v>
      </c>
      <c r="B43" s="48" t="b">
        <f>IFERROR(__xludf.DUMMYFUNCTION("""COMPUTED_VALUE"""),TRUE)</f>
        <v>1</v>
      </c>
      <c r="C43" s="138" t="str">
        <f>IFERROR(__xludf.DUMMYFUNCTION("""COMPUTED_VALUE"""),"At least a few seem to be hard committed to helping Angelica and involved, but as far as I can tell no real knowledge of the charge or what it might mean --RS")</f>
        <v>At least a few seem to be hard committed to helping Angelica and involved, but as far as I can tell no real knowledge of the charge or what it might mean --RS</v>
      </c>
      <c r="D43" s="12"/>
      <c r="E43" s="214"/>
      <c r="F43" s="214"/>
    </row>
    <row r="44">
      <c r="A44" s="32" t="str">
        <f>IFERROR(__xludf.DUMMYFUNCTION("""COMPUTED_VALUE"""),"Pearl Bryce")</f>
        <v>Pearl Bryce</v>
      </c>
      <c r="B44" s="48" t="b">
        <f>IFERROR(__xludf.DUMMYFUNCTION("""COMPUTED_VALUE"""),TRUE)</f>
        <v>1</v>
      </c>
      <c r="C44" s="138" t="str">
        <f>IFERROR(__xludf.DUMMYFUNCTION("""COMPUTED_VALUE"""),"Told 2 memebers about the dragon seemed interested right after lunch -TB")</f>
        <v>Told 2 memebers about the dragon seemed interested right after lunch -TB</v>
      </c>
      <c r="D44" s="12"/>
      <c r="E44" s="214"/>
      <c r="F44" s="214"/>
    </row>
    <row r="45">
      <c r="A45" s="32" t="str">
        <f>IFERROR(__xludf.DUMMYFUNCTION("""COMPUTED_VALUE"""),"Kora Peacekeeper")</f>
        <v>Kora Peacekeeper</v>
      </c>
      <c r="B45" s="48" t="b">
        <f>IFERROR(__xludf.DUMMYFUNCTION("""COMPUTED_VALUE"""),TRUE)</f>
        <v>1</v>
      </c>
      <c r="C45" s="138" t="str">
        <f>IFERROR(__xludf.DUMMYFUNCTION("""COMPUTED_VALUE"""),"Two paying attention, no initial recognition of Brackens name, seemed to know at the end of the interaction. CL 10:30am")</f>
        <v>Two paying attention, no initial recognition of Brackens name, seemed to know at the end of the interaction. CL 10:30am</v>
      </c>
      <c r="D45" s="12"/>
      <c r="E45" s="214"/>
      <c r="F45" s="214"/>
    </row>
    <row r="46">
      <c r="A46" s="32" t="str">
        <f>IFERROR(__xludf.DUMMYFUNCTION("""COMPUTED_VALUE"""),"Tinker Bill")</f>
        <v>Tinker Bill</v>
      </c>
      <c r="B46" s="48" t="b">
        <f>IFERROR(__xludf.DUMMYFUNCTION("""COMPUTED_VALUE"""),TRUE)</f>
        <v>1</v>
      </c>
      <c r="C46" s="138" t="str">
        <f>IFERROR(__xludf.DUMMYFUNCTION("""COMPUTED_VALUE"""),"Coasters delivered.  Made sure seveal heard my little speech.  They did look to try and see the printing..")</f>
        <v>Coasters delivered.  Made sure seveal heard my little speech.  They did look to try and see the printing..</v>
      </c>
      <c r="D46" s="12"/>
      <c r="E46" s="214"/>
      <c r="F46" s="214"/>
    </row>
    <row r="47">
      <c r="A47" s="214" t="str">
        <f>IFERROR(__xludf.DUMMYFUNCTION("""COMPUTED_VALUE"""),"Kyli Talespinner")</f>
        <v>Kyli Talespinner</v>
      </c>
      <c r="B47" s="12" t="b">
        <f>IFERROR(__xludf.DUMMYFUNCTION("""COMPUTED_VALUE"""),TRUE)</f>
        <v>1</v>
      </c>
      <c r="C47" s="137" t="str">
        <f>IFERROR(__xludf.DUMMYFUNCTION("""COMPUTED_VALUE"""),"Gave paper in Tavern before they went to Soul Speaking. Party is very interested in helping Bracken and started trying to read the black paper under a flashlight almost right away. MG")</f>
        <v>Gave paper in Tavern before they went to Soul Speaking. Party is very interested in helping Bracken and started trying to read the black paper under a flashlight almost right away. MG</v>
      </c>
      <c r="D47" s="214"/>
      <c r="E47" s="214"/>
      <c r="F47" s="214"/>
    </row>
    <row r="48">
      <c r="A48" s="214" t="str">
        <f>IFERROR(__xludf.DUMMYFUNCTION("""COMPUTED_VALUE"""),"Revelations")</f>
        <v>Revelations</v>
      </c>
      <c r="B48" s="12"/>
      <c r="C48" s="137"/>
      <c r="D48" s="214"/>
      <c r="E48" s="214"/>
      <c r="F48" s="214"/>
    </row>
    <row r="49">
      <c r="A49" s="214" t="str">
        <f>IFERROR(__xludf.DUMMYFUNCTION("""COMPUTED_VALUE"""),"Angelica Sprink")</f>
        <v>Angelica Sprink</v>
      </c>
      <c r="B49" s="12" t="b">
        <f>IFERROR(__xludf.DUMMYFUNCTION("""COMPUTED_VALUE"""),FALSE)</f>
        <v>0</v>
      </c>
      <c r="C49" s="137"/>
      <c r="D49" s="214"/>
      <c r="E49" s="214"/>
      <c r="F49" s="214"/>
    </row>
    <row r="50">
      <c r="A50" s="214" t="str">
        <f>IFERROR(__xludf.DUMMYFUNCTION("""COMPUTED_VALUE"""),"Bracken")</f>
        <v>Bracken</v>
      </c>
      <c r="B50" s="12" t="b">
        <f>IFERROR(__xludf.DUMMYFUNCTION("""COMPUTED_VALUE"""),FALSE)</f>
        <v>0</v>
      </c>
      <c r="C50" s="137"/>
      <c r="D50" s="214"/>
      <c r="E50" s="214"/>
      <c r="F50" s="214"/>
    </row>
    <row r="51">
      <c r="A51" s="214" t="str">
        <f>IFERROR(__xludf.DUMMYFUNCTION("""COMPUTED_VALUE"""),"Karmin Smirch")</f>
        <v>Karmin Smirch</v>
      </c>
      <c r="B51" s="12" t="b">
        <f>IFERROR(__xludf.DUMMYFUNCTION("""COMPUTED_VALUE"""),FALSE)</f>
        <v>0</v>
      </c>
      <c r="C51" s="137"/>
      <c r="D51" s="214"/>
      <c r="E51" s="214"/>
      <c r="F51" s="214"/>
    </row>
    <row r="52">
      <c r="A52" s="214" t="str">
        <f>IFERROR(__xludf.DUMMYFUNCTION("""COMPUTED_VALUE"""),"Adina Valerius")</f>
        <v>Adina Valerius</v>
      </c>
      <c r="B52" s="12" t="b">
        <f>IFERROR(__xludf.DUMMYFUNCTION("""COMPUTED_VALUE"""),FALSE)</f>
        <v>0</v>
      </c>
      <c r="C52" s="137"/>
      <c r="D52" s="214"/>
      <c r="E52" s="214"/>
      <c r="F52" s="214"/>
    </row>
    <row r="53">
      <c r="A53" s="214"/>
      <c r="B53" s="12"/>
      <c r="C53" s="137"/>
      <c r="D53" s="214"/>
      <c r="E53" s="214"/>
      <c r="F53" s="214"/>
    </row>
    <row r="54">
      <c r="A54" s="214" t="str">
        <f>IFERROR(__xludf.DUMMYFUNCTION("""COMPUTED_VALUE"""),"GENERAL NOTES")</f>
        <v>GENERAL NOTES</v>
      </c>
      <c r="B54" s="12"/>
      <c r="C54" s="137"/>
      <c r="D54" s="214"/>
      <c r="E54" s="214"/>
      <c r="F54" s="214"/>
    </row>
    <row r="55">
      <c r="A55" s="214" t="str">
        <f>IFERROR(__xludf.DUMMYFUNCTION("""COMPUTED_VALUE"""),"party photo taken -Mirin")</f>
        <v>party photo taken -Mirin</v>
      </c>
      <c r="B55" s="12"/>
      <c r="C55" s="137"/>
      <c r="D55" s="214"/>
      <c r="E55" s="214"/>
      <c r="F55" s="214"/>
    </row>
    <row r="56">
      <c r="A56" s="214" t="str">
        <f>IFERROR(__xludf.DUMMYFUNCTION("""COMPUTED_VALUE"""),"1 almost died battling skeevers, keeper used heal all hits pray")</f>
        <v>1 almost died battling skeevers, keeper used heal all hits pray</v>
      </c>
      <c r="B56" s="12"/>
      <c r="C56" s="137"/>
      <c r="D56" s="214"/>
      <c r="E56" s="214"/>
      <c r="F56" s="214"/>
    </row>
    <row r="57">
      <c r="A57" s="214" t="str">
        <f>IFERROR(__xludf.DUMMYFUNCTION("""COMPUTED_VALUE"""),"Told Arden about Golden Letter for Samuelson. -Mike S.")</f>
        <v>Told Arden about Golden Letter for Samuelson. -Mike S.</v>
      </c>
      <c r="B57" s="12"/>
      <c r="C57" s="137"/>
      <c r="D57" s="214"/>
      <c r="E57" s="214"/>
      <c r="F57" s="214"/>
    </row>
    <row r="58">
      <c r="A58" s="214" t="str">
        <f>IFERROR(__xludf.DUMMYFUNCTION("""COMPUTED_VALUE"""),"They mentioned they hadn't found a chest yet and wanted to, I gave them some advice on where to find them. - ZT")</f>
        <v>They mentioned they hadn't found a chest yet and wanted to, I gave them some advice on where to find them. - ZT</v>
      </c>
      <c r="B58" s="12"/>
      <c r="C58" s="137"/>
      <c r="D58" s="214"/>
      <c r="E58" s="214"/>
      <c r="F58" s="214"/>
    </row>
    <row r="59">
      <c r="A59" s="214" t="str">
        <f>IFERROR(__xludf.DUMMYFUNCTION("""COMPUTED_VALUE"""),"Kim told me (Ariel) that Arden found the basket of Wolven slaying (but Lance says it wont be a problem)")</f>
        <v>Kim told me (Ariel) that Arden found the basket of Wolven slaying (but Lance says it wont be a problem)</v>
      </c>
      <c r="B59" s="12"/>
      <c r="C59" s="137"/>
      <c r="D59" s="214"/>
      <c r="E59" s="214"/>
      <c r="F59" s="214"/>
    </row>
    <row r="60">
      <c r="A60" s="214" t="str">
        <f>IFERROR(__xludf.DUMMYFUNCTION("""COMPUTED_VALUE"""),"The woman with the short blond hair is collecting leaves and other examples of the local fauna to bring back to Arden for study. She gave me (Baroness Adina) a leaf from Arden to remind me of my home. She is awesome!")</f>
        <v>The woman with the short blond hair is collecting leaves and other examples of the local fauna to bring back to Arden for study. She gave me (Baroness Adina) a leaf from Arden to remind me of my home. She is awesome!</v>
      </c>
      <c r="B60" s="12"/>
      <c r="C60" s="137"/>
      <c r="D60" s="214"/>
      <c r="E60" s="214"/>
      <c r="F60" s="214"/>
    </row>
    <row r="61">
      <c r="A61" s="214" t="str">
        <f>IFERROR(__xludf.DUMMYFUNCTION("""COMPUTED_VALUE"""),"very good fighters, good coordination ")</f>
        <v>very good fighters, good coordination </v>
      </c>
      <c r="B61" s="12"/>
      <c r="C61" s="137"/>
      <c r="D61" s="214"/>
      <c r="E61" s="214"/>
      <c r="F61" s="214"/>
    </row>
    <row r="62">
      <c r="A62" s="214" t="str">
        <f>IFERROR(__xludf.DUMMYFUNCTION("""COMPUTED_VALUE"""),"Maker is a really strong individual fighter; overall group combat is strong - Neal D.  1pm Sat")</f>
        <v>Maker is a really strong individual fighter; overall group combat is strong - Neal D.  1pm Sat</v>
      </c>
      <c r="B62" s="12"/>
      <c r="C62" s="137"/>
      <c r="D62" s="214"/>
      <c r="E62" s="214"/>
      <c r="F62" s="214"/>
    </row>
    <row r="63">
      <c r="A63" s="214" t="str">
        <f>IFERROR(__xludf.DUMMYFUNCTION("""COMPUTED_VALUE"""),"Backing off trial drama, companion told Rowan who told me (Lane) that they are completly trial locked in and not to item focused.  1:44 pm")</f>
        <v>Backing off trial drama, companion told Rowan who told me (Lane) that they are completly trial locked in and not to item focused.  1:44 pm</v>
      </c>
      <c r="B63" s="12"/>
      <c r="C63" s="137"/>
      <c r="D63" s="214"/>
      <c r="E63" s="214"/>
      <c r="F63" s="214"/>
    </row>
    <row r="64">
      <c r="A64" s="214" t="str">
        <f>IFERROR(__xludf.DUMMYFUNCTION("""COMPUTED_VALUE"""),"Have golden page info re: Obsidian-Abigail")</f>
        <v>Have golden page info re: Obsidian-Abigail</v>
      </c>
      <c r="B64" s="12"/>
      <c r="C64" s="137"/>
      <c r="D64" s="214"/>
      <c r="E64" s="214"/>
      <c r="F64" s="214"/>
    </row>
    <row r="65">
      <c r="A65" s="214"/>
      <c r="B65" s="12"/>
      <c r="C65" s="137"/>
      <c r="D65" s="214"/>
      <c r="E65" s="214"/>
      <c r="F65" s="214"/>
    </row>
    <row r="66">
      <c r="A66" s="214"/>
      <c r="B66" s="12"/>
      <c r="C66" s="137"/>
      <c r="D66" s="214"/>
      <c r="E66" s="214"/>
      <c r="F66" s="214"/>
    </row>
    <row r="67">
      <c r="A67" s="214"/>
      <c r="B67" s="12"/>
      <c r="C67" s="137"/>
      <c r="D67" s="214"/>
      <c r="E67" s="214"/>
      <c r="F67" s="214"/>
    </row>
    <row r="68">
      <c r="A68" s="214"/>
      <c r="B68" s="12"/>
      <c r="C68" s="137"/>
      <c r="D68" s="214"/>
      <c r="E68" s="214"/>
      <c r="F68" s="214"/>
    </row>
    <row r="69">
      <c r="A69" s="214"/>
      <c r="B69" s="12"/>
      <c r="C69" s="137"/>
      <c r="D69" s="214"/>
      <c r="E69" s="214"/>
      <c r="F69" s="214"/>
    </row>
    <row r="70">
      <c r="A70" s="214"/>
      <c r="B70" s="12"/>
      <c r="C70" s="137"/>
      <c r="D70" s="214"/>
      <c r="E70" s="214"/>
      <c r="F70" s="214"/>
    </row>
    <row r="71">
      <c r="A71" s="214"/>
      <c r="B71" s="12"/>
      <c r="C71" s="137"/>
      <c r="D71" s="214"/>
      <c r="E71" s="214"/>
      <c r="F71" s="214"/>
    </row>
    <row r="72">
      <c r="A72" s="214"/>
      <c r="B72" s="12"/>
      <c r="C72" s="137"/>
      <c r="D72" s="214"/>
      <c r="E72" s="214"/>
      <c r="F72" s="214"/>
    </row>
    <row r="73">
      <c r="A73" s="214"/>
      <c r="B73" s="12"/>
      <c r="C73" s="137"/>
      <c r="D73" s="214"/>
      <c r="E73" s="214"/>
      <c r="F73" s="214"/>
    </row>
    <row r="74">
      <c r="A74" s="214"/>
      <c r="B74" s="12"/>
      <c r="C74" s="137"/>
      <c r="D74" s="214"/>
      <c r="E74" s="214"/>
      <c r="F74" s="214"/>
    </row>
    <row r="75">
      <c r="A75" s="214"/>
      <c r="B75" s="12"/>
      <c r="C75" s="137"/>
      <c r="D75" s="214"/>
      <c r="E75" s="214"/>
      <c r="F75" s="214"/>
    </row>
    <row r="76">
      <c r="A76" s="214"/>
      <c r="B76" s="12"/>
      <c r="C76" s="137"/>
      <c r="D76" s="214"/>
      <c r="E76" s="214"/>
      <c r="F76" s="214"/>
    </row>
    <row r="77">
      <c r="A77" s="214"/>
      <c r="B77" s="12"/>
      <c r="C77" s="137"/>
      <c r="D77" s="214"/>
      <c r="E77" s="214"/>
      <c r="F77" s="214"/>
    </row>
    <row r="78">
      <c r="A78" s="214"/>
      <c r="B78" s="12"/>
      <c r="C78" s="137"/>
      <c r="D78" s="214"/>
      <c r="E78" s="214"/>
      <c r="F78" s="214"/>
    </row>
    <row r="79">
      <c r="A79" s="214"/>
      <c r="B79" s="12"/>
      <c r="C79" s="137"/>
      <c r="D79" s="214"/>
      <c r="E79" s="214"/>
      <c r="F79" s="214"/>
    </row>
    <row r="80">
      <c r="B80" s="12"/>
      <c r="C80" s="137"/>
    </row>
    <row r="81">
      <c r="B81" s="12"/>
      <c r="C81" s="137"/>
    </row>
    <row r="82">
      <c r="B82" s="12"/>
      <c r="C82" s="137"/>
    </row>
    <row r="83">
      <c r="B83" s="12"/>
      <c r="C83" s="137"/>
    </row>
    <row r="84">
      <c r="B84" s="12"/>
      <c r="C84" s="137"/>
    </row>
    <row r="85">
      <c r="B85" s="12"/>
      <c r="C85" s="137"/>
    </row>
    <row r="86">
      <c r="B86" s="12"/>
      <c r="C86" s="137"/>
    </row>
    <row r="87">
      <c r="B87" s="12"/>
      <c r="C87" s="137"/>
    </row>
    <row r="88">
      <c r="B88" s="12"/>
      <c r="C88" s="137"/>
    </row>
    <row r="89">
      <c r="B89" s="12"/>
      <c r="C89" s="137"/>
    </row>
    <row r="90">
      <c r="B90" s="12"/>
      <c r="C90" s="137"/>
    </row>
    <row r="91">
      <c r="B91" s="12"/>
      <c r="C91" s="137"/>
    </row>
    <row r="92">
      <c r="B92" s="12"/>
      <c r="C92" s="137"/>
    </row>
    <row r="93">
      <c r="B93" s="12"/>
      <c r="C93" s="137"/>
    </row>
    <row r="94">
      <c r="B94" s="12"/>
      <c r="C94" s="137"/>
    </row>
    <row r="95">
      <c r="B95" s="12"/>
      <c r="C95" s="137"/>
    </row>
    <row r="96">
      <c r="B96" s="12"/>
      <c r="C96" s="137"/>
    </row>
    <row r="97">
      <c r="B97" s="12"/>
      <c r="C97" s="137"/>
    </row>
    <row r="98">
      <c r="B98" s="12"/>
      <c r="C98" s="137"/>
    </row>
    <row r="99">
      <c r="B99" s="12"/>
      <c r="C99" s="137"/>
    </row>
    <row r="100">
      <c r="B100" s="12"/>
      <c r="C100" s="137"/>
    </row>
    <row r="101">
      <c r="B101" s="12"/>
      <c r="C101" s="137"/>
    </row>
    <row r="102">
      <c r="B102" s="12"/>
      <c r="C102" s="137"/>
    </row>
    <row r="103">
      <c r="B103" s="12"/>
      <c r="C103" s="137"/>
    </row>
    <row r="104">
      <c r="B104" s="12"/>
      <c r="C104" s="137"/>
    </row>
    <row r="105">
      <c r="B105" s="12"/>
      <c r="C105" s="137"/>
    </row>
    <row r="106">
      <c r="B106" s="12"/>
      <c r="C106" s="137"/>
    </row>
    <row r="107">
      <c r="B107" s="12"/>
      <c r="C107" s="137"/>
    </row>
    <row r="108">
      <c r="B108" s="12"/>
      <c r="C108" s="137"/>
    </row>
    <row r="109">
      <c r="B109" s="12"/>
      <c r="C109" s="137"/>
    </row>
    <row r="110">
      <c r="B110" s="12"/>
      <c r="C110" s="137"/>
    </row>
    <row r="111">
      <c r="B111" s="12"/>
      <c r="C111" s="137"/>
    </row>
    <row r="112">
      <c r="B112" s="12"/>
      <c r="C112" s="137"/>
    </row>
    <row r="113">
      <c r="B113" s="12"/>
      <c r="C113" s="137"/>
    </row>
    <row r="114">
      <c r="B114" s="12"/>
      <c r="C114" s="137"/>
    </row>
    <row r="115">
      <c r="B115" s="12"/>
      <c r="C115" s="137"/>
    </row>
    <row r="116">
      <c r="B116" s="12"/>
      <c r="C116" s="137"/>
    </row>
    <row r="117">
      <c r="B117" s="12"/>
      <c r="C117" s="137"/>
    </row>
    <row r="118">
      <c r="B118" s="12"/>
      <c r="C118" s="137"/>
    </row>
    <row r="119">
      <c r="B119" s="12"/>
      <c r="C119" s="137"/>
    </row>
    <row r="120">
      <c r="B120" s="12"/>
      <c r="C120" s="137"/>
    </row>
    <row r="121">
      <c r="B121" s="12"/>
      <c r="C121" s="137"/>
    </row>
    <row r="122">
      <c r="B122" s="12"/>
      <c r="C122" s="137"/>
    </row>
    <row r="123">
      <c r="B123" s="12"/>
      <c r="C123" s="137"/>
    </row>
    <row r="124">
      <c r="B124" s="12"/>
      <c r="C124" s="137"/>
    </row>
    <row r="125">
      <c r="B125" s="12"/>
      <c r="C125" s="137"/>
    </row>
    <row r="126">
      <c r="B126" s="12"/>
      <c r="C126" s="137"/>
    </row>
    <row r="127">
      <c r="B127" s="12"/>
      <c r="C127" s="137"/>
    </row>
    <row r="128">
      <c r="B128" s="12"/>
      <c r="C128" s="137"/>
    </row>
    <row r="129">
      <c r="B129" s="12"/>
      <c r="C129" s="137"/>
    </row>
    <row r="130">
      <c r="B130" s="12"/>
      <c r="C130" s="137"/>
    </row>
    <row r="131">
      <c r="B131" s="12"/>
      <c r="C131" s="137"/>
    </row>
    <row r="132">
      <c r="B132" s="12"/>
      <c r="C132" s="137"/>
    </row>
    <row r="133">
      <c r="B133" s="12"/>
      <c r="C133" s="137"/>
    </row>
    <row r="134">
      <c r="B134" s="12"/>
      <c r="C134" s="137"/>
    </row>
    <row r="135">
      <c r="B135" s="12"/>
      <c r="C135" s="137"/>
    </row>
    <row r="136">
      <c r="B136" s="12"/>
      <c r="C136" s="137"/>
    </row>
    <row r="137">
      <c r="B137" s="12"/>
      <c r="C137" s="137"/>
    </row>
    <row r="138">
      <c r="B138" s="12"/>
      <c r="C138" s="137"/>
    </row>
    <row r="139">
      <c r="B139" s="12"/>
      <c r="C139" s="137"/>
    </row>
    <row r="140">
      <c r="B140" s="12"/>
      <c r="C140" s="137"/>
    </row>
    <row r="141">
      <c r="B141" s="12"/>
      <c r="C141" s="137"/>
    </row>
    <row r="142">
      <c r="B142" s="12"/>
      <c r="C142" s="137"/>
    </row>
    <row r="143">
      <c r="B143" s="12"/>
      <c r="C143" s="137"/>
    </row>
    <row r="144">
      <c r="B144" s="12"/>
      <c r="C144" s="137"/>
    </row>
    <row r="145">
      <c r="B145" s="12"/>
      <c r="C145" s="137"/>
    </row>
    <row r="146">
      <c r="B146" s="12"/>
      <c r="C146" s="137"/>
    </row>
    <row r="147">
      <c r="B147" s="12"/>
      <c r="C147" s="137"/>
    </row>
    <row r="148">
      <c r="B148" s="12"/>
      <c r="C148" s="137"/>
    </row>
    <row r="149">
      <c r="B149" s="12"/>
      <c r="C149" s="137"/>
    </row>
    <row r="150">
      <c r="B150" s="12"/>
      <c r="C150" s="137"/>
    </row>
    <row r="151">
      <c r="B151" s="12"/>
      <c r="C151" s="137"/>
    </row>
    <row r="152">
      <c r="B152" s="12"/>
      <c r="C152" s="137"/>
    </row>
    <row r="153">
      <c r="B153" s="12"/>
      <c r="C153" s="137"/>
    </row>
    <row r="154">
      <c r="B154" s="12"/>
      <c r="C154" s="137"/>
    </row>
    <row r="155">
      <c r="B155" s="12"/>
      <c r="C155" s="137"/>
    </row>
    <row r="156">
      <c r="B156" s="12"/>
      <c r="C156" s="137"/>
    </row>
    <row r="157">
      <c r="B157" s="12"/>
      <c r="C157" s="137"/>
    </row>
    <row r="158">
      <c r="B158" s="12"/>
      <c r="C158" s="137"/>
    </row>
    <row r="159">
      <c r="B159" s="12"/>
      <c r="C159" s="137"/>
    </row>
    <row r="160">
      <c r="B160" s="12"/>
      <c r="C160" s="137"/>
    </row>
    <row r="161">
      <c r="B161" s="12"/>
      <c r="C161" s="137"/>
    </row>
    <row r="162">
      <c r="B162" s="12"/>
      <c r="C162" s="137"/>
    </row>
    <row r="163">
      <c r="B163" s="12"/>
      <c r="C163" s="137"/>
    </row>
    <row r="164">
      <c r="B164" s="12"/>
      <c r="C164" s="137"/>
    </row>
    <row r="165">
      <c r="B165" s="12"/>
      <c r="C165" s="137"/>
    </row>
    <row r="166">
      <c r="B166" s="12"/>
      <c r="C166" s="137"/>
    </row>
    <row r="167">
      <c r="B167" s="12"/>
      <c r="C167" s="137"/>
    </row>
    <row r="168">
      <c r="B168" s="12"/>
      <c r="C168" s="137"/>
    </row>
    <row r="169">
      <c r="B169" s="12"/>
      <c r="C169" s="137"/>
    </row>
    <row r="170">
      <c r="B170" s="12"/>
      <c r="C170" s="137"/>
    </row>
    <row r="171">
      <c r="B171" s="12"/>
      <c r="C171" s="137"/>
    </row>
    <row r="172">
      <c r="B172" s="12"/>
      <c r="C172" s="137"/>
    </row>
    <row r="173">
      <c r="B173" s="12"/>
      <c r="C173" s="137"/>
    </row>
    <row r="174">
      <c r="B174" s="12"/>
      <c r="C174" s="137"/>
    </row>
    <row r="175">
      <c r="B175" s="12"/>
      <c r="C175" s="137"/>
    </row>
    <row r="176">
      <c r="B176" s="12"/>
      <c r="C176" s="137"/>
    </row>
    <row r="177">
      <c r="B177" s="12"/>
      <c r="C177" s="137"/>
    </row>
    <row r="178">
      <c r="B178" s="12"/>
      <c r="C178" s="137"/>
    </row>
    <row r="179">
      <c r="B179" s="12"/>
      <c r="C179" s="137"/>
    </row>
    <row r="180">
      <c r="B180" s="12"/>
      <c r="C180" s="137"/>
    </row>
    <row r="181">
      <c r="B181" s="12"/>
      <c r="C181" s="137"/>
    </row>
    <row r="182">
      <c r="B182" s="12"/>
      <c r="C182" s="137"/>
    </row>
    <row r="183">
      <c r="B183" s="12"/>
      <c r="C183" s="137"/>
    </row>
    <row r="184">
      <c r="B184" s="12"/>
      <c r="C184" s="137"/>
    </row>
    <row r="185">
      <c r="B185" s="12"/>
      <c r="C185" s="137"/>
    </row>
    <row r="186">
      <c r="B186" s="12"/>
      <c r="C186" s="137"/>
    </row>
    <row r="187">
      <c r="B187" s="12"/>
      <c r="C187" s="137"/>
    </row>
    <row r="188">
      <c r="B188" s="12"/>
      <c r="C188" s="137"/>
    </row>
    <row r="189">
      <c r="B189" s="12"/>
      <c r="C189" s="137"/>
    </row>
    <row r="190">
      <c r="B190" s="12"/>
      <c r="C190" s="137"/>
    </row>
    <row r="191">
      <c r="B191" s="12"/>
      <c r="C191" s="137"/>
    </row>
    <row r="192">
      <c r="B192" s="12"/>
      <c r="C192" s="137"/>
    </row>
    <row r="193">
      <c r="B193" s="12"/>
      <c r="C193" s="137"/>
    </row>
    <row r="194">
      <c r="B194" s="12"/>
      <c r="C194" s="137"/>
    </row>
    <row r="195">
      <c r="B195" s="12"/>
      <c r="C195" s="137"/>
    </row>
    <row r="196">
      <c r="B196" s="12"/>
      <c r="C196" s="137"/>
    </row>
    <row r="197">
      <c r="B197" s="12"/>
      <c r="C197" s="137"/>
    </row>
    <row r="198">
      <c r="B198" s="12"/>
      <c r="C198" s="137"/>
    </row>
    <row r="199">
      <c r="B199" s="12"/>
      <c r="C199" s="137"/>
    </row>
    <row r="200">
      <c r="B200" s="12"/>
      <c r="C200" s="137"/>
    </row>
    <row r="201">
      <c r="B201" s="12"/>
      <c r="C201" s="137"/>
    </row>
    <row r="202">
      <c r="B202" s="12"/>
      <c r="C202" s="137"/>
    </row>
    <row r="203">
      <c r="B203" s="12"/>
      <c r="C203" s="137"/>
    </row>
    <row r="204">
      <c r="B204" s="12"/>
      <c r="C204" s="137"/>
    </row>
    <row r="205">
      <c r="B205" s="12"/>
      <c r="C205" s="137"/>
    </row>
    <row r="206">
      <c r="B206" s="12"/>
      <c r="C206" s="137"/>
    </row>
    <row r="207">
      <c r="B207" s="12"/>
      <c r="C207" s="137"/>
    </row>
    <row r="208">
      <c r="B208" s="12"/>
      <c r="C208" s="137"/>
    </row>
    <row r="209">
      <c r="B209" s="12"/>
      <c r="C209" s="137"/>
    </row>
    <row r="210">
      <c r="B210" s="12"/>
      <c r="C210" s="137"/>
    </row>
    <row r="211">
      <c r="B211" s="12"/>
      <c r="C211" s="137"/>
    </row>
    <row r="212">
      <c r="B212" s="12"/>
      <c r="C212" s="137"/>
    </row>
    <row r="213">
      <c r="B213" s="12"/>
      <c r="C213" s="137"/>
    </row>
    <row r="214">
      <c r="B214" s="12"/>
      <c r="C214" s="137"/>
    </row>
    <row r="215">
      <c r="B215" s="12"/>
      <c r="C215" s="137"/>
    </row>
    <row r="216">
      <c r="B216" s="12"/>
      <c r="C216" s="137"/>
    </row>
    <row r="217">
      <c r="B217" s="12"/>
      <c r="C217" s="137"/>
    </row>
    <row r="218">
      <c r="B218" s="12"/>
      <c r="C218" s="137"/>
    </row>
    <row r="219">
      <c r="B219" s="12"/>
      <c r="C219" s="137"/>
    </row>
    <row r="220">
      <c r="B220" s="12"/>
      <c r="C220" s="137"/>
    </row>
    <row r="221">
      <c r="B221" s="12"/>
      <c r="C221" s="137"/>
    </row>
    <row r="222">
      <c r="B222" s="12"/>
      <c r="C222" s="137"/>
    </row>
    <row r="223">
      <c r="B223" s="12"/>
      <c r="C223" s="137"/>
    </row>
    <row r="224">
      <c r="B224" s="12"/>
      <c r="C224" s="137"/>
    </row>
    <row r="225">
      <c r="B225" s="12"/>
      <c r="C225" s="137"/>
    </row>
    <row r="226">
      <c r="B226" s="12"/>
      <c r="C226" s="137"/>
    </row>
    <row r="227">
      <c r="B227" s="12"/>
      <c r="C227" s="137"/>
    </row>
    <row r="228">
      <c r="B228" s="12"/>
      <c r="C228" s="137"/>
    </row>
    <row r="229">
      <c r="B229" s="12"/>
      <c r="C229" s="137"/>
    </row>
    <row r="230">
      <c r="B230" s="12"/>
      <c r="C230" s="137"/>
    </row>
    <row r="231">
      <c r="B231" s="12"/>
      <c r="C231" s="137"/>
    </row>
    <row r="232">
      <c r="B232" s="12"/>
      <c r="C232" s="137"/>
    </row>
    <row r="233">
      <c r="B233" s="12"/>
      <c r="C233" s="137"/>
    </row>
    <row r="234">
      <c r="B234" s="12"/>
      <c r="C234" s="137"/>
    </row>
    <row r="235">
      <c r="B235" s="12"/>
      <c r="C235" s="137"/>
    </row>
    <row r="236">
      <c r="B236" s="12"/>
      <c r="C236" s="137"/>
    </row>
    <row r="237">
      <c r="B237" s="12"/>
      <c r="C237" s="137"/>
    </row>
    <row r="238">
      <c r="B238" s="12"/>
      <c r="C238" s="137"/>
    </row>
    <row r="239">
      <c r="B239" s="12"/>
      <c r="C239" s="137"/>
    </row>
    <row r="240">
      <c r="B240" s="12"/>
      <c r="C240" s="137"/>
    </row>
    <row r="241">
      <c r="B241" s="12"/>
      <c r="C241" s="137"/>
    </row>
    <row r="242">
      <c r="B242" s="12"/>
      <c r="C242" s="137"/>
    </row>
    <row r="243">
      <c r="B243" s="12"/>
      <c r="C243" s="137"/>
    </row>
    <row r="244">
      <c r="B244" s="12"/>
      <c r="C244" s="137"/>
    </row>
    <row r="245">
      <c r="B245" s="12"/>
      <c r="C245" s="137"/>
    </row>
    <row r="246">
      <c r="B246" s="12"/>
      <c r="C246" s="137"/>
    </row>
    <row r="247">
      <c r="B247" s="12"/>
      <c r="C247" s="137"/>
    </row>
    <row r="248">
      <c r="B248" s="12"/>
      <c r="C248" s="137"/>
    </row>
    <row r="249">
      <c r="B249" s="12"/>
      <c r="C249" s="137"/>
    </row>
    <row r="250">
      <c r="B250" s="12"/>
      <c r="C250" s="137"/>
    </row>
    <row r="251">
      <c r="B251" s="12"/>
      <c r="C251" s="137"/>
    </row>
    <row r="252">
      <c r="B252" s="12"/>
      <c r="C252" s="137"/>
    </row>
    <row r="253">
      <c r="B253" s="12"/>
      <c r="C253" s="137"/>
    </row>
    <row r="254">
      <c r="B254" s="12"/>
      <c r="C254" s="137"/>
    </row>
    <row r="255">
      <c r="B255" s="12"/>
      <c r="C255" s="137"/>
    </row>
    <row r="256">
      <c r="B256" s="12"/>
      <c r="C256" s="137"/>
    </row>
    <row r="257">
      <c r="B257" s="12"/>
      <c r="C257" s="137"/>
    </row>
    <row r="258">
      <c r="B258" s="12"/>
      <c r="C258" s="137"/>
    </row>
    <row r="259">
      <c r="B259" s="12"/>
      <c r="C259" s="137"/>
    </row>
    <row r="260">
      <c r="B260" s="12"/>
      <c r="C260" s="137"/>
    </row>
    <row r="261">
      <c r="B261" s="12"/>
      <c r="C261" s="137"/>
    </row>
    <row r="262">
      <c r="B262" s="12"/>
      <c r="C262" s="137"/>
    </row>
    <row r="263">
      <c r="B263" s="12"/>
      <c r="C263" s="137"/>
    </row>
    <row r="264">
      <c r="B264" s="12"/>
      <c r="C264" s="137"/>
    </row>
    <row r="265">
      <c r="B265" s="12"/>
      <c r="C265" s="137"/>
    </row>
    <row r="266">
      <c r="B266" s="12"/>
      <c r="C266" s="137"/>
    </row>
    <row r="267">
      <c r="B267" s="12"/>
      <c r="C267" s="137"/>
    </row>
    <row r="268">
      <c r="B268" s="12"/>
      <c r="C268" s="137"/>
    </row>
    <row r="269">
      <c r="B269" s="12"/>
      <c r="C269" s="137"/>
    </row>
    <row r="270">
      <c r="B270" s="12"/>
      <c r="C270" s="137"/>
    </row>
    <row r="271">
      <c r="B271" s="12"/>
      <c r="C271" s="137"/>
    </row>
    <row r="272">
      <c r="B272" s="12"/>
      <c r="C272" s="137"/>
    </row>
    <row r="273">
      <c r="B273" s="12"/>
      <c r="C273" s="137"/>
    </row>
    <row r="274">
      <c r="B274" s="12"/>
      <c r="C274" s="137"/>
    </row>
    <row r="275">
      <c r="B275" s="12"/>
      <c r="C275" s="137"/>
    </row>
    <row r="276">
      <c r="B276" s="12"/>
      <c r="C276" s="137"/>
    </row>
    <row r="277">
      <c r="B277" s="12"/>
      <c r="C277" s="137"/>
    </row>
    <row r="278">
      <c r="B278" s="12"/>
      <c r="C278" s="137"/>
    </row>
    <row r="279">
      <c r="B279" s="12"/>
      <c r="C279" s="137"/>
    </row>
    <row r="280">
      <c r="B280" s="12"/>
      <c r="C280" s="137"/>
    </row>
    <row r="281">
      <c r="B281" s="12"/>
      <c r="C281" s="137"/>
    </row>
    <row r="282">
      <c r="B282" s="12"/>
      <c r="C282" s="137"/>
    </row>
    <row r="283">
      <c r="B283" s="12"/>
      <c r="C283" s="137"/>
    </row>
    <row r="284">
      <c r="B284" s="12"/>
      <c r="C284" s="137"/>
    </row>
    <row r="285">
      <c r="B285" s="12"/>
      <c r="C285" s="137"/>
    </row>
    <row r="286">
      <c r="B286" s="12"/>
      <c r="C286" s="137"/>
    </row>
    <row r="287">
      <c r="B287" s="12"/>
      <c r="C287" s="137"/>
    </row>
    <row r="288">
      <c r="B288" s="12"/>
      <c r="C288" s="137"/>
    </row>
    <row r="289">
      <c r="B289" s="12"/>
      <c r="C289" s="137"/>
    </row>
    <row r="290">
      <c r="B290" s="12"/>
      <c r="C290" s="137"/>
    </row>
    <row r="291">
      <c r="B291" s="12"/>
      <c r="C291" s="137"/>
    </row>
    <row r="292">
      <c r="B292" s="12"/>
      <c r="C292" s="137"/>
    </row>
    <row r="293">
      <c r="B293" s="12"/>
      <c r="C293" s="137"/>
    </row>
    <row r="294">
      <c r="B294" s="12"/>
      <c r="C294" s="137"/>
    </row>
    <row r="295">
      <c r="B295" s="12"/>
      <c r="C295" s="137"/>
    </row>
    <row r="296">
      <c r="B296" s="12"/>
      <c r="C296" s="137"/>
    </row>
    <row r="297">
      <c r="B297" s="12"/>
      <c r="C297" s="137"/>
    </row>
    <row r="298">
      <c r="B298" s="12"/>
      <c r="C298" s="137"/>
    </row>
    <row r="299">
      <c r="B299" s="12"/>
      <c r="C299" s="137"/>
    </row>
    <row r="300">
      <c r="B300" s="12"/>
      <c r="C300" s="137"/>
    </row>
    <row r="301">
      <c r="B301" s="12"/>
      <c r="C301" s="137"/>
    </row>
    <row r="302">
      <c r="B302" s="12"/>
      <c r="C302" s="137"/>
    </row>
    <row r="303">
      <c r="B303" s="12"/>
      <c r="C303" s="137"/>
    </row>
    <row r="304">
      <c r="B304" s="12"/>
      <c r="C304" s="137"/>
    </row>
    <row r="305">
      <c r="B305" s="12"/>
      <c r="C305" s="137"/>
    </row>
    <row r="306">
      <c r="B306" s="12"/>
      <c r="C306" s="137"/>
    </row>
    <row r="307">
      <c r="B307" s="12"/>
      <c r="C307" s="137"/>
    </row>
    <row r="308">
      <c r="B308" s="12"/>
      <c r="C308" s="137"/>
    </row>
    <row r="309">
      <c r="B309" s="12"/>
      <c r="C309" s="137"/>
    </row>
    <row r="310">
      <c r="B310" s="12"/>
      <c r="C310" s="137"/>
    </row>
    <row r="311">
      <c r="B311" s="12"/>
      <c r="C311" s="137"/>
    </row>
    <row r="312">
      <c r="B312" s="12"/>
      <c r="C312" s="137"/>
    </row>
    <row r="313">
      <c r="B313" s="12"/>
      <c r="C313" s="137"/>
    </row>
    <row r="314">
      <c r="B314" s="12"/>
      <c r="C314" s="137"/>
    </row>
    <row r="315">
      <c r="B315" s="12"/>
      <c r="C315" s="137"/>
    </row>
    <row r="316">
      <c r="B316" s="12"/>
      <c r="C316" s="137"/>
    </row>
    <row r="317">
      <c r="B317" s="12"/>
      <c r="C317" s="137"/>
    </row>
    <row r="318">
      <c r="B318" s="12"/>
      <c r="C318" s="137"/>
    </row>
    <row r="319">
      <c r="B319" s="12"/>
      <c r="C319" s="137"/>
    </row>
    <row r="320">
      <c r="B320" s="12"/>
      <c r="C320" s="137"/>
    </row>
    <row r="321">
      <c r="B321" s="12"/>
      <c r="C321" s="137"/>
    </row>
    <row r="322">
      <c r="B322" s="12"/>
      <c r="C322" s="137"/>
    </row>
    <row r="323">
      <c r="B323" s="12"/>
      <c r="C323" s="137"/>
    </row>
    <row r="324">
      <c r="B324" s="12"/>
      <c r="C324" s="137"/>
    </row>
    <row r="325">
      <c r="B325" s="12"/>
      <c r="C325" s="137"/>
    </row>
    <row r="326">
      <c r="B326" s="12"/>
      <c r="C326" s="137"/>
    </row>
    <row r="327">
      <c r="B327" s="12"/>
      <c r="C327" s="137"/>
    </row>
    <row r="328">
      <c r="B328" s="12"/>
      <c r="C328" s="137"/>
    </row>
    <row r="329">
      <c r="B329" s="12"/>
      <c r="C329" s="137"/>
    </row>
    <row r="330">
      <c r="B330" s="12"/>
      <c r="C330" s="137"/>
    </row>
    <row r="331">
      <c r="B331" s="12"/>
      <c r="C331" s="137"/>
    </row>
    <row r="332">
      <c r="B332" s="12"/>
      <c r="C332" s="137"/>
    </row>
    <row r="333">
      <c r="B333" s="12"/>
      <c r="C333" s="137"/>
    </row>
    <row r="334">
      <c r="B334" s="12"/>
      <c r="C334" s="137"/>
    </row>
    <row r="335">
      <c r="B335" s="12"/>
      <c r="C335" s="137"/>
    </row>
    <row r="336">
      <c r="B336" s="12"/>
      <c r="C336" s="137"/>
    </row>
    <row r="337">
      <c r="B337" s="12"/>
      <c r="C337" s="137"/>
    </row>
    <row r="338">
      <c r="B338" s="12"/>
      <c r="C338" s="137"/>
    </row>
    <row r="339">
      <c r="B339" s="12"/>
      <c r="C339" s="137"/>
    </row>
    <row r="340">
      <c r="B340" s="12"/>
      <c r="C340" s="137"/>
    </row>
    <row r="341">
      <c r="B341" s="12"/>
      <c r="C341" s="137"/>
    </row>
    <row r="342">
      <c r="B342" s="12"/>
      <c r="C342" s="137"/>
    </row>
    <row r="343">
      <c r="B343" s="12"/>
      <c r="C343" s="137"/>
    </row>
    <row r="344">
      <c r="B344" s="12"/>
      <c r="C344" s="137"/>
    </row>
    <row r="345">
      <c r="B345" s="12"/>
      <c r="C345" s="137"/>
    </row>
    <row r="346">
      <c r="B346" s="12"/>
      <c r="C346" s="137"/>
    </row>
    <row r="347">
      <c r="B347" s="12"/>
      <c r="C347" s="137"/>
    </row>
    <row r="348">
      <c r="B348" s="12"/>
      <c r="C348" s="137"/>
    </row>
    <row r="349">
      <c r="B349" s="12"/>
      <c r="C349" s="137"/>
    </row>
    <row r="350">
      <c r="B350" s="12"/>
      <c r="C350" s="137"/>
    </row>
    <row r="351">
      <c r="B351" s="12"/>
      <c r="C351" s="137"/>
    </row>
    <row r="352">
      <c r="B352" s="12"/>
      <c r="C352" s="137"/>
    </row>
    <row r="353">
      <c r="B353" s="12"/>
      <c r="C353" s="137"/>
    </row>
    <row r="354">
      <c r="B354" s="12"/>
      <c r="C354" s="137"/>
    </row>
    <row r="355">
      <c r="B355" s="12"/>
      <c r="C355" s="137"/>
    </row>
    <row r="356">
      <c r="B356" s="12"/>
      <c r="C356" s="137"/>
    </row>
    <row r="357">
      <c r="B357" s="12"/>
      <c r="C357" s="137"/>
    </row>
    <row r="358">
      <c r="B358" s="12"/>
      <c r="C358" s="137"/>
    </row>
    <row r="359">
      <c r="B359" s="12"/>
      <c r="C359" s="137"/>
    </row>
    <row r="360">
      <c r="B360" s="12"/>
      <c r="C360" s="137"/>
    </row>
    <row r="361">
      <c r="B361" s="12"/>
      <c r="C361" s="137"/>
    </row>
    <row r="362">
      <c r="B362" s="12"/>
      <c r="C362" s="137"/>
    </row>
    <row r="363">
      <c r="B363" s="12"/>
      <c r="C363" s="137"/>
    </row>
    <row r="364">
      <c r="B364" s="12"/>
      <c r="C364" s="137"/>
    </row>
    <row r="365">
      <c r="B365" s="12"/>
      <c r="C365" s="137"/>
    </row>
    <row r="366">
      <c r="B366" s="12"/>
      <c r="C366" s="137"/>
    </row>
    <row r="367">
      <c r="B367" s="12"/>
      <c r="C367" s="137"/>
    </row>
    <row r="368">
      <c r="B368" s="12"/>
      <c r="C368" s="137"/>
    </row>
    <row r="369">
      <c r="B369" s="12"/>
      <c r="C369" s="137"/>
    </row>
    <row r="370">
      <c r="B370" s="12"/>
      <c r="C370" s="137"/>
    </row>
    <row r="371">
      <c r="B371" s="12"/>
      <c r="C371" s="137"/>
    </row>
    <row r="372">
      <c r="B372" s="12"/>
      <c r="C372" s="137"/>
    </row>
    <row r="373">
      <c r="B373" s="12"/>
      <c r="C373" s="137"/>
    </row>
    <row r="374">
      <c r="B374" s="12"/>
      <c r="C374" s="137"/>
    </row>
    <row r="375">
      <c r="B375" s="12"/>
      <c r="C375" s="137"/>
    </row>
    <row r="376">
      <c r="B376" s="12"/>
      <c r="C376" s="137"/>
    </row>
    <row r="377">
      <c r="B377" s="12"/>
      <c r="C377" s="137"/>
    </row>
    <row r="378">
      <c r="B378" s="12"/>
      <c r="C378" s="137"/>
    </row>
    <row r="379">
      <c r="B379" s="12"/>
      <c r="C379" s="137"/>
    </row>
    <row r="380">
      <c r="B380" s="12"/>
      <c r="C380" s="137"/>
    </row>
    <row r="381">
      <c r="B381" s="12"/>
      <c r="C381" s="137"/>
    </row>
    <row r="382">
      <c r="B382" s="12"/>
      <c r="C382" s="137"/>
    </row>
    <row r="383">
      <c r="B383" s="12"/>
      <c r="C383" s="137"/>
    </row>
    <row r="384">
      <c r="B384" s="12"/>
      <c r="C384" s="137"/>
    </row>
    <row r="385">
      <c r="B385" s="12"/>
      <c r="C385" s="137"/>
    </row>
    <row r="386">
      <c r="B386" s="12"/>
      <c r="C386" s="137"/>
    </row>
    <row r="387">
      <c r="B387" s="12"/>
      <c r="C387" s="137"/>
    </row>
    <row r="388">
      <c r="B388" s="12"/>
      <c r="C388" s="137"/>
    </row>
    <row r="389">
      <c r="B389" s="12"/>
      <c r="C389" s="137"/>
    </row>
    <row r="390">
      <c r="B390" s="12"/>
      <c r="C390" s="137"/>
    </row>
    <row r="391">
      <c r="B391" s="12"/>
      <c r="C391" s="137"/>
    </row>
    <row r="392">
      <c r="B392" s="12"/>
      <c r="C392" s="137"/>
    </row>
    <row r="393">
      <c r="B393" s="12"/>
      <c r="C393" s="137"/>
    </row>
    <row r="394">
      <c r="B394" s="12"/>
      <c r="C394" s="137"/>
    </row>
    <row r="395">
      <c r="B395" s="12"/>
      <c r="C395" s="137"/>
    </row>
    <row r="396">
      <c r="B396" s="12"/>
      <c r="C396" s="137"/>
    </row>
    <row r="397">
      <c r="B397" s="12"/>
      <c r="C397" s="137"/>
    </row>
    <row r="398">
      <c r="B398" s="12"/>
      <c r="C398" s="137"/>
    </row>
    <row r="399">
      <c r="B399" s="12"/>
      <c r="C399" s="137"/>
    </row>
    <row r="400">
      <c r="B400" s="12"/>
      <c r="C400" s="137"/>
    </row>
    <row r="401">
      <c r="B401" s="12"/>
      <c r="C401" s="137"/>
    </row>
    <row r="402">
      <c r="B402" s="12"/>
      <c r="C402" s="137"/>
    </row>
    <row r="403">
      <c r="B403" s="12"/>
      <c r="C403" s="137"/>
    </row>
    <row r="404">
      <c r="B404" s="12"/>
      <c r="C404" s="137"/>
    </row>
    <row r="405">
      <c r="B405" s="12"/>
      <c r="C405" s="137"/>
    </row>
    <row r="406">
      <c r="B406" s="12"/>
      <c r="C406" s="137"/>
    </row>
    <row r="407">
      <c r="B407" s="12"/>
      <c r="C407" s="137"/>
    </row>
    <row r="408">
      <c r="B408" s="12"/>
      <c r="C408" s="137"/>
    </row>
    <row r="409">
      <c r="B409" s="12"/>
      <c r="C409" s="137"/>
    </row>
    <row r="410">
      <c r="B410" s="12"/>
      <c r="C410" s="137"/>
    </row>
    <row r="411">
      <c r="B411" s="12"/>
      <c r="C411" s="137"/>
    </row>
    <row r="412">
      <c r="B412" s="12"/>
      <c r="C412" s="137"/>
    </row>
    <row r="413">
      <c r="B413" s="12"/>
      <c r="C413" s="137"/>
    </row>
    <row r="414">
      <c r="B414" s="12"/>
      <c r="C414" s="137"/>
    </row>
    <row r="415">
      <c r="B415" s="12"/>
      <c r="C415" s="137"/>
    </row>
    <row r="416">
      <c r="B416" s="12"/>
      <c r="C416" s="137"/>
    </row>
    <row r="417">
      <c r="B417" s="12"/>
      <c r="C417" s="137"/>
    </row>
    <row r="418">
      <c r="B418" s="12"/>
      <c r="C418" s="137"/>
    </row>
    <row r="419">
      <c r="B419" s="12"/>
      <c r="C419" s="137"/>
    </row>
    <row r="420">
      <c r="B420" s="12"/>
      <c r="C420" s="137"/>
    </row>
    <row r="421">
      <c r="B421" s="12"/>
      <c r="C421" s="137"/>
    </row>
    <row r="422">
      <c r="B422" s="12"/>
      <c r="C422" s="137"/>
    </row>
    <row r="423">
      <c r="B423" s="12"/>
      <c r="C423" s="137"/>
    </row>
    <row r="424">
      <c r="B424" s="12"/>
      <c r="C424" s="137"/>
    </row>
    <row r="425">
      <c r="B425" s="12"/>
      <c r="C425" s="137"/>
    </row>
    <row r="426">
      <c r="B426" s="12"/>
      <c r="C426" s="137"/>
    </row>
    <row r="427">
      <c r="B427" s="12"/>
      <c r="C427" s="137"/>
    </row>
    <row r="428">
      <c r="B428" s="12"/>
      <c r="C428" s="137"/>
    </row>
    <row r="429">
      <c r="B429" s="12"/>
      <c r="C429" s="137"/>
    </row>
    <row r="430">
      <c r="B430" s="12"/>
      <c r="C430" s="137"/>
    </row>
    <row r="431">
      <c r="B431" s="12"/>
      <c r="C431" s="137"/>
    </row>
    <row r="432">
      <c r="B432" s="12"/>
      <c r="C432" s="137"/>
    </row>
    <row r="433">
      <c r="B433" s="12"/>
      <c r="C433" s="137"/>
    </row>
    <row r="434">
      <c r="B434" s="12"/>
      <c r="C434" s="137"/>
    </row>
    <row r="435">
      <c r="B435" s="12"/>
      <c r="C435" s="137"/>
    </row>
    <row r="436">
      <c r="B436" s="12"/>
      <c r="C436" s="137"/>
    </row>
    <row r="437">
      <c r="B437" s="12"/>
      <c r="C437" s="137"/>
    </row>
    <row r="438">
      <c r="B438" s="12"/>
      <c r="C438" s="137"/>
    </row>
    <row r="439">
      <c r="B439" s="12"/>
      <c r="C439" s="137"/>
    </row>
    <row r="440">
      <c r="B440" s="12"/>
      <c r="C440" s="137"/>
    </row>
    <row r="441">
      <c r="B441" s="12"/>
      <c r="C441" s="137"/>
    </row>
    <row r="442">
      <c r="B442" s="12"/>
      <c r="C442" s="137"/>
    </row>
    <row r="443">
      <c r="B443" s="12"/>
      <c r="C443" s="137"/>
    </row>
    <row r="444">
      <c r="B444" s="12"/>
      <c r="C444" s="137"/>
    </row>
    <row r="445">
      <c r="B445" s="12"/>
      <c r="C445" s="137"/>
    </row>
    <row r="446">
      <c r="B446" s="12"/>
      <c r="C446" s="137"/>
    </row>
    <row r="447">
      <c r="B447" s="12"/>
      <c r="C447" s="137"/>
    </row>
    <row r="448">
      <c r="B448" s="12"/>
      <c r="C448" s="137"/>
    </row>
    <row r="449">
      <c r="B449" s="12"/>
      <c r="C449" s="137"/>
    </row>
    <row r="450">
      <c r="B450" s="12"/>
      <c r="C450" s="137"/>
    </row>
    <row r="451">
      <c r="B451" s="12"/>
      <c r="C451" s="137"/>
    </row>
    <row r="452">
      <c r="B452" s="12"/>
      <c r="C452" s="137"/>
    </row>
    <row r="453">
      <c r="B453" s="12"/>
      <c r="C453" s="137"/>
    </row>
    <row r="454">
      <c r="B454" s="12"/>
      <c r="C454" s="137"/>
    </row>
    <row r="455">
      <c r="B455" s="12"/>
      <c r="C455" s="137"/>
    </row>
    <row r="456">
      <c r="B456" s="12"/>
      <c r="C456" s="137"/>
    </row>
    <row r="457">
      <c r="B457" s="12"/>
      <c r="C457" s="137"/>
    </row>
    <row r="458">
      <c r="B458" s="12"/>
      <c r="C458" s="137"/>
    </row>
    <row r="459">
      <c r="B459" s="12"/>
      <c r="C459" s="137"/>
    </row>
    <row r="460">
      <c r="B460" s="12"/>
      <c r="C460" s="137"/>
    </row>
    <row r="461">
      <c r="B461" s="12"/>
      <c r="C461" s="137"/>
    </row>
    <row r="462">
      <c r="B462" s="12"/>
      <c r="C462" s="137"/>
    </row>
    <row r="463">
      <c r="B463" s="12"/>
      <c r="C463" s="137"/>
    </row>
    <row r="464">
      <c r="B464" s="12"/>
      <c r="C464" s="137"/>
    </row>
    <row r="465">
      <c r="B465" s="12"/>
      <c r="C465" s="137"/>
    </row>
    <row r="466">
      <c r="B466" s="12"/>
      <c r="C466" s="137"/>
    </row>
    <row r="467">
      <c r="B467" s="12"/>
      <c r="C467" s="137"/>
    </row>
    <row r="468">
      <c r="B468" s="12"/>
      <c r="C468" s="137"/>
    </row>
    <row r="469">
      <c r="B469" s="12"/>
      <c r="C469" s="137"/>
    </row>
    <row r="470">
      <c r="B470" s="12"/>
      <c r="C470" s="137"/>
    </row>
    <row r="471">
      <c r="B471" s="12"/>
      <c r="C471" s="137"/>
    </row>
    <row r="472">
      <c r="B472" s="12"/>
      <c r="C472" s="137"/>
    </row>
    <row r="473">
      <c r="B473" s="12"/>
      <c r="C473" s="137"/>
    </row>
    <row r="474">
      <c r="B474" s="12"/>
      <c r="C474" s="137"/>
    </row>
    <row r="475">
      <c r="B475" s="12"/>
      <c r="C475" s="137"/>
    </row>
    <row r="476">
      <c r="B476" s="12"/>
      <c r="C476" s="137"/>
    </row>
    <row r="477">
      <c r="B477" s="12"/>
      <c r="C477" s="137"/>
    </row>
    <row r="478">
      <c r="B478" s="12"/>
      <c r="C478" s="137"/>
    </row>
    <row r="479">
      <c r="B479" s="12"/>
      <c r="C479" s="137"/>
    </row>
    <row r="480">
      <c r="B480" s="12"/>
      <c r="C480" s="137"/>
    </row>
    <row r="481">
      <c r="B481" s="12"/>
      <c r="C481" s="137"/>
    </row>
    <row r="482">
      <c r="B482" s="12"/>
      <c r="C482" s="137"/>
    </row>
    <row r="483">
      <c r="B483" s="12"/>
      <c r="C483" s="137"/>
    </row>
    <row r="484">
      <c r="B484" s="12"/>
      <c r="C484" s="137"/>
    </row>
    <row r="485">
      <c r="B485" s="12"/>
      <c r="C485" s="137"/>
    </row>
    <row r="486">
      <c r="B486" s="12"/>
      <c r="C486" s="137"/>
    </row>
    <row r="487">
      <c r="B487" s="12"/>
      <c r="C487" s="137"/>
    </row>
    <row r="488">
      <c r="B488" s="12"/>
      <c r="C488" s="137"/>
    </row>
    <row r="489">
      <c r="B489" s="12"/>
      <c r="C489" s="137"/>
    </row>
    <row r="490">
      <c r="B490" s="12"/>
      <c r="C490" s="137"/>
    </row>
    <row r="491">
      <c r="B491" s="12"/>
      <c r="C491" s="137"/>
    </row>
    <row r="492">
      <c r="B492" s="12"/>
      <c r="C492" s="137"/>
    </row>
    <row r="493">
      <c r="B493" s="12"/>
      <c r="C493" s="137"/>
    </row>
    <row r="494">
      <c r="B494" s="12"/>
      <c r="C494" s="137"/>
    </row>
    <row r="495">
      <c r="B495" s="12"/>
      <c r="C495" s="137"/>
    </row>
    <row r="496">
      <c r="B496" s="12"/>
      <c r="C496" s="137"/>
    </row>
    <row r="497">
      <c r="B497" s="12"/>
      <c r="C497" s="137"/>
    </row>
    <row r="498">
      <c r="B498" s="12"/>
      <c r="C498" s="137"/>
    </row>
    <row r="499">
      <c r="B499" s="12"/>
      <c r="C499" s="137"/>
    </row>
    <row r="500">
      <c r="B500" s="12"/>
      <c r="C500" s="137"/>
    </row>
    <row r="501">
      <c r="B501" s="12"/>
      <c r="C501" s="137"/>
    </row>
    <row r="502">
      <c r="B502" s="12"/>
      <c r="C502" s="137"/>
    </row>
    <row r="503">
      <c r="B503" s="12"/>
      <c r="C503" s="137"/>
    </row>
    <row r="504">
      <c r="B504" s="12"/>
      <c r="C504" s="137"/>
    </row>
    <row r="505">
      <c r="B505" s="12"/>
      <c r="C505" s="137"/>
    </row>
    <row r="506">
      <c r="B506" s="12"/>
      <c r="C506" s="137"/>
    </row>
    <row r="507">
      <c r="B507" s="12"/>
      <c r="C507" s="137"/>
    </row>
    <row r="508">
      <c r="B508" s="12"/>
      <c r="C508" s="137"/>
    </row>
    <row r="509">
      <c r="B509" s="12"/>
      <c r="C509" s="137"/>
    </row>
    <row r="510">
      <c r="B510" s="12"/>
      <c r="C510" s="137"/>
    </row>
    <row r="511">
      <c r="B511" s="12"/>
      <c r="C511" s="137"/>
    </row>
    <row r="512">
      <c r="B512" s="12"/>
      <c r="C512" s="137"/>
    </row>
    <row r="513">
      <c r="B513" s="12"/>
      <c r="C513" s="137"/>
    </row>
    <row r="514">
      <c r="B514" s="12"/>
      <c r="C514" s="137"/>
    </row>
    <row r="515">
      <c r="B515" s="12"/>
      <c r="C515" s="137"/>
    </row>
    <row r="516">
      <c r="B516" s="12"/>
      <c r="C516" s="137"/>
    </row>
    <row r="517">
      <c r="B517" s="12"/>
      <c r="C517" s="137"/>
    </row>
    <row r="518">
      <c r="B518" s="12"/>
      <c r="C518" s="137"/>
    </row>
    <row r="519">
      <c r="B519" s="12"/>
      <c r="C519" s="137"/>
    </row>
    <row r="520">
      <c r="B520" s="12"/>
      <c r="C520" s="137"/>
    </row>
    <row r="521">
      <c r="B521" s="12"/>
      <c r="C521" s="137"/>
    </row>
    <row r="522">
      <c r="B522" s="12"/>
      <c r="C522" s="137"/>
    </row>
    <row r="523">
      <c r="B523" s="12"/>
      <c r="C523" s="137"/>
    </row>
    <row r="524">
      <c r="B524" s="12"/>
      <c r="C524" s="137"/>
    </row>
    <row r="525">
      <c r="B525" s="12"/>
      <c r="C525" s="137"/>
    </row>
    <row r="526">
      <c r="B526" s="12"/>
      <c r="C526" s="137"/>
    </row>
    <row r="527">
      <c r="B527" s="12"/>
      <c r="C527" s="137"/>
    </row>
    <row r="528">
      <c r="B528" s="12"/>
      <c r="C528" s="137"/>
    </row>
    <row r="529">
      <c r="B529" s="12"/>
      <c r="C529" s="137"/>
    </row>
    <row r="530">
      <c r="B530" s="12"/>
      <c r="C530" s="137"/>
    </row>
    <row r="531">
      <c r="B531" s="12"/>
      <c r="C531" s="137"/>
    </row>
    <row r="532">
      <c r="B532" s="12"/>
      <c r="C532" s="137"/>
    </row>
    <row r="533">
      <c r="B533" s="12"/>
      <c r="C533" s="137"/>
    </row>
    <row r="534">
      <c r="B534" s="12"/>
      <c r="C534" s="137"/>
    </row>
    <row r="535">
      <c r="B535" s="12"/>
      <c r="C535" s="137"/>
    </row>
    <row r="536">
      <c r="B536" s="12"/>
      <c r="C536" s="137"/>
    </row>
    <row r="537">
      <c r="B537" s="12"/>
      <c r="C537" s="137"/>
    </row>
    <row r="538">
      <c r="B538" s="12"/>
      <c r="C538" s="137"/>
    </row>
    <row r="539">
      <c r="B539" s="12"/>
      <c r="C539" s="137"/>
    </row>
    <row r="540">
      <c r="B540" s="12"/>
      <c r="C540" s="137"/>
    </row>
    <row r="541">
      <c r="B541" s="12"/>
      <c r="C541" s="137"/>
    </row>
    <row r="542">
      <c r="B542" s="12"/>
      <c r="C542" s="137"/>
    </row>
    <row r="543">
      <c r="B543" s="12"/>
      <c r="C543" s="137"/>
    </row>
    <row r="544">
      <c r="B544" s="12"/>
      <c r="C544" s="137"/>
    </row>
    <row r="545">
      <c r="B545" s="12"/>
      <c r="C545" s="137"/>
    </row>
    <row r="546">
      <c r="B546" s="12"/>
      <c r="C546" s="137"/>
    </row>
    <row r="547">
      <c r="B547" s="12"/>
      <c r="C547" s="137"/>
    </row>
    <row r="548">
      <c r="B548" s="12"/>
      <c r="C548" s="137"/>
    </row>
    <row r="549">
      <c r="B549" s="12"/>
      <c r="C549" s="137"/>
    </row>
    <row r="550">
      <c r="B550" s="12"/>
      <c r="C550" s="137"/>
    </row>
    <row r="551">
      <c r="B551" s="12"/>
      <c r="C551" s="137"/>
    </row>
    <row r="552">
      <c r="B552" s="12"/>
      <c r="C552" s="137"/>
    </row>
    <row r="553">
      <c r="B553" s="12"/>
      <c r="C553" s="137"/>
    </row>
    <row r="554">
      <c r="B554" s="12"/>
      <c r="C554" s="137"/>
    </row>
    <row r="555">
      <c r="B555" s="12"/>
      <c r="C555" s="137"/>
    </row>
    <row r="556">
      <c r="B556" s="12"/>
      <c r="C556" s="137"/>
    </row>
    <row r="557">
      <c r="B557" s="12"/>
      <c r="C557" s="137"/>
    </row>
    <row r="558">
      <c r="B558" s="12"/>
      <c r="C558" s="137"/>
    </row>
    <row r="559">
      <c r="B559" s="12"/>
      <c r="C559" s="137"/>
    </row>
    <row r="560">
      <c r="B560" s="12"/>
      <c r="C560" s="137"/>
    </row>
    <row r="561">
      <c r="B561" s="12"/>
      <c r="C561" s="137"/>
    </row>
    <row r="562">
      <c r="B562" s="12"/>
      <c r="C562" s="137"/>
    </row>
    <row r="563">
      <c r="B563" s="12"/>
      <c r="C563" s="137"/>
    </row>
    <row r="564">
      <c r="B564" s="12"/>
      <c r="C564" s="137"/>
    </row>
    <row r="565">
      <c r="B565" s="12"/>
      <c r="C565" s="137"/>
    </row>
    <row r="566">
      <c r="B566" s="12"/>
      <c r="C566" s="137"/>
    </row>
    <row r="567">
      <c r="B567" s="12"/>
      <c r="C567" s="137"/>
    </row>
    <row r="568">
      <c r="B568" s="12"/>
      <c r="C568" s="137"/>
    </row>
    <row r="569">
      <c r="B569" s="12"/>
      <c r="C569" s="137"/>
    </row>
    <row r="570">
      <c r="B570" s="12"/>
      <c r="C570" s="137"/>
    </row>
    <row r="571">
      <c r="B571" s="12"/>
      <c r="C571" s="137"/>
    </row>
    <row r="572">
      <c r="B572" s="12"/>
      <c r="C572" s="137"/>
    </row>
    <row r="573">
      <c r="B573" s="12"/>
      <c r="C573" s="137"/>
    </row>
    <row r="574">
      <c r="B574" s="12"/>
      <c r="C574" s="137"/>
    </row>
    <row r="575">
      <c r="B575" s="12"/>
      <c r="C575" s="137"/>
    </row>
    <row r="576">
      <c r="B576" s="12"/>
      <c r="C576" s="137"/>
    </row>
    <row r="577">
      <c r="B577" s="12"/>
      <c r="C577" s="137"/>
    </row>
    <row r="578">
      <c r="B578" s="12"/>
      <c r="C578" s="137"/>
    </row>
    <row r="579">
      <c r="B579" s="12"/>
      <c r="C579" s="137"/>
    </row>
    <row r="580">
      <c r="B580" s="12"/>
      <c r="C580" s="137"/>
    </row>
    <row r="581">
      <c r="B581" s="12"/>
      <c r="C581" s="137"/>
    </row>
    <row r="582">
      <c r="B582" s="12"/>
      <c r="C582" s="137"/>
    </row>
    <row r="583">
      <c r="B583" s="12"/>
      <c r="C583" s="137"/>
    </row>
    <row r="584">
      <c r="B584" s="12"/>
      <c r="C584" s="137"/>
    </row>
    <row r="585">
      <c r="B585" s="12"/>
      <c r="C585" s="137"/>
    </row>
    <row r="586">
      <c r="B586" s="12"/>
      <c r="C586" s="137"/>
    </row>
    <row r="587">
      <c r="B587" s="12"/>
      <c r="C587" s="137"/>
    </row>
    <row r="588">
      <c r="B588" s="12"/>
      <c r="C588" s="137"/>
    </row>
    <row r="589">
      <c r="B589" s="12"/>
      <c r="C589" s="137"/>
    </row>
    <row r="590">
      <c r="B590" s="12"/>
      <c r="C590" s="137"/>
    </row>
    <row r="591">
      <c r="B591" s="12"/>
      <c r="C591" s="137"/>
    </row>
    <row r="592">
      <c r="B592" s="12"/>
      <c r="C592" s="137"/>
    </row>
    <row r="593">
      <c r="B593" s="12"/>
      <c r="C593" s="137"/>
    </row>
    <row r="594">
      <c r="B594" s="12"/>
      <c r="C594" s="137"/>
    </row>
    <row r="595">
      <c r="B595" s="12"/>
      <c r="C595" s="137"/>
    </row>
    <row r="596">
      <c r="B596" s="12"/>
      <c r="C596" s="137"/>
    </row>
    <row r="597">
      <c r="B597" s="12"/>
      <c r="C597" s="137"/>
    </row>
    <row r="598">
      <c r="B598" s="12"/>
      <c r="C598" s="137"/>
    </row>
    <row r="599">
      <c r="B599" s="12"/>
      <c r="C599" s="137"/>
    </row>
    <row r="600">
      <c r="B600" s="12"/>
      <c r="C600" s="137"/>
    </row>
    <row r="601">
      <c r="B601" s="12"/>
      <c r="C601" s="137"/>
    </row>
    <row r="602">
      <c r="B602" s="12"/>
      <c r="C602" s="137"/>
    </row>
    <row r="603">
      <c r="B603" s="12"/>
      <c r="C603" s="137"/>
    </row>
    <row r="604">
      <c r="B604" s="12"/>
      <c r="C604" s="137"/>
    </row>
    <row r="605">
      <c r="B605" s="12"/>
      <c r="C605" s="137"/>
    </row>
    <row r="606">
      <c r="B606" s="12"/>
      <c r="C606" s="137"/>
    </row>
    <row r="607">
      <c r="B607" s="12"/>
      <c r="C607" s="137"/>
    </row>
    <row r="608">
      <c r="B608" s="12"/>
      <c r="C608" s="137"/>
    </row>
    <row r="609">
      <c r="B609" s="12"/>
      <c r="C609" s="137"/>
    </row>
    <row r="610">
      <c r="B610" s="12"/>
      <c r="C610" s="137"/>
    </row>
    <row r="611">
      <c r="B611" s="12"/>
      <c r="C611" s="137"/>
    </row>
    <row r="612">
      <c r="B612" s="12"/>
      <c r="C612" s="137"/>
    </row>
    <row r="613">
      <c r="B613" s="12"/>
      <c r="C613" s="137"/>
    </row>
    <row r="614">
      <c r="B614" s="12"/>
      <c r="C614" s="137"/>
    </row>
    <row r="615">
      <c r="B615" s="12"/>
      <c r="C615" s="137"/>
    </row>
    <row r="616">
      <c r="B616" s="12"/>
      <c r="C616" s="137"/>
    </row>
    <row r="617">
      <c r="B617" s="12"/>
      <c r="C617" s="137"/>
    </row>
    <row r="618">
      <c r="B618" s="12"/>
      <c r="C618" s="137"/>
    </row>
    <row r="619">
      <c r="B619" s="12"/>
      <c r="C619" s="137"/>
    </row>
    <row r="620">
      <c r="B620" s="12"/>
      <c r="C620" s="137"/>
    </row>
    <row r="621">
      <c r="B621" s="12"/>
      <c r="C621" s="137"/>
    </row>
    <row r="622">
      <c r="B622" s="12"/>
      <c r="C622" s="137"/>
    </row>
    <row r="623">
      <c r="B623" s="12"/>
      <c r="C623" s="137"/>
    </row>
    <row r="624">
      <c r="B624" s="12"/>
      <c r="C624" s="137"/>
    </row>
    <row r="625">
      <c r="B625" s="12"/>
      <c r="C625" s="137"/>
    </row>
    <row r="626">
      <c r="B626" s="12"/>
      <c r="C626" s="137"/>
    </row>
    <row r="627">
      <c r="B627" s="12"/>
      <c r="C627" s="137"/>
    </row>
    <row r="628">
      <c r="B628" s="12"/>
      <c r="C628" s="137"/>
    </row>
    <row r="629">
      <c r="B629" s="12"/>
      <c r="C629" s="137"/>
    </row>
    <row r="630">
      <c r="B630" s="12"/>
      <c r="C630" s="137"/>
    </row>
    <row r="631">
      <c r="B631" s="12"/>
      <c r="C631" s="137"/>
    </row>
    <row r="632">
      <c r="B632" s="12"/>
      <c r="C632" s="137"/>
    </row>
    <row r="633">
      <c r="B633" s="12"/>
      <c r="C633" s="137"/>
    </row>
    <row r="634">
      <c r="B634" s="12"/>
      <c r="C634" s="137"/>
    </row>
    <row r="635">
      <c r="B635" s="12"/>
      <c r="C635" s="137"/>
    </row>
    <row r="636">
      <c r="B636" s="12"/>
      <c r="C636" s="137"/>
    </row>
    <row r="637">
      <c r="B637" s="12"/>
      <c r="C637" s="137"/>
    </row>
    <row r="638">
      <c r="B638" s="12"/>
      <c r="C638" s="137"/>
    </row>
    <row r="639">
      <c r="B639" s="12"/>
      <c r="C639" s="137"/>
    </row>
    <row r="640">
      <c r="B640" s="12"/>
      <c r="C640" s="137"/>
    </row>
    <row r="641">
      <c r="B641" s="12"/>
      <c r="C641" s="137"/>
    </row>
    <row r="642">
      <c r="B642" s="12"/>
      <c r="C642" s="137"/>
    </row>
    <row r="643">
      <c r="B643" s="12"/>
      <c r="C643" s="137"/>
    </row>
    <row r="644">
      <c r="B644" s="12"/>
      <c r="C644" s="137"/>
    </row>
    <row r="645">
      <c r="B645" s="12"/>
      <c r="C645" s="137"/>
    </row>
    <row r="646">
      <c r="B646" s="12"/>
      <c r="C646" s="137"/>
    </row>
    <row r="647">
      <c r="B647" s="12"/>
      <c r="C647" s="137"/>
    </row>
    <row r="648">
      <c r="B648" s="12"/>
      <c r="C648" s="137"/>
    </row>
    <row r="649">
      <c r="B649" s="12"/>
      <c r="C649" s="137"/>
    </row>
    <row r="650">
      <c r="B650" s="12"/>
      <c r="C650" s="137"/>
    </row>
    <row r="651">
      <c r="B651" s="12"/>
      <c r="C651" s="137"/>
    </row>
    <row r="652">
      <c r="B652" s="12"/>
      <c r="C652" s="137"/>
    </row>
    <row r="653">
      <c r="B653" s="12"/>
      <c r="C653" s="137"/>
    </row>
    <row r="654">
      <c r="B654" s="12"/>
      <c r="C654" s="137"/>
    </row>
    <row r="655">
      <c r="B655" s="12"/>
      <c r="C655" s="137"/>
    </row>
    <row r="656">
      <c r="B656" s="12"/>
      <c r="C656" s="137"/>
    </row>
    <row r="657">
      <c r="B657" s="12"/>
      <c r="C657" s="137"/>
    </row>
    <row r="658">
      <c r="B658" s="12"/>
      <c r="C658" s="137"/>
    </row>
    <row r="659">
      <c r="B659" s="12"/>
      <c r="C659" s="137"/>
    </row>
    <row r="660">
      <c r="B660" s="12"/>
      <c r="C660" s="137"/>
    </row>
    <row r="661">
      <c r="B661" s="12"/>
      <c r="C661" s="137"/>
    </row>
    <row r="662">
      <c r="B662" s="12"/>
      <c r="C662" s="137"/>
    </row>
    <row r="663">
      <c r="B663" s="12"/>
      <c r="C663" s="137"/>
    </row>
    <row r="664">
      <c r="B664" s="12"/>
      <c r="C664" s="137"/>
    </row>
    <row r="665">
      <c r="B665" s="12"/>
      <c r="C665" s="137"/>
    </row>
    <row r="666">
      <c r="B666" s="12"/>
      <c r="C666" s="137"/>
    </row>
    <row r="667">
      <c r="B667" s="12"/>
      <c r="C667" s="137"/>
    </row>
    <row r="668">
      <c r="B668" s="12"/>
      <c r="C668" s="137"/>
    </row>
    <row r="669">
      <c r="B669" s="12"/>
      <c r="C669" s="137"/>
    </row>
    <row r="670">
      <c r="B670" s="12"/>
      <c r="C670" s="137"/>
    </row>
    <row r="671">
      <c r="B671" s="12"/>
      <c r="C671" s="137"/>
    </row>
    <row r="672">
      <c r="B672" s="12"/>
      <c r="C672" s="137"/>
    </row>
    <row r="673">
      <c r="B673" s="12"/>
      <c r="C673" s="137"/>
    </row>
    <row r="674">
      <c r="B674" s="12"/>
      <c r="C674" s="137"/>
    </row>
    <row r="675">
      <c r="B675" s="12"/>
      <c r="C675" s="137"/>
    </row>
    <row r="676">
      <c r="B676" s="12"/>
      <c r="C676" s="137"/>
    </row>
    <row r="677">
      <c r="B677" s="12"/>
      <c r="C677" s="137"/>
    </row>
    <row r="678">
      <c r="B678" s="12"/>
      <c r="C678" s="137"/>
    </row>
    <row r="679">
      <c r="B679" s="12"/>
      <c r="C679" s="137"/>
    </row>
    <row r="680">
      <c r="B680" s="12"/>
      <c r="C680" s="137"/>
    </row>
    <row r="681">
      <c r="B681" s="12"/>
      <c r="C681" s="137"/>
    </row>
    <row r="682">
      <c r="B682" s="12"/>
      <c r="C682" s="137"/>
    </row>
    <row r="683">
      <c r="B683" s="12"/>
      <c r="C683" s="137"/>
    </row>
    <row r="684">
      <c r="B684" s="12"/>
      <c r="C684" s="137"/>
    </row>
    <row r="685">
      <c r="B685" s="12"/>
      <c r="C685" s="137"/>
    </row>
    <row r="686">
      <c r="B686" s="12"/>
      <c r="C686" s="137"/>
    </row>
    <row r="687">
      <c r="B687" s="12"/>
      <c r="C687" s="137"/>
    </row>
    <row r="688">
      <c r="B688" s="12"/>
      <c r="C688" s="137"/>
    </row>
    <row r="689">
      <c r="B689" s="12"/>
      <c r="C689" s="137"/>
    </row>
    <row r="690">
      <c r="B690" s="12"/>
      <c r="C690" s="137"/>
    </row>
    <row r="691">
      <c r="B691" s="12"/>
      <c r="C691" s="137"/>
    </row>
    <row r="692">
      <c r="B692" s="12"/>
      <c r="C692" s="137"/>
    </row>
    <row r="693">
      <c r="B693" s="12"/>
      <c r="C693" s="137"/>
    </row>
    <row r="694">
      <c r="B694" s="12"/>
      <c r="C694" s="137"/>
    </row>
    <row r="695">
      <c r="B695" s="12"/>
      <c r="C695" s="137"/>
    </row>
    <row r="696">
      <c r="B696" s="12"/>
      <c r="C696" s="137"/>
    </row>
    <row r="697">
      <c r="B697" s="12"/>
      <c r="C697" s="137"/>
    </row>
    <row r="698">
      <c r="B698" s="12"/>
      <c r="C698" s="137"/>
    </row>
    <row r="699">
      <c r="B699" s="12"/>
      <c r="C699" s="137"/>
    </row>
    <row r="700">
      <c r="B700" s="12"/>
      <c r="C700" s="137"/>
    </row>
    <row r="701">
      <c r="B701" s="12"/>
      <c r="C701" s="137"/>
    </row>
    <row r="702">
      <c r="B702" s="12"/>
      <c r="C702" s="137"/>
    </row>
    <row r="703">
      <c r="B703" s="12"/>
      <c r="C703" s="137"/>
    </row>
    <row r="704">
      <c r="B704" s="12"/>
      <c r="C704" s="137"/>
    </row>
    <row r="705">
      <c r="B705" s="12"/>
      <c r="C705" s="137"/>
    </row>
    <row r="706">
      <c r="B706" s="12"/>
      <c r="C706" s="137"/>
    </row>
    <row r="707">
      <c r="B707" s="12"/>
      <c r="C707" s="137"/>
    </row>
    <row r="708">
      <c r="B708" s="12"/>
      <c r="C708" s="137"/>
    </row>
    <row r="709">
      <c r="B709" s="12"/>
      <c r="C709" s="137"/>
    </row>
    <row r="710">
      <c r="B710" s="12"/>
      <c r="C710" s="137"/>
    </row>
    <row r="711">
      <c r="B711" s="12"/>
      <c r="C711" s="137"/>
    </row>
    <row r="712">
      <c r="B712" s="12"/>
      <c r="C712" s="137"/>
    </row>
    <row r="713">
      <c r="B713" s="12"/>
      <c r="C713" s="137"/>
    </row>
    <row r="714">
      <c r="B714" s="12"/>
      <c r="C714" s="137"/>
    </row>
    <row r="715">
      <c r="B715" s="12"/>
      <c r="C715" s="137"/>
    </row>
    <row r="716">
      <c r="B716" s="12"/>
      <c r="C716" s="137"/>
    </row>
    <row r="717">
      <c r="B717" s="12"/>
      <c r="C717" s="137"/>
    </row>
    <row r="718">
      <c r="B718" s="12"/>
      <c r="C718" s="137"/>
    </row>
    <row r="719">
      <c r="B719" s="12"/>
      <c r="C719" s="137"/>
    </row>
    <row r="720">
      <c r="B720" s="12"/>
      <c r="C720" s="137"/>
    </row>
    <row r="721">
      <c r="B721" s="12"/>
      <c r="C721" s="137"/>
    </row>
    <row r="722">
      <c r="B722" s="12"/>
      <c r="C722" s="137"/>
    </row>
    <row r="723">
      <c r="B723" s="12"/>
      <c r="C723" s="137"/>
    </row>
    <row r="724">
      <c r="B724" s="12"/>
      <c r="C724" s="137"/>
    </row>
    <row r="725">
      <c r="B725" s="12"/>
      <c r="C725" s="137"/>
    </row>
    <row r="726">
      <c r="B726" s="12"/>
      <c r="C726" s="137"/>
    </row>
    <row r="727">
      <c r="B727" s="12"/>
      <c r="C727" s="137"/>
    </row>
    <row r="728">
      <c r="B728" s="12"/>
      <c r="C728" s="137"/>
    </row>
    <row r="729">
      <c r="B729" s="12"/>
      <c r="C729" s="137"/>
    </row>
    <row r="730">
      <c r="B730" s="12"/>
      <c r="C730" s="137"/>
    </row>
    <row r="731">
      <c r="B731" s="12"/>
      <c r="C731" s="137"/>
    </row>
    <row r="732">
      <c r="B732" s="12"/>
      <c r="C732" s="137"/>
    </row>
    <row r="733">
      <c r="B733" s="12"/>
      <c r="C733" s="137"/>
    </row>
    <row r="734">
      <c r="B734" s="12"/>
      <c r="C734" s="137"/>
    </row>
    <row r="735">
      <c r="B735" s="12"/>
      <c r="C735" s="137"/>
    </row>
    <row r="736">
      <c r="B736" s="12"/>
      <c r="C736" s="137"/>
    </row>
    <row r="737">
      <c r="B737" s="12"/>
      <c r="C737" s="137"/>
    </row>
    <row r="738">
      <c r="B738" s="12"/>
      <c r="C738" s="137"/>
    </row>
    <row r="739">
      <c r="B739" s="12"/>
      <c r="C739" s="137"/>
    </row>
    <row r="740">
      <c r="B740" s="12"/>
      <c r="C740" s="137"/>
    </row>
    <row r="741">
      <c r="B741" s="12"/>
      <c r="C741" s="137"/>
    </row>
    <row r="742">
      <c r="B742" s="12"/>
      <c r="C742" s="137"/>
    </row>
    <row r="743">
      <c r="B743" s="12"/>
      <c r="C743" s="137"/>
    </row>
    <row r="744">
      <c r="B744" s="12"/>
      <c r="C744" s="137"/>
    </row>
    <row r="745">
      <c r="B745" s="12"/>
      <c r="C745" s="137"/>
    </row>
    <row r="746">
      <c r="B746" s="12"/>
      <c r="C746" s="137"/>
    </row>
    <row r="747">
      <c r="B747" s="12"/>
      <c r="C747" s="137"/>
    </row>
    <row r="748">
      <c r="B748" s="12"/>
      <c r="C748" s="137"/>
    </row>
    <row r="749">
      <c r="B749" s="12"/>
      <c r="C749" s="137"/>
    </row>
    <row r="750">
      <c r="B750" s="12"/>
      <c r="C750" s="137"/>
    </row>
    <row r="751">
      <c r="B751" s="12"/>
      <c r="C751" s="137"/>
    </row>
    <row r="752">
      <c r="B752" s="12"/>
      <c r="C752" s="137"/>
    </row>
    <row r="753">
      <c r="B753" s="12"/>
      <c r="C753" s="137"/>
    </row>
    <row r="754">
      <c r="B754" s="12"/>
      <c r="C754" s="137"/>
    </row>
    <row r="755">
      <c r="B755" s="12"/>
      <c r="C755" s="137"/>
    </row>
    <row r="756">
      <c r="B756" s="12"/>
      <c r="C756" s="137"/>
    </row>
    <row r="757">
      <c r="B757" s="12"/>
      <c r="C757" s="137"/>
    </row>
    <row r="758">
      <c r="B758" s="12"/>
      <c r="C758" s="137"/>
    </row>
    <row r="759">
      <c r="B759" s="12"/>
      <c r="C759" s="137"/>
    </row>
    <row r="760">
      <c r="B760" s="12"/>
      <c r="C760" s="137"/>
    </row>
    <row r="761">
      <c r="B761" s="12"/>
      <c r="C761" s="137"/>
    </row>
    <row r="762">
      <c r="B762" s="12"/>
      <c r="C762" s="137"/>
    </row>
    <row r="763">
      <c r="B763" s="12"/>
      <c r="C763" s="137"/>
    </row>
    <row r="764">
      <c r="B764" s="12"/>
      <c r="C764" s="137"/>
    </row>
    <row r="765">
      <c r="B765" s="12"/>
      <c r="C765" s="137"/>
    </row>
    <row r="766">
      <c r="B766" s="12"/>
      <c r="C766" s="137"/>
    </row>
    <row r="767">
      <c r="B767" s="12"/>
      <c r="C767" s="137"/>
    </row>
    <row r="768">
      <c r="B768" s="12"/>
      <c r="C768" s="137"/>
    </row>
    <row r="769">
      <c r="B769" s="12"/>
      <c r="C769" s="137"/>
    </row>
    <row r="770">
      <c r="B770" s="12"/>
      <c r="C770" s="137"/>
    </row>
    <row r="771">
      <c r="B771" s="12"/>
      <c r="C771" s="137"/>
    </row>
    <row r="772">
      <c r="B772" s="12"/>
      <c r="C772" s="137"/>
    </row>
    <row r="773">
      <c r="B773" s="12"/>
      <c r="C773" s="137"/>
    </row>
    <row r="774">
      <c r="B774" s="12"/>
      <c r="C774" s="137"/>
    </row>
    <row r="775">
      <c r="B775" s="12"/>
      <c r="C775" s="137"/>
    </row>
    <row r="776">
      <c r="B776" s="12"/>
      <c r="C776" s="137"/>
    </row>
    <row r="777">
      <c r="B777" s="12"/>
      <c r="C777" s="137"/>
    </row>
    <row r="778">
      <c r="B778" s="12"/>
      <c r="C778" s="137"/>
    </row>
    <row r="779">
      <c r="B779" s="12"/>
      <c r="C779" s="137"/>
    </row>
    <row r="780">
      <c r="B780" s="12"/>
      <c r="C780" s="137"/>
    </row>
    <row r="781">
      <c r="B781" s="12"/>
      <c r="C781" s="137"/>
    </row>
    <row r="782">
      <c r="B782" s="12"/>
      <c r="C782" s="137"/>
    </row>
    <row r="783">
      <c r="B783" s="12"/>
      <c r="C783" s="137"/>
    </row>
    <row r="784">
      <c r="B784" s="12"/>
      <c r="C784" s="137"/>
    </row>
    <row r="785">
      <c r="B785" s="12"/>
      <c r="C785" s="137"/>
    </row>
    <row r="786">
      <c r="B786" s="12"/>
      <c r="C786" s="137"/>
    </row>
    <row r="787">
      <c r="B787" s="12"/>
      <c r="C787" s="137"/>
    </row>
    <row r="788">
      <c r="B788" s="12"/>
      <c r="C788" s="137"/>
    </row>
    <row r="789">
      <c r="B789" s="12"/>
      <c r="C789" s="137"/>
    </row>
    <row r="790">
      <c r="B790" s="12"/>
      <c r="C790" s="137"/>
    </row>
    <row r="791">
      <c r="B791" s="12"/>
      <c r="C791" s="137"/>
    </row>
    <row r="792">
      <c r="B792" s="12"/>
      <c r="C792" s="137"/>
    </row>
    <row r="793">
      <c r="B793" s="12"/>
      <c r="C793" s="137"/>
    </row>
    <row r="794">
      <c r="B794" s="12"/>
      <c r="C794" s="137"/>
    </row>
    <row r="795">
      <c r="B795" s="12"/>
      <c r="C795" s="137"/>
    </row>
    <row r="796">
      <c r="B796" s="12"/>
      <c r="C796" s="137"/>
    </row>
    <row r="797">
      <c r="B797" s="12"/>
      <c r="C797" s="137"/>
    </row>
    <row r="798">
      <c r="B798" s="12"/>
      <c r="C798" s="137"/>
    </row>
    <row r="799">
      <c r="B799" s="12"/>
      <c r="C799" s="137"/>
    </row>
    <row r="800">
      <c r="B800" s="12"/>
      <c r="C800" s="137"/>
    </row>
    <row r="801">
      <c r="B801" s="12"/>
      <c r="C801" s="137"/>
    </row>
    <row r="802">
      <c r="B802" s="12"/>
      <c r="C802" s="137"/>
    </row>
    <row r="803">
      <c r="B803" s="12"/>
      <c r="C803" s="137"/>
    </row>
    <row r="804">
      <c r="B804" s="12"/>
      <c r="C804" s="137"/>
    </row>
    <row r="805">
      <c r="B805" s="12"/>
      <c r="C805" s="137"/>
    </row>
    <row r="806">
      <c r="B806" s="12"/>
      <c r="C806" s="137"/>
    </row>
    <row r="807">
      <c r="B807" s="12"/>
      <c r="C807" s="137"/>
    </row>
    <row r="808">
      <c r="B808" s="12"/>
      <c r="C808" s="137"/>
    </row>
    <row r="809">
      <c r="B809" s="12"/>
      <c r="C809" s="137"/>
    </row>
    <row r="810">
      <c r="B810" s="12"/>
      <c r="C810" s="137"/>
    </row>
    <row r="811">
      <c r="B811" s="12"/>
      <c r="C811" s="137"/>
    </row>
    <row r="812">
      <c r="B812" s="12"/>
      <c r="C812" s="137"/>
    </row>
    <row r="813">
      <c r="B813" s="12"/>
      <c r="C813" s="137"/>
    </row>
    <row r="814">
      <c r="B814" s="12"/>
      <c r="C814" s="137"/>
    </row>
    <row r="815">
      <c r="B815" s="12"/>
      <c r="C815" s="137"/>
    </row>
    <row r="816">
      <c r="B816" s="12"/>
      <c r="C816" s="137"/>
    </row>
    <row r="817">
      <c r="B817" s="12"/>
      <c r="C817" s="137"/>
    </row>
    <row r="818">
      <c r="B818" s="12"/>
      <c r="C818" s="137"/>
    </row>
    <row r="819">
      <c r="B819" s="12"/>
      <c r="C819" s="137"/>
    </row>
    <row r="820">
      <c r="B820" s="12"/>
      <c r="C820" s="137"/>
    </row>
    <row r="821">
      <c r="B821" s="12"/>
      <c r="C821" s="137"/>
    </row>
    <row r="822">
      <c r="B822" s="12"/>
      <c r="C822" s="137"/>
    </row>
    <row r="823">
      <c r="B823" s="12"/>
      <c r="C823" s="137"/>
    </row>
    <row r="824">
      <c r="B824" s="12"/>
      <c r="C824" s="137"/>
    </row>
    <row r="825">
      <c r="B825" s="12"/>
      <c r="C825" s="137"/>
    </row>
    <row r="826">
      <c r="B826" s="12"/>
      <c r="C826" s="137"/>
    </row>
    <row r="827">
      <c r="B827" s="12"/>
      <c r="C827" s="137"/>
    </row>
    <row r="828">
      <c r="B828" s="12"/>
      <c r="C828" s="137"/>
    </row>
    <row r="829">
      <c r="B829" s="12"/>
      <c r="C829" s="137"/>
    </row>
    <row r="830">
      <c r="B830" s="12"/>
      <c r="C830" s="137"/>
    </row>
    <row r="831">
      <c r="B831" s="12"/>
      <c r="C831" s="137"/>
    </row>
    <row r="832">
      <c r="B832" s="12"/>
      <c r="C832" s="137"/>
    </row>
    <row r="833">
      <c r="B833" s="12"/>
      <c r="C833" s="137"/>
    </row>
    <row r="834">
      <c r="B834" s="12"/>
      <c r="C834" s="137"/>
    </row>
    <row r="835">
      <c r="B835" s="12"/>
      <c r="C835" s="137"/>
    </row>
    <row r="836">
      <c r="B836" s="12"/>
      <c r="C836" s="137"/>
    </row>
    <row r="837">
      <c r="B837" s="12"/>
      <c r="C837" s="137"/>
    </row>
    <row r="838">
      <c r="B838" s="12"/>
      <c r="C838" s="137"/>
    </row>
    <row r="839">
      <c r="B839" s="12"/>
      <c r="C839" s="137"/>
    </row>
    <row r="840">
      <c r="B840" s="12"/>
      <c r="C840" s="137"/>
    </row>
    <row r="841">
      <c r="B841" s="12"/>
      <c r="C841" s="137"/>
    </row>
    <row r="842">
      <c r="B842" s="12"/>
      <c r="C842" s="137"/>
    </row>
    <row r="843">
      <c r="B843" s="12"/>
      <c r="C843" s="137"/>
    </row>
    <row r="844">
      <c r="B844" s="12"/>
      <c r="C844" s="137"/>
    </row>
    <row r="845">
      <c r="B845" s="12"/>
      <c r="C845" s="137"/>
    </row>
    <row r="846">
      <c r="B846" s="12"/>
      <c r="C846" s="137"/>
    </row>
    <row r="847">
      <c r="B847" s="12"/>
      <c r="C847" s="137"/>
    </row>
    <row r="848">
      <c r="B848" s="12"/>
      <c r="C848" s="137"/>
    </row>
    <row r="849">
      <c r="B849" s="12"/>
      <c r="C849" s="137"/>
    </row>
    <row r="850">
      <c r="B850" s="12"/>
      <c r="C850" s="137"/>
    </row>
    <row r="851">
      <c r="B851" s="12"/>
      <c r="C851" s="137"/>
    </row>
    <row r="852">
      <c r="B852" s="12"/>
      <c r="C852" s="137"/>
    </row>
    <row r="853">
      <c r="B853" s="12"/>
      <c r="C853" s="137"/>
    </row>
    <row r="854">
      <c r="B854" s="12"/>
      <c r="C854" s="137"/>
    </row>
    <row r="855">
      <c r="B855" s="12"/>
      <c r="C855" s="137"/>
    </row>
    <row r="856">
      <c r="B856" s="12"/>
      <c r="C856" s="137"/>
    </row>
    <row r="857">
      <c r="B857" s="12"/>
      <c r="C857" s="137"/>
    </row>
    <row r="858">
      <c r="B858" s="12"/>
      <c r="C858" s="137"/>
    </row>
    <row r="859">
      <c r="B859" s="12"/>
      <c r="C859" s="137"/>
    </row>
    <row r="860">
      <c r="B860" s="12"/>
      <c r="C860" s="137"/>
    </row>
    <row r="861">
      <c r="B861" s="12"/>
      <c r="C861" s="137"/>
    </row>
    <row r="862">
      <c r="B862" s="12"/>
      <c r="C862" s="137"/>
    </row>
    <row r="863">
      <c r="B863" s="12"/>
      <c r="C863" s="137"/>
    </row>
    <row r="864">
      <c r="B864" s="12"/>
      <c r="C864" s="137"/>
    </row>
    <row r="865">
      <c r="B865" s="12"/>
      <c r="C865" s="137"/>
    </row>
    <row r="866">
      <c r="B866" s="12"/>
      <c r="C866" s="137"/>
    </row>
    <row r="867">
      <c r="B867" s="12"/>
      <c r="C867" s="137"/>
    </row>
    <row r="868">
      <c r="B868" s="12"/>
      <c r="C868" s="137"/>
    </row>
    <row r="869">
      <c r="B869" s="12"/>
      <c r="C869" s="137"/>
    </row>
    <row r="870">
      <c r="B870" s="12"/>
      <c r="C870" s="137"/>
    </row>
    <row r="871">
      <c r="B871" s="12"/>
      <c r="C871" s="137"/>
    </row>
    <row r="872">
      <c r="B872" s="12"/>
      <c r="C872" s="137"/>
    </row>
    <row r="873">
      <c r="B873" s="12"/>
      <c r="C873" s="137"/>
    </row>
    <row r="874">
      <c r="B874" s="12"/>
      <c r="C874" s="137"/>
    </row>
    <row r="875">
      <c r="B875" s="12"/>
      <c r="C875" s="137"/>
    </row>
    <row r="876">
      <c r="B876" s="12"/>
      <c r="C876" s="137"/>
    </row>
    <row r="877">
      <c r="B877" s="12"/>
      <c r="C877" s="137"/>
    </row>
    <row r="878">
      <c r="B878" s="12"/>
      <c r="C878" s="137"/>
    </row>
    <row r="879">
      <c r="B879" s="12"/>
      <c r="C879" s="137"/>
    </row>
    <row r="880">
      <c r="B880" s="12"/>
      <c r="C880" s="137"/>
    </row>
    <row r="881">
      <c r="B881" s="12"/>
      <c r="C881" s="137"/>
    </row>
    <row r="882">
      <c r="B882" s="12"/>
      <c r="C882" s="137"/>
    </row>
    <row r="883">
      <c r="B883" s="12"/>
      <c r="C883" s="137"/>
    </row>
    <row r="884">
      <c r="B884" s="12"/>
      <c r="C884" s="137"/>
    </row>
    <row r="885">
      <c r="B885" s="12"/>
      <c r="C885" s="137"/>
    </row>
    <row r="886">
      <c r="B886" s="12"/>
      <c r="C886" s="137"/>
    </row>
    <row r="887">
      <c r="B887" s="12"/>
      <c r="C887" s="137"/>
    </row>
    <row r="888">
      <c r="B888" s="12"/>
      <c r="C888" s="137"/>
    </row>
    <row r="889">
      <c r="B889" s="12"/>
      <c r="C889" s="137"/>
    </row>
    <row r="890">
      <c r="B890" s="12"/>
      <c r="C890" s="137"/>
    </row>
    <row r="891">
      <c r="B891" s="12"/>
      <c r="C891" s="137"/>
    </row>
    <row r="892">
      <c r="B892" s="12"/>
      <c r="C892" s="137"/>
    </row>
    <row r="893">
      <c r="B893" s="12"/>
      <c r="C893" s="137"/>
    </row>
    <row r="894">
      <c r="B894" s="12"/>
      <c r="C894" s="137"/>
    </row>
    <row r="895">
      <c r="B895" s="12"/>
      <c r="C895" s="137"/>
    </row>
    <row r="896">
      <c r="B896" s="12"/>
      <c r="C896" s="137"/>
    </row>
    <row r="897">
      <c r="B897" s="12"/>
      <c r="C897" s="137"/>
    </row>
    <row r="898">
      <c r="B898" s="12"/>
      <c r="C898" s="137"/>
    </row>
    <row r="899">
      <c r="B899" s="12"/>
      <c r="C899" s="137"/>
    </row>
    <row r="900">
      <c r="B900" s="12"/>
      <c r="C900" s="137"/>
    </row>
    <row r="901">
      <c r="B901" s="12"/>
      <c r="C901" s="137"/>
    </row>
    <row r="902">
      <c r="B902" s="12"/>
      <c r="C902" s="137"/>
    </row>
    <row r="903">
      <c r="B903" s="12"/>
      <c r="C903" s="137"/>
    </row>
    <row r="904">
      <c r="B904" s="12"/>
      <c r="C904" s="137"/>
    </row>
    <row r="905">
      <c r="B905" s="12"/>
      <c r="C905" s="137"/>
    </row>
    <row r="906">
      <c r="B906" s="12"/>
      <c r="C906" s="137"/>
    </row>
    <row r="907">
      <c r="B907" s="12"/>
      <c r="C907" s="137"/>
    </row>
    <row r="908">
      <c r="B908" s="12"/>
      <c r="C908" s="137"/>
    </row>
    <row r="909">
      <c r="B909" s="12"/>
      <c r="C909" s="137"/>
    </row>
    <row r="910">
      <c r="B910" s="12"/>
      <c r="C910" s="137"/>
    </row>
    <row r="911">
      <c r="B911" s="12"/>
      <c r="C911" s="137"/>
    </row>
    <row r="912">
      <c r="B912" s="12"/>
      <c r="C912" s="137"/>
    </row>
    <row r="913">
      <c r="B913" s="12"/>
      <c r="C913" s="137"/>
    </row>
    <row r="914">
      <c r="B914" s="12"/>
      <c r="C914" s="137"/>
    </row>
    <row r="915">
      <c r="B915" s="12"/>
      <c r="C915" s="137"/>
    </row>
    <row r="916">
      <c r="B916" s="12"/>
      <c r="C916" s="137"/>
    </row>
    <row r="917">
      <c r="B917" s="12"/>
      <c r="C917" s="137"/>
    </row>
    <row r="918">
      <c r="B918" s="12"/>
      <c r="C918" s="137"/>
    </row>
    <row r="919">
      <c r="B919" s="12"/>
      <c r="C919" s="137"/>
    </row>
    <row r="920">
      <c r="B920" s="12"/>
      <c r="C920" s="137"/>
    </row>
    <row r="921">
      <c r="B921" s="12"/>
      <c r="C921" s="137"/>
    </row>
    <row r="922">
      <c r="B922" s="12"/>
      <c r="C922" s="137"/>
    </row>
    <row r="923">
      <c r="B923" s="12"/>
      <c r="C923" s="137"/>
    </row>
    <row r="924">
      <c r="B924" s="12"/>
      <c r="C924" s="137"/>
    </row>
    <row r="925">
      <c r="B925" s="12"/>
      <c r="C925" s="137"/>
    </row>
    <row r="926">
      <c r="B926" s="12"/>
      <c r="C926" s="137"/>
    </row>
    <row r="927">
      <c r="B927" s="12"/>
      <c r="C927" s="137"/>
    </row>
    <row r="928">
      <c r="B928" s="12"/>
      <c r="C928" s="137"/>
    </row>
    <row r="929">
      <c r="B929" s="12"/>
      <c r="C929" s="137"/>
    </row>
    <row r="930">
      <c r="B930" s="12"/>
      <c r="C930" s="137"/>
    </row>
    <row r="931">
      <c r="B931" s="12"/>
      <c r="C931" s="137"/>
    </row>
    <row r="932">
      <c r="B932" s="12"/>
      <c r="C932" s="137"/>
    </row>
    <row r="933">
      <c r="B933" s="12"/>
      <c r="C933" s="137"/>
    </row>
    <row r="934">
      <c r="B934" s="12"/>
      <c r="C934" s="137"/>
    </row>
    <row r="935">
      <c r="B935" s="12"/>
      <c r="C935" s="137"/>
    </row>
    <row r="936">
      <c r="B936" s="12"/>
      <c r="C936" s="137"/>
    </row>
    <row r="937">
      <c r="B937" s="12"/>
      <c r="C937" s="137"/>
    </row>
    <row r="938">
      <c r="B938" s="12"/>
      <c r="C938" s="137"/>
    </row>
    <row r="939">
      <c r="B939" s="12"/>
      <c r="C939" s="137"/>
    </row>
    <row r="940">
      <c r="B940" s="12"/>
      <c r="C940" s="137"/>
    </row>
    <row r="941">
      <c r="B941" s="12"/>
      <c r="C941" s="137"/>
    </row>
    <row r="942">
      <c r="B942" s="12"/>
      <c r="C942" s="137"/>
    </row>
    <row r="943">
      <c r="B943" s="12"/>
      <c r="C943" s="137"/>
    </row>
    <row r="944">
      <c r="B944" s="12"/>
      <c r="C944" s="137"/>
    </row>
    <row r="945">
      <c r="B945" s="12"/>
      <c r="C945" s="137"/>
    </row>
    <row r="946">
      <c r="B946" s="12"/>
      <c r="C946" s="137"/>
    </row>
    <row r="947">
      <c r="B947" s="12"/>
      <c r="C947" s="137"/>
    </row>
    <row r="948">
      <c r="B948" s="12"/>
      <c r="C948" s="137"/>
    </row>
    <row r="949">
      <c r="B949" s="12"/>
      <c r="C949" s="137"/>
    </row>
    <row r="950">
      <c r="B950" s="12"/>
      <c r="C950" s="137"/>
    </row>
    <row r="951">
      <c r="B951" s="12"/>
      <c r="C951" s="137"/>
    </row>
    <row r="952">
      <c r="B952" s="12"/>
      <c r="C952" s="137"/>
    </row>
    <row r="953">
      <c r="B953" s="12"/>
      <c r="C953" s="137"/>
    </row>
    <row r="954">
      <c r="B954" s="12"/>
      <c r="C954" s="137"/>
    </row>
    <row r="955">
      <c r="B955" s="12"/>
      <c r="C955" s="137"/>
    </row>
    <row r="956">
      <c r="B956" s="12"/>
      <c r="C956" s="137"/>
    </row>
    <row r="957">
      <c r="B957" s="12"/>
      <c r="C957" s="137"/>
    </row>
    <row r="958">
      <c r="B958" s="12"/>
      <c r="C958" s="137"/>
    </row>
    <row r="959">
      <c r="B959" s="12"/>
      <c r="C959" s="137"/>
    </row>
    <row r="960">
      <c r="B960" s="12"/>
      <c r="C960" s="137"/>
    </row>
    <row r="961">
      <c r="B961" s="12"/>
      <c r="C961" s="137"/>
    </row>
    <row r="962">
      <c r="B962" s="12"/>
      <c r="C962" s="137"/>
    </row>
    <row r="963">
      <c r="B963" s="12"/>
      <c r="C963" s="137"/>
    </row>
    <row r="964">
      <c r="B964" s="12"/>
      <c r="C964" s="137"/>
    </row>
    <row r="965">
      <c r="B965" s="12"/>
      <c r="C965" s="137"/>
    </row>
    <row r="966">
      <c r="B966" s="12"/>
      <c r="C966" s="137"/>
    </row>
    <row r="967">
      <c r="B967" s="12"/>
      <c r="C967" s="137"/>
    </row>
    <row r="968">
      <c r="B968" s="12"/>
      <c r="C968" s="137"/>
    </row>
    <row r="969">
      <c r="B969" s="12"/>
      <c r="C969" s="137"/>
    </row>
    <row r="970">
      <c r="B970" s="12"/>
      <c r="C970" s="137"/>
    </row>
    <row r="971">
      <c r="B971" s="12"/>
      <c r="C971" s="137"/>
    </row>
    <row r="972">
      <c r="B972" s="12"/>
      <c r="C972" s="137"/>
    </row>
    <row r="973">
      <c r="B973" s="12"/>
      <c r="C973" s="137"/>
    </row>
    <row r="974">
      <c r="B974" s="12"/>
      <c r="C974" s="137"/>
    </row>
    <row r="975">
      <c r="B975" s="12"/>
      <c r="C975" s="137"/>
    </row>
    <row r="976">
      <c r="B976" s="12"/>
      <c r="C976" s="137"/>
    </row>
    <row r="977">
      <c r="B977" s="12"/>
      <c r="C977" s="137"/>
    </row>
    <row r="978">
      <c r="B978" s="12"/>
      <c r="C978" s="137"/>
    </row>
    <row r="979">
      <c r="B979" s="12"/>
      <c r="C979" s="137"/>
    </row>
    <row r="980">
      <c r="B980" s="12"/>
      <c r="C980" s="137"/>
    </row>
    <row r="981">
      <c r="B981" s="12"/>
      <c r="C981" s="137"/>
    </row>
    <row r="982">
      <c r="B982" s="12"/>
      <c r="C982" s="137"/>
    </row>
    <row r="983">
      <c r="B983" s="12"/>
      <c r="C983" s="137"/>
    </row>
    <row r="984">
      <c r="B984" s="12"/>
      <c r="C984" s="137"/>
    </row>
    <row r="985">
      <c r="B985" s="12"/>
      <c r="C985" s="137"/>
    </row>
    <row r="986">
      <c r="B986" s="12"/>
      <c r="C986" s="137"/>
    </row>
    <row r="987">
      <c r="B987" s="12"/>
      <c r="C987" s="137"/>
    </row>
    <row r="988">
      <c r="B988" s="12"/>
      <c r="C988" s="137"/>
    </row>
    <row r="989">
      <c r="B989" s="12"/>
      <c r="C989" s="137"/>
    </row>
    <row r="990">
      <c r="B990" s="12"/>
      <c r="C990" s="137"/>
    </row>
    <row r="991">
      <c r="B991" s="12"/>
      <c r="C991" s="137"/>
    </row>
    <row r="992">
      <c r="B992" s="12"/>
      <c r="C992" s="137"/>
    </row>
    <row r="993">
      <c r="B993" s="12"/>
      <c r="C993" s="137"/>
    </row>
    <row r="994">
      <c r="B994" s="12"/>
      <c r="C994" s="137"/>
    </row>
    <row r="995">
      <c r="B995" s="12"/>
      <c r="C995" s="137"/>
    </row>
    <row r="996">
      <c r="B996" s="12"/>
      <c r="C996" s="137"/>
    </row>
    <row r="997">
      <c r="B997" s="12"/>
      <c r="C997" s="137"/>
    </row>
    <row r="998">
      <c r="B998" s="12"/>
      <c r="C998" s="137"/>
    </row>
    <row r="999">
      <c r="B999" s="12"/>
      <c r="C999" s="137"/>
    </row>
    <row r="1000">
      <c r="B1000" s="12"/>
      <c r="C1000" s="137"/>
    </row>
    <row r="1001">
      <c r="B1001" s="12"/>
      <c r="C1001" s="137"/>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sheetViews>
  <sheetFormatPr customHeight="1" defaultColWidth="12.63" defaultRowHeight="15.75"/>
  <cols>
    <col customWidth="1" min="1" max="1" width="21.38"/>
    <col customWidth="1" min="2" max="2" width="15.13"/>
    <col customWidth="1" min="3" max="3" width="68.75"/>
    <col customWidth="1" min="4" max="4" width="9.0"/>
    <col customWidth="1" min="10" max="10" width="11.0"/>
  </cols>
  <sheetData>
    <row r="1">
      <c r="A1" s="266" t="str">
        <f>IFERROR(__xludf.DUMMYFUNCTION("IMPORTRANGE(""https://docs.google.com/spreadsheets/d/1PPFix0KE5FV0_ekB8X93l4fBTTlhI3_4FnP7klgfg_Y/edit?gid=0#gid=0"", ""Clairia!a1:f100"")"),"CLAIRIA")</f>
        <v>CLAIRIA</v>
      </c>
      <c r="B1" s="267"/>
      <c r="C1" s="268" t="str">
        <f>IFERROR(__xludf.DUMMYFUNCTION("""COMPUTED_VALUE"""),"Clementine (Britt Rothauser)")</f>
        <v>Clementine (Britt Rothauser)</v>
      </c>
      <c r="D1" s="269"/>
      <c r="E1" s="269"/>
      <c r="F1" s="270"/>
      <c r="G1" s="270"/>
      <c r="H1" s="270"/>
      <c r="I1" s="270"/>
      <c r="J1" s="270"/>
      <c r="K1" s="269"/>
      <c r="L1" s="269"/>
      <c r="M1" s="269"/>
      <c r="N1" s="269"/>
      <c r="O1" s="269"/>
      <c r="P1" s="269"/>
      <c r="Q1" s="269"/>
      <c r="R1" s="269"/>
      <c r="S1" s="269"/>
      <c r="T1" s="269"/>
      <c r="U1" s="269"/>
      <c r="V1" s="269"/>
      <c r="W1" s="269"/>
      <c r="X1" s="269"/>
      <c r="Y1" s="269"/>
    </row>
    <row r="2">
      <c r="A2" s="214"/>
      <c r="B2" s="12"/>
      <c r="C2" s="137"/>
      <c r="D2" s="214"/>
      <c r="E2" s="260" t="str">
        <f>IFERROR(__xludf.DUMMYFUNCTION("""COMPUTED_VALUE"""),"Caster")</f>
        <v>Caster</v>
      </c>
      <c r="F2" s="214" t="str">
        <f>IFERROR(__xludf.DUMMYFUNCTION("""COMPUTED_VALUE"""),"Bedelia Schnee; white tabard, blue cloak")</f>
        <v>Bedelia Schnee; white tabard, blue cloak</v>
      </c>
    </row>
    <row r="3">
      <c r="A3" s="262" t="str">
        <f>IFERROR(__xludf.DUMMYFUNCTION("""COMPUTED_VALUE"""),"PARTY PATH")</f>
        <v>PARTY PATH</v>
      </c>
      <c r="B3" s="12"/>
      <c r="C3" s="137"/>
      <c r="D3" s="214"/>
      <c r="E3" s="260" t="str">
        <f>IFERROR(__xludf.DUMMYFUNCTION("""COMPUTED_VALUE"""),"Keeper")</f>
        <v>Keeper</v>
      </c>
      <c r="F3" s="214" t="str">
        <f>IFERROR(__xludf.DUMMYFUNCTION("""COMPUTED_VALUE"""),"Yara; fur collar")</f>
        <v>Yara; fur collar</v>
      </c>
    </row>
    <row r="4">
      <c r="A4" s="8" t="str">
        <f>IFERROR(__xludf.DUMMYFUNCTION("""COMPUTED_VALUE"""),"Character")</f>
        <v>Character</v>
      </c>
      <c r="B4" s="86" t="str">
        <f>IFERROR(__xludf.DUMMYFUNCTION("""COMPUTED_VALUE"""),"Gave Item/Info")</f>
        <v>Gave Item/Info</v>
      </c>
      <c r="C4" s="263" t="str">
        <f>IFERROR(__xludf.DUMMYFUNCTION("""COMPUTED_VALUE"""),"Notes")</f>
        <v>Notes</v>
      </c>
      <c r="D4" s="214"/>
      <c r="E4" s="260" t="str">
        <f>IFERROR(__xludf.DUMMYFUNCTION("""COMPUTED_VALUE"""),"Maker")</f>
        <v>Maker</v>
      </c>
      <c r="F4" s="214" t="str">
        <f>IFERROR(__xludf.DUMMYFUNCTION("""COMPUTED_VALUE"""),"Tearsay; white dress")</f>
        <v>Tearsay; white dress</v>
      </c>
    </row>
    <row r="5">
      <c r="A5" s="32" t="str">
        <f>IFERROR(__xludf.DUMMYFUNCTION("""COMPUTED_VALUE"""),"Moxie")</f>
        <v>Moxie</v>
      </c>
      <c r="B5" s="48" t="b">
        <f>IFERROR(__xludf.DUMMYFUNCTION("""COMPUTED_VALUE"""),FALSE)</f>
        <v>0</v>
      </c>
      <c r="C5" s="138"/>
      <c r="D5" s="214"/>
      <c r="E5" s="260" t="str">
        <f>IFERROR(__xludf.DUMMYFUNCTION("""COMPUTED_VALUE"""),"Ranger")</f>
        <v>Ranger</v>
      </c>
      <c r="F5" s="214" t="str">
        <f>IFERROR(__xludf.DUMMYFUNCTION("""COMPUTED_VALUE"""),"Feist")</f>
        <v>Feist</v>
      </c>
    </row>
    <row r="6">
      <c r="A6" s="32" t="str">
        <f>IFERROR(__xludf.DUMMYFUNCTION("""COMPUTED_VALUE"""),"Brimstone")</f>
        <v>Brimstone</v>
      </c>
      <c r="B6" s="48" t="b">
        <f>IFERROR(__xludf.DUMMYFUNCTION("""COMPUTED_VALUE"""),TRUE)</f>
        <v>1</v>
      </c>
      <c r="C6" s="222" t="str">
        <f>IFERROR(__xludf.DUMMYFUNCTION("""COMPUTED_VALUE"""),"Didn't talk long, but they were really nice. - ZT")</f>
        <v>Didn't talk long, but they were really nice. - ZT</v>
      </c>
      <c r="D6" s="214"/>
      <c r="E6" s="260" t="str">
        <f>IFERROR(__xludf.DUMMYFUNCTION("""COMPUTED_VALUE"""),"Seeker")</f>
        <v>Seeker</v>
      </c>
      <c r="F6" s="214" t="str">
        <f>IFERROR(__xludf.DUMMYFUNCTION("""COMPUTED_VALUE"""),"Trefor; white doublet puffy sleeve")</f>
        <v>Trefor; white doublet puffy sleeve</v>
      </c>
    </row>
    <row r="7">
      <c r="A7" s="32" t="str">
        <f>IFERROR(__xludf.DUMMYFUNCTION("""COMPUTED_VALUE"""),"Pascal Valerius")</f>
        <v>Pascal Valerius</v>
      </c>
      <c r="B7" s="12" t="b">
        <f>IFERROR(__xludf.DUMMYFUNCTION("""COMPUTED_VALUE"""),TRUE)</f>
        <v>1</v>
      </c>
      <c r="C7" s="138" t="str">
        <f>IFERROR(__xludf.DUMMYFUNCTION("""COMPUTED_VALUE"""),"Very fun. They are interested in the Cary/belle story. Are a bit skittish, they avoided combat with the skeever group with ranger pathwalk, and were pretty proud of themselves")</f>
        <v>Very fun. They are interested in the Cary/belle story. Are a bit skittish, they avoided combat with the skeever group with ranger pathwalk, and were pretty proud of themselves</v>
      </c>
      <c r="D7" s="214"/>
      <c r="E7" s="260" t="str">
        <f>IFERROR(__xludf.DUMMYFUNCTION("""COMPUTED_VALUE"""),"Traveler")</f>
        <v>Traveler</v>
      </c>
      <c r="F7" s="214" t="str">
        <f>IFERROR(__xludf.DUMMYFUNCTION("""COMPUTED_VALUE"""),"Oscura; white &amp; silver queen sleeves gown")</f>
        <v>Oscura; white &amp; silver queen sleeves gown</v>
      </c>
    </row>
    <row r="8">
      <c r="A8" s="32" t="str">
        <f>IFERROR(__xludf.DUMMYFUNCTION("""COMPUTED_VALUE"""),"Lenora Graves")</f>
        <v>Lenora Graves</v>
      </c>
      <c r="B8" s="48" t="b">
        <f>IFERROR(__xludf.DUMMYFUNCTION("""COMPUTED_VALUE"""),TRUE)</f>
        <v>1</v>
      </c>
      <c r="C8" s="138" t="str">
        <f>IFERROR(__xludf.DUMMYFUNCTION("""COMPUTED_VALUE"""),"Fun group! They were very interested in the items (2 people wrote down where to find them) and they asked a lot of questions about Poppy and the portal")</f>
        <v>Fun group! They were very interested in the items (2 people wrote down where to find them) and they asked a lot of questions about Poppy and the portal</v>
      </c>
      <c r="D8" s="214"/>
      <c r="E8" s="214"/>
      <c r="F8" s="214"/>
    </row>
    <row r="9">
      <c r="A9" s="32" t="str">
        <f>IFERROR(__xludf.DUMMYFUNCTION("""COMPUTED_VALUE"""),"Dramina")</f>
        <v>Dramina</v>
      </c>
      <c r="B9" s="48" t="b">
        <f>IFERROR(__xludf.DUMMYFUNCTION("""COMPUTED_VALUE"""),TRUE)</f>
        <v>1</v>
      </c>
      <c r="C9" s="222"/>
      <c r="D9" s="214"/>
      <c r="E9" s="214"/>
      <c r="F9" s="214"/>
    </row>
    <row r="10">
      <c r="A10" s="32" t="str">
        <f>IFERROR(__xludf.DUMMYFUNCTION("""COMPUTED_VALUE"""),"Kyson Wayseeker")</f>
        <v>Kyson Wayseeker</v>
      </c>
      <c r="B10" s="48" t="b">
        <f>IFERROR(__xludf.DUMMYFUNCTION("""COMPUTED_VALUE"""),TRUE)</f>
        <v>1</v>
      </c>
      <c r="C10" s="138" t="str">
        <f>IFERROR(__xludf.DUMMYFUNCTION("""COMPUTED_VALUE"""),"Box checked by Rob.")</f>
        <v>Box checked by Rob.</v>
      </c>
      <c r="D10" s="214"/>
      <c r="E10" s="214"/>
      <c r="F10" s="214"/>
    </row>
    <row r="11">
      <c r="A11" s="32" t="str">
        <f>IFERROR(__xludf.DUMMYFUNCTION("""COMPUTED_VALUE"""),"Adina Valerius (Don't Give Item)")</f>
        <v>Adina Valerius (Don't Give Item)</v>
      </c>
      <c r="B11" s="48" t="b">
        <f>IFERROR(__xludf.DUMMYFUNCTION("""COMPUTED_VALUE"""),TRUE)</f>
        <v>1</v>
      </c>
      <c r="C11" s="138" t="str">
        <f>IFERROR(__xludf.DUMMYFUNCTION("""COMPUTED_VALUE"""),"Great group, Medical issue with Traveler addressed. More detail in notes. (jen P)")</f>
        <v>Great group, Medical issue with Traveler addressed. More detail in notes. (jen P)</v>
      </c>
      <c r="D11" s="214"/>
      <c r="E11" s="214"/>
      <c r="F11" s="214"/>
    </row>
    <row r="12">
      <c r="A12" s="214" t="str">
        <f>IFERROR(__xludf.DUMMYFUNCTION("""COMPUTED_VALUE"""),"Natasha")</f>
        <v>Natasha</v>
      </c>
      <c r="B12" s="48" t="b">
        <f>IFERROR(__xludf.DUMMYFUNCTION("""COMPUTED_VALUE"""),TRUE)</f>
        <v>1</v>
      </c>
      <c r="C12" s="138" t="str">
        <f>IFERROR(__xludf.DUMMYFUNCTION("""COMPUTED_VALUE"""),"Chased them down to the tavern, but they got the heart during dinner")</f>
        <v>Chased them down to the tavern, but they got the heart during dinner</v>
      </c>
      <c r="D12" s="214"/>
      <c r="E12" s="214"/>
      <c r="F12" s="214"/>
    </row>
    <row r="13">
      <c r="A13" s="214" t="str">
        <f>IFERROR(__xludf.DUMMYFUNCTION("""COMPUTED_VALUE"""),"Jack Johnson")</f>
        <v>Jack Johnson</v>
      </c>
      <c r="B13" s="12" t="b">
        <f>IFERROR(__xludf.DUMMYFUNCTION("""COMPUTED_VALUE"""),TRUE)</f>
        <v>1</v>
      </c>
      <c r="C13" s="138" t="str">
        <f>IFERROR(__xludf.DUMMYFUNCTION("""COMPUTED_VALUE"""),"some party dynamics roughness, but they made solid progress - PSC")</f>
        <v>some party dynamics roughness, but they made solid progress - PSC</v>
      </c>
      <c r="D13" s="214"/>
      <c r="E13" s="214"/>
      <c r="F13" s="214"/>
    </row>
    <row r="14">
      <c r="A14" s="214" t="str">
        <f>IFERROR(__xludf.DUMMYFUNCTION("""COMPUTED_VALUE"""),"Cal Coleman")</f>
        <v>Cal Coleman</v>
      </c>
      <c r="B14" s="12" t="b">
        <f>IFERROR(__xludf.DUMMYFUNCTION("""COMPUTED_VALUE"""),TRUE)</f>
        <v>1</v>
      </c>
      <c r="C14" s="138" t="str">
        <f>IFERROR(__xludf.DUMMYFUNCTION("""COMPUTED_VALUE"""),"Oz: Tentative group at first, but warmed up quickly. Good job on observation challenge. Gave gold essence.")</f>
        <v>Oz: Tentative group at first, but warmed up quickly. Good job on observation challenge. Gave gold essence.</v>
      </c>
      <c r="D14" s="214"/>
      <c r="E14" s="214"/>
      <c r="F14" s="214"/>
    </row>
    <row r="15">
      <c r="A15" s="32" t="str">
        <f>IFERROR(__xludf.DUMMYFUNCTION("""COMPUTED_VALUE"""),"Bartleby Sprink")</f>
        <v>Bartleby Sprink</v>
      </c>
      <c r="B15" s="12" t="b">
        <f>IFERROR(__xludf.DUMMYFUNCTION("""COMPUTED_VALUE"""),TRUE)</f>
        <v>1</v>
      </c>
      <c r="C15" s="138"/>
      <c r="D15" s="214"/>
      <c r="E15" s="214"/>
      <c r="F15" s="214"/>
    </row>
    <row r="16">
      <c r="A16" s="214" t="str">
        <f>IFERROR(__xludf.DUMMYFUNCTION("""COMPUTED_VALUE"""),"Ember")</f>
        <v>Ember</v>
      </c>
      <c r="B16" s="12" t="b">
        <f>IFERROR(__xludf.DUMMYFUNCTION("""COMPUTED_VALUE"""),TRUE)</f>
        <v>1</v>
      </c>
      <c r="C16" s="137" t="str">
        <f>IFERROR(__xludf.DUMMYFUNCTION("""COMPUTED_VALUE"""),"Got it off a bridesmaid corpse. Not sure they really solved the vision but I wasn't going to be out again &amp; it was a good fight. Recognized what it was immediately.")</f>
        <v>Got it off a bridesmaid corpse. Not sure they really solved the vision but I wasn't going to be out again &amp; it was a good fight. Recognized what it was immediately.</v>
      </c>
      <c r="D16" s="214"/>
      <c r="E16" s="214"/>
      <c r="F16" s="214"/>
    </row>
    <row r="17">
      <c r="A17" s="216" t="str">
        <f>IFERROR(__xludf.DUMMYFUNCTION("""COMPUTED_VALUE"""),"Court of Mirrors")</f>
        <v>Court of Mirrors</v>
      </c>
      <c r="B17" s="216" t="b">
        <f>IFERROR(__xludf.DUMMYFUNCTION("""COMPUTED_VALUE"""),TRUE)</f>
        <v>1</v>
      </c>
      <c r="C17" s="137"/>
      <c r="D17" s="214"/>
      <c r="E17" s="214"/>
      <c r="F17" s="214"/>
    </row>
    <row r="18">
      <c r="A18" s="216" t="str">
        <f>IFERROR(__xludf.DUMMYFUNCTION("""COMPUTED_VALUE"""),"Adina Valerius (Sunday)")</f>
        <v>Adina Valerius (Sunday)</v>
      </c>
      <c r="B18" s="232" t="b">
        <f>IFERROR(__xludf.DUMMYFUNCTION("""COMPUTED_VALUE"""),FALSE)</f>
        <v>0</v>
      </c>
      <c r="C18" s="263"/>
      <c r="D18" s="86"/>
      <c r="E18" s="214"/>
      <c r="F18" s="214"/>
    </row>
    <row r="19">
      <c r="A19" s="32" t="str">
        <f>IFERROR(__xludf.DUMMYFUNCTION("""COMPUTED_VALUE"""),"Staff of Ignatius")</f>
        <v>Staff of Ignatius</v>
      </c>
      <c r="B19" s="48" t="b">
        <f>IFERROR(__xludf.DUMMYFUNCTION("""COMPUTED_VALUE"""),FALSE)</f>
        <v>0</v>
      </c>
      <c r="C19" s="138"/>
      <c r="D19" s="12"/>
      <c r="E19" s="214"/>
      <c r="F19" s="214"/>
    </row>
    <row r="20">
      <c r="A20" s="32"/>
      <c r="B20" s="48"/>
      <c r="C20" s="138"/>
      <c r="D20" s="12"/>
      <c r="E20" s="214"/>
      <c r="F20" s="214"/>
    </row>
    <row r="21">
      <c r="A21" s="32"/>
      <c r="B21" s="48"/>
      <c r="C21" s="222"/>
      <c r="D21" s="12"/>
      <c r="E21" s="214"/>
      <c r="F21" s="214"/>
    </row>
    <row r="22">
      <c r="A22" s="32" t="str">
        <f>IFERROR(__xludf.DUMMYFUNCTION("""COMPUTED_VALUE"""),"CHARGE INFO")</f>
        <v>CHARGE INFO</v>
      </c>
      <c r="B22" s="48" t="str">
        <f>IFERROR(__xludf.DUMMYFUNCTION("""COMPUTED_VALUE"""),"(Danny Donovan)")</f>
        <v>(Danny Donovan)</v>
      </c>
      <c r="C22" s="138"/>
      <c r="D22" s="12"/>
      <c r="E22" s="214"/>
      <c r="F22" s="214"/>
    </row>
    <row r="23">
      <c r="A23" s="32" t="str">
        <f>IFERROR(__xludf.DUMMYFUNCTION("""COMPUTED_VALUE"""),"Character")</f>
        <v>Character</v>
      </c>
      <c r="B23" s="48" t="str">
        <f>IFERROR(__xludf.DUMMYFUNCTION("""COMPUTED_VALUE"""),"Gave Info")</f>
        <v>Gave Info</v>
      </c>
      <c r="C23" s="222" t="str">
        <f>IFERROR(__xludf.DUMMYFUNCTION("""COMPUTED_VALUE"""),"Notes")</f>
        <v>Notes</v>
      </c>
      <c r="D23" s="12"/>
      <c r="E23" s="214"/>
      <c r="F23" s="214"/>
    </row>
    <row r="24">
      <c r="A24" s="32" t="str">
        <f>IFERROR(__xludf.DUMMYFUNCTION("""COMPUTED_VALUE"""),"Honoré Valerius")</f>
        <v>Honoré Valerius</v>
      </c>
      <c r="B24" s="48" t="b">
        <f>IFERROR(__xludf.DUMMYFUNCTION("""COMPUTED_VALUE"""),TRUE)</f>
        <v>1</v>
      </c>
      <c r="C24" s="138" t="str">
        <f>IFERROR(__xludf.DUMMYFUNCTION("""COMPUTED_VALUE"""),"Had a great connection with them Friday night at Valerius House to prepare for delivering charge on Saturday")</f>
        <v>Had a great connection with them Friday night at Valerius House to prepare for delivering charge on Saturday</v>
      </c>
      <c r="D24" s="12"/>
      <c r="E24" s="214"/>
      <c r="F24" s="214"/>
    </row>
    <row r="25">
      <c r="A25" s="32" t="str">
        <f>IFERROR(__xludf.DUMMYFUNCTION("""COMPUTED_VALUE"""),"Aria Morgan")</f>
        <v>Aria Morgan</v>
      </c>
      <c r="B25" s="48" t="b">
        <f>IFERROR(__xludf.DUMMYFUNCTION("""COMPUTED_VALUE"""),TRUE)</f>
        <v>1</v>
      </c>
      <c r="C25" s="138" t="str">
        <f>IFERROR(__xludf.DUMMYFUNCTION("""COMPUTED_VALUE"""),"Sat 12:15pm- party approached Aria by the lake (they were looking for her), ARia told story w/Phyllis' help- told them not to trust DD, explained timeline, Baron's letter, DD isn't trustworthy. FULL party engaged, asked if they could help investigate befo"&amp;"re lunch even started. They seem invested. DG")</f>
        <v>Sat 12:15pm- party approached Aria by the lake (they were looking for her), ARia told story w/Phyllis' help- told them not to trust DD, explained timeline, Baron's letter, DD isn't trustworthy. FULL party engaged, asked if they could help investigate before lunch even started. They seem invested. DG</v>
      </c>
      <c r="D25" s="12"/>
      <c r="E25" s="214"/>
      <c r="F25" s="214"/>
    </row>
    <row r="26">
      <c r="A26" s="32" t="str">
        <f>IFERROR(__xludf.DUMMYFUNCTION("""COMPUTED_VALUE"""),"Danny Donovon")</f>
        <v>Danny Donovon</v>
      </c>
      <c r="B26" s="48" t="b">
        <f>IFERROR(__xludf.DUMMYFUNCTION("""COMPUTED_VALUE"""),TRUE)</f>
        <v>1</v>
      </c>
      <c r="C26" s="138" t="str">
        <f>IFERROR(__xludf.DUMMYFUNCTION("""COMPUTED_VALUE"""),"Gave them the full story after they brought up the fire. They were sympathetic and suggested maybe i had gone into the fire to save someone and thats why I was sooty.")</f>
        <v>Gave them the full story after they brought up the fire. They were sympathetic and suggested maybe i had gone into the fire to save someone and thats why I was sooty.</v>
      </c>
      <c r="D26" s="12"/>
      <c r="E26" s="214"/>
      <c r="F26" s="214"/>
    </row>
    <row r="27">
      <c r="A27" s="32" t="str">
        <f>IFERROR(__xludf.DUMMYFUNCTION("""COMPUTED_VALUE"""),"Eugenie Bright")</f>
        <v>Eugenie Bright</v>
      </c>
      <c r="B27" s="48" t="b">
        <f>IFERROR(__xludf.DUMMYFUNCTION("""COMPUTED_VALUE"""),FALSE)</f>
        <v>0</v>
      </c>
      <c r="C27" s="138"/>
      <c r="D27" s="12"/>
      <c r="E27" s="214"/>
      <c r="F27" s="214"/>
    </row>
    <row r="28">
      <c r="A28" s="32" t="str">
        <f>IFERROR(__xludf.DUMMYFUNCTION("""COMPUTED_VALUE"""),"Ned Crochett")</f>
        <v>Ned Crochett</v>
      </c>
      <c r="B28" s="48" t="b">
        <f>IFERROR(__xludf.DUMMYFUNCTION("""COMPUTED_VALUE"""),FALSE)</f>
        <v>0</v>
      </c>
      <c r="C28" s="222"/>
      <c r="D28" s="12"/>
      <c r="E28" s="214"/>
      <c r="F28" s="214"/>
    </row>
    <row r="29">
      <c r="A29" s="32" t="str">
        <f>IFERROR(__xludf.DUMMYFUNCTION("""COMPUTED_VALUE"""),"Aleeya Witchborn")</f>
        <v>Aleeya Witchborn</v>
      </c>
      <c r="B29" s="48" t="b">
        <f>IFERROR(__xludf.DUMMYFUNCTION("""COMPUTED_VALUE"""),TRUE)</f>
        <v>1</v>
      </c>
      <c r="C29" s="138" t="str">
        <f>IFERROR(__xludf.DUMMYFUNCTION("""COMPUTED_VALUE"""),"Got to them at breakfast. Only blue haired participant was interested in speaking with me, but we talked for a good 5 minutes in detail. She said that I gave them useful information. Hopefully she shares it with the rest of them.")</f>
        <v>Got to them at breakfast. Only blue haired participant was interested in speaking with me, but we talked for a good 5 minutes in detail. She said that I gave them useful information. Hopefully she shares it with the rest of them.</v>
      </c>
      <c r="D29" s="12"/>
      <c r="E29" s="214"/>
      <c r="F29" s="214"/>
    </row>
    <row r="30">
      <c r="A30" s="32" t="str">
        <f>IFERROR(__xludf.DUMMYFUNCTION("""COMPUTED_VALUE"""),"Elliott Peacock")</f>
        <v>Elliott Peacock</v>
      </c>
      <c r="B30" s="48" t="b">
        <f>IFERROR(__xludf.DUMMYFUNCTION("""COMPUTED_VALUE"""),TRUE)</f>
        <v>1</v>
      </c>
      <c r="C30" s="138" t="str">
        <f>IFERROR(__xludf.DUMMYFUNCTION("""COMPUTED_VALUE"""),"Had a great conversation with them, seemed excited about singing. Promised to teach us a song ""My Little Yeti""")</f>
        <v>Had a great conversation with them, seemed excited about singing. Promised to teach us a song "My Little Yeti"</v>
      </c>
      <c r="D30" s="12"/>
      <c r="E30" s="214"/>
      <c r="F30" s="214"/>
    </row>
    <row r="31">
      <c r="A31" s="32" t="str">
        <f>IFERROR(__xludf.DUMMYFUNCTION("""COMPUTED_VALUE"""),"Electra")</f>
        <v>Electra</v>
      </c>
      <c r="B31" s="48" t="b">
        <f>IFERROR(__xludf.DUMMYFUNCTION("""COMPUTED_VALUE"""),FALSE)</f>
        <v>0</v>
      </c>
      <c r="C31" s="138"/>
      <c r="D31" s="12"/>
      <c r="E31" s="214"/>
      <c r="F31" s="214"/>
    </row>
    <row r="32">
      <c r="A32" s="32" t="str">
        <f>IFERROR(__xludf.DUMMYFUNCTION("""COMPUTED_VALUE"""),"Stevie Peacock")</f>
        <v>Stevie Peacock</v>
      </c>
      <c r="B32" s="48" t="b">
        <f>IFERROR(__xludf.DUMMYFUNCTION("""COMPUTED_VALUE"""),FALSE)</f>
        <v>0</v>
      </c>
      <c r="C32" s="138"/>
      <c r="D32" s="12"/>
      <c r="E32" s="214"/>
      <c r="F32" s="214"/>
    </row>
    <row r="33">
      <c r="A33" s="32" t="str">
        <f>IFERROR(__xludf.DUMMYFUNCTION("""COMPUTED_VALUE"""),"Kovi Woundtender")</f>
        <v>Kovi Woundtender</v>
      </c>
      <c r="B33" s="48" t="b">
        <f>IFERROR(__xludf.DUMMYFUNCTION("""COMPUTED_VALUE"""),TRUE)</f>
        <v>1</v>
      </c>
      <c r="C33" s="138" t="str">
        <f>IFERROR(__xludf.DUMMYFUNCTION("""COMPUTED_VALUE"""),"talked to two of them in front of the tavern.  they had been going to investigate tavern but it had turned into ghost theater.   Knew already that Danny had been clean for over 200 days.  Interested. 4:50")</f>
        <v>talked to two of them in front of the tavern.  they had been going to investigate tavern but it had turned into ghost theater.   Knew already that Danny had been clean for over 200 days.  Interested. 4:50</v>
      </c>
      <c r="D33" s="12"/>
      <c r="E33" s="214"/>
      <c r="F33" s="214"/>
    </row>
    <row r="34">
      <c r="A34" s="32" t="str">
        <f>IFERROR(__xludf.DUMMYFUNCTION("""COMPUTED_VALUE"""),"Phyllis Fieri")</f>
        <v>Phyllis Fieri</v>
      </c>
      <c r="B34" s="48" t="b">
        <f>IFERROR(__xludf.DUMMYFUNCTION("""COMPUTED_VALUE"""),TRUE)</f>
        <v>1</v>
      </c>
      <c r="C34" s="138" t="str">
        <f>IFERROR(__xludf.DUMMYFUNCTION("""COMPUTED_VALUE"""),"Full party interaction with Aria Morgan, discussing the Morg and Danny Donovan's recent work there.  Mentioned his history with white noise and how unreliable he was.  Definitely lanfded wlll with the party.")</f>
        <v>Full party interaction with Aria Morgan, discussing the Morg and Danny Donovan's recent work there.  Mentioned his history with white noise and how unreliable he was.  Definitely lanfded wlll with the party.</v>
      </c>
      <c r="D34" s="12"/>
      <c r="E34" s="214"/>
      <c r="F34" s="214"/>
    </row>
    <row r="35">
      <c r="A35" s="32" t="str">
        <f>IFERROR(__xludf.DUMMYFUNCTION("""COMPUTED_VALUE"""),"Huxley")</f>
        <v>Huxley</v>
      </c>
      <c r="B35" s="48" t="b">
        <f>IFERROR(__xludf.DUMMYFUNCTION("""COMPUTED_VALUE"""),TRUE)</f>
        <v>1</v>
      </c>
      <c r="C35" s="138" t="str">
        <f>IFERROR(__xludf.DUMMYFUNCTION("""COMPUTED_VALUE"""),"Talked to them at lunch about Danny. Didn't seem engaged, but at least one nodded. -EF")</f>
        <v>Talked to them at lunch about Danny. Didn't seem engaged, but at least one nodded. -EF</v>
      </c>
      <c r="D35" s="12"/>
      <c r="E35" s="214"/>
      <c r="F35" s="214"/>
    </row>
    <row r="36">
      <c r="A36" s="32" t="str">
        <f>IFERROR(__xludf.DUMMYFUNCTION("""COMPUTED_VALUE"""),"Dramina")</f>
        <v>Dramina</v>
      </c>
      <c r="B36" s="48" t="b">
        <f>IFERROR(__xludf.DUMMYFUNCTION("""COMPUTED_VALUE"""),FALSE)</f>
        <v>0</v>
      </c>
      <c r="C36" s="138"/>
      <c r="D36" s="12"/>
      <c r="E36" s="214"/>
      <c r="F36" s="214"/>
    </row>
    <row r="37">
      <c r="A37" s="32" t="str">
        <f>IFERROR(__xludf.DUMMYFUNCTION("""COMPUTED_VALUE"""),"Diesel")</f>
        <v>Diesel</v>
      </c>
      <c r="B37" s="48" t="b">
        <f>IFERROR(__xludf.DUMMYFUNCTION("""COMPUTED_VALUE"""),FALSE)</f>
        <v>0</v>
      </c>
      <c r="C37" s="138"/>
      <c r="D37" s="12"/>
      <c r="E37" s="214"/>
      <c r="F37" s="214"/>
    </row>
    <row r="38">
      <c r="A38" s="32" t="str">
        <f>IFERROR(__xludf.DUMMYFUNCTION("""COMPUTED_VALUE"""),"Celeste Wilde")</f>
        <v>Celeste Wilde</v>
      </c>
      <c r="B38" s="48" t="b">
        <f>IFERROR(__xludf.DUMMYFUNCTION("""COMPUTED_VALUE"""),TRUE)</f>
        <v>1</v>
      </c>
      <c r="C38" s="138" t="str">
        <f>IFERROR(__xludf.DUMMYFUNCTION("""COMPUTED_VALUE"""),"Talked to them in front of tavern about how tragic it was for ghost theater to burn down before I arrived on Fri morning, and how it looked different now (Sat after 4:30pm) - EL")</f>
        <v>Talked to them in front of tavern about how tragic it was for ghost theater to burn down before I arrived on Fri morning, and how it looked different now (Sat after 4:30pm) - EL</v>
      </c>
      <c r="D38" s="12"/>
      <c r="E38" s="214"/>
      <c r="F38" s="214"/>
    </row>
    <row r="39">
      <c r="A39" s="32" t="str">
        <f>IFERROR(__xludf.DUMMYFUNCTION("""COMPUTED_VALUE"""),"Pascal Valerius")</f>
        <v>Pascal Valerius</v>
      </c>
      <c r="B39" s="48" t="b">
        <f>IFERROR(__xludf.DUMMYFUNCTION("""COMPUTED_VALUE"""),TRUE)</f>
        <v>1</v>
      </c>
      <c r="C39" s="138" t="str">
        <f>IFERROR(__xludf.DUMMYFUNCTION("""COMPUTED_VALUE"""),"Interested in the charge, Think Aria kinda sucks (for firing danny)")</f>
        <v>Interested in the charge, Think Aria kinda sucks (for firing danny)</v>
      </c>
      <c r="D39" s="12"/>
      <c r="E39" s="214"/>
      <c r="F39" s="214"/>
    </row>
    <row r="40">
      <c r="A40" s="32" t="str">
        <f>IFERROR(__xludf.DUMMYFUNCTION("""COMPUTED_VALUE"""),"Cary Montalvo")</f>
        <v>Cary Montalvo</v>
      </c>
      <c r="B40" s="48" t="b">
        <f>IFERROR(__xludf.DUMMYFUNCTION("""COMPUTED_VALUE"""),FALSE)</f>
        <v>0</v>
      </c>
      <c r="C40" s="138"/>
      <c r="D40" s="12"/>
      <c r="E40" s="214"/>
      <c r="F40" s="214"/>
    </row>
    <row r="41">
      <c r="A41" s="32" t="str">
        <f>IFERROR(__xludf.DUMMYFUNCTION("""COMPUTED_VALUE"""),"Samuelson")</f>
        <v>Samuelson</v>
      </c>
      <c r="B41" s="48" t="b">
        <f>IFERROR(__xludf.DUMMYFUNCTION("""COMPUTED_VALUE"""),TRUE)</f>
        <v>1</v>
      </c>
      <c r="C41" s="138" t="str">
        <f>IFERROR(__xludf.DUMMYFUNCTION("""COMPUTED_VALUE"""),"Talked to Yara (Keeper). Told her to watch her sleeves over the candles.  Don't want to pull a Danny Donnovan")</f>
        <v>Talked to Yara (Keeper). Told her to watch her sleeves over the candles.  Don't want to pull a Danny Donnovan</v>
      </c>
      <c r="D41" s="12"/>
      <c r="E41" s="214"/>
      <c r="F41" s="214"/>
    </row>
    <row r="42">
      <c r="A42" s="32" t="str">
        <f>IFERROR(__xludf.DUMMYFUNCTION("""COMPUTED_VALUE"""),"Vernon Gill")</f>
        <v>Vernon Gill</v>
      </c>
      <c r="B42" s="48" t="b">
        <f>IFERROR(__xludf.DUMMYFUNCTION("""COMPUTED_VALUE"""),FALSE)</f>
        <v>0</v>
      </c>
      <c r="C42" s="138"/>
      <c r="D42" s="12"/>
      <c r="E42" s="214"/>
      <c r="F42" s="214"/>
    </row>
    <row r="43">
      <c r="A43" s="32" t="str">
        <f>IFERROR(__xludf.DUMMYFUNCTION("""COMPUTED_VALUE"""),"Crabtree")</f>
        <v>Crabtree</v>
      </c>
      <c r="B43" s="48" t="b">
        <f>IFERROR(__xludf.DUMMYFUNCTION("""COMPUTED_VALUE"""),TRUE)</f>
        <v>1</v>
      </c>
      <c r="C43" s="138" t="str">
        <f>IFERROR(__xludf.DUMMYFUNCTION("""COMPUTED_VALUE"""),"Sat on the way to Soul Speaking, spoke about DD helping Crabtree to bring in heavy boxes, history of pain, white noise, heart of gold. the party said that they also have the feeling that he's a kind person and does his best - MO")</f>
        <v>Sat on the way to Soul Speaking, spoke about DD helping Crabtree to bring in heavy boxes, history of pain, white noise, heart of gold. the party said that they also have the feeling that he's a kind person and does his best - MO</v>
      </c>
      <c r="D43" s="12"/>
      <c r="E43" s="214"/>
      <c r="F43" s="214"/>
    </row>
    <row r="44">
      <c r="A44" s="32" t="str">
        <f>IFERROR(__xludf.DUMMYFUNCTION("""COMPUTED_VALUE"""),"Bracken")</f>
        <v>Bracken</v>
      </c>
      <c r="B44" s="48" t="b">
        <f>IFERROR(__xludf.DUMMYFUNCTION("""COMPUTED_VALUE"""),FALSE)</f>
        <v>0</v>
      </c>
      <c r="C44" s="138"/>
      <c r="D44" s="12"/>
      <c r="E44" s="214"/>
      <c r="F44" s="214"/>
    </row>
    <row r="45">
      <c r="A45" s="32" t="str">
        <f>IFERROR(__xludf.DUMMYFUNCTION("""COMPUTED_VALUE"""),"Mick Peacock")</f>
        <v>Mick Peacock</v>
      </c>
      <c r="B45" s="48" t="b">
        <f>IFERROR(__xludf.DUMMYFUNCTION("""COMPUTED_VALUE"""),FALSE)</f>
        <v>0</v>
      </c>
      <c r="C45" s="138"/>
      <c r="D45" s="12"/>
      <c r="E45" s="214"/>
      <c r="F45" s="214"/>
    </row>
    <row r="46">
      <c r="A46" s="32" t="str">
        <f>IFERROR(__xludf.DUMMYFUNCTION("""COMPUTED_VALUE"""),"Brimstone")</f>
        <v>Brimstone</v>
      </c>
      <c r="B46" s="48" t="b">
        <f>IFERROR(__xludf.DUMMYFUNCTION("""COMPUTED_VALUE"""),TRUE)</f>
        <v>1</v>
      </c>
      <c r="C46" s="138" t="str">
        <f>IFERROR(__xludf.DUMMYFUNCTION("""COMPUTED_VALUE"""),"Totally got it, they were literally talking to themself ""oh, maybe ghosts would know?"" - ZT")</f>
        <v>Totally got it, they were literally talking to themself "oh, maybe ghosts would know?" - ZT</v>
      </c>
      <c r="D46" s="12"/>
      <c r="E46" s="214"/>
      <c r="F46" s="214"/>
    </row>
    <row r="47">
      <c r="A47" s="214" t="str">
        <f>IFERROR(__xludf.DUMMYFUNCTION("""COMPUTED_VALUE"""),"Malachi")</f>
        <v>Malachi</v>
      </c>
      <c r="B47" s="12" t="b">
        <f>IFERROR(__xludf.DUMMYFUNCTION("""COMPUTED_VALUE"""),TRUE)</f>
        <v>1</v>
      </c>
      <c r="C47" s="137" t="str">
        <f>IFERROR(__xludf.DUMMYFUNCTION("""COMPUTED_VALUE"""),"Had a wonderful conversation with them right when they came back from the ritual. They're on it!")</f>
        <v>Had a wonderful conversation with them right when they came back from the ritual. They're on it!</v>
      </c>
      <c r="D47" s="214"/>
      <c r="E47" s="214"/>
      <c r="F47" s="214"/>
    </row>
    <row r="48">
      <c r="A48" s="214" t="str">
        <f>IFERROR(__xludf.DUMMYFUNCTION("""COMPUTED_VALUE"""),"Revelations")</f>
        <v>Revelations</v>
      </c>
      <c r="B48" s="12"/>
      <c r="C48" s="137"/>
      <c r="D48" s="214"/>
      <c r="E48" s="214"/>
      <c r="F48" s="214"/>
    </row>
    <row r="49">
      <c r="A49" s="214" t="str">
        <f>IFERROR(__xludf.DUMMYFUNCTION("""COMPUTED_VALUE"""),"Mila")</f>
        <v>Mila</v>
      </c>
      <c r="B49" s="12" t="b">
        <f>IFERROR(__xludf.DUMMYFUNCTION("""COMPUTED_VALUE"""),FALSE)</f>
        <v>0</v>
      </c>
      <c r="C49" s="137"/>
      <c r="D49" s="214"/>
      <c r="E49" s="214"/>
      <c r="F49" s="214"/>
    </row>
    <row r="50">
      <c r="A50" s="214" t="str">
        <f>IFERROR(__xludf.DUMMYFUNCTION("""COMPUTED_VALUE"""),"Ghosts of the Morgans")</f>
        <v>Ghosts of the Morgans</v>
      </c>
      <c r="B50" s="12" t="b">
        <f>IFERROR(__xludf.DUMMYFUNCTION("""COMPUTED_VALUE"""),FALSE)</f>
        <v>0</v>
      </c>
      <c r="C50" s="137"/>
      <c r="D50" s="214"/>
      <c r="E50" s="214"/>
      <c r="F50" s="214"/>
    </row>
    <row r="51">
      <c r="A51" s="214" t="str">
        <f>IFERROR(__xludf.DUMMYFUNCTION("""COMPUTED_VALUE"""),"Aria Morgan")</f>
        <v>Aria Morgan</v>
      </c>
      <c r="B51" s="12" t="b">
        <f>IFERROR(__xludf.DUMMYFUNCTION("""COMPUTED_VALUE"""),FALSE)</f>
        <v>0</v>
      </c>
      <c r="C51" s="137"/>
      <c r="D51" s="214"/>
      <c r="E51" s="214"/>
      <c r="F51" s="214"/>
    </row>
    <row r="52">
      <c r="A52" s="214" t="str">
        <f>IFERROR(__xludf.DUMMYFUNCTION("""COMPUTED_VALUE"""),"Moxie")</f>
        <v>Moxie</v>
      </c>
      <c r="B52" s="12" t="b">
        <f>IFERROR(__xludf.DUMMYFUNCTION("""COMPUTED_VALUE"""),FALSE)</f>
        <v>0</v>
      </c>
      <c r="C52" s="137"/>
      <c r="D52" s="214"/>
      <c r="E52" s="214"/>
      <c r="F52" s="214"/>
    </row>
    <row r="53">
      <c r="A53" s="214"/>
      <c r="B53" s="12"/>
      <c r="C53" s="137"/>
      <c r="D53" s="214"/>
      <c r="E53" s="214"/>
      <c r="F53" s="214"/>
    </row>
    <row r="54">
      <c r="A54" s="214" t="str">
        <f>IFERROR(__xludf.DUMMYFUNCTION("""COMPUTED_VALUE"""),"GENERAL NOTES")</f>
        <v>GENERAL NOTES</v>
      </c>
      <c r="B54" s="12"/>
      <c r="C54" s="137"/>
      <c r="D54" s="214"/>
      <c r="E54" s="214"/>
      <c r="F54" s="214"/>
    </row>
    <row r="55">
      <c r="A55" s="214" t="str">
        <f>IFERROR(__xludf.DUMMYFUNCTION("""COMPUTED_VALUE"""),"accidentally told Claria my Arden clue info about SWV finding crown of St Mora… Sat. Breakfast M.O.")</f>
        <v>accidentally told Claria my Arden clue info about SWV finding crown of St Mora… Sat. Breakfast M.O.</v>
      </c>
      <c r="B55" s="12"/>
      <c r="C55" s="137"/>
      <c r="D55" s="214"/>
      <c r="E55" s="214"/>
      <c r="F55" s="214"/>
    </row>
    <row r="56">
      <c r="A56" s="214" t="str">
        <f>IFERROR(__xludf.DUMMYFUNCTION("""COMPUTED_VALUE"""),"party photo taken -Mirin")</f>
        <v>party photo taken -Mirin</v>
      </c>
      <c r="B56" s="12"/>
      <c r="C56" s="137"/>
      <c r="D56" s="214"/>
      <c r="E56" s="214"/>
      <c r="F56" s="214"/>
    </row>
    <row r="57">
      <c r="A57" s="214" t="str">
        <f>IFERROR(__xludf.DUMMYFUNCTION("""COMPUTED_VALUE"""),"one almost died battling skeevers - keeper used heal all wounds to save him.  ")</f>
        <v>one almost died battling skeevers - keeper used heal all wounds to save him.  </v>
      </c>
      <c r="B57" s="12"/>
      <c r="C57" s="137"/>
      <c r="D57" s="214"/>
      <c r="E57" s="214"/>
      <c r="F57" s="214"/>
    </row>
    <row r="58">
      <c r="A58" s="214" t="str">
        <f>IFERROR(__xludf.DUMMYFUNCTION("""COMPUTED_VALUE"""),"Not good communication before Chitter fight. Spent 5 min planning and then Chitters were rushed by Uri Kesh. Feels like the party is still feeling each other out Sat 11am. -HA")</f>
        <v>Not good communication before Chitter fight. Spent 5 min planning and then Chitters were rushed by Uri Kesh. Feels like the party is still feeling each other out Sat 11am. -HA</v>
      </c>
      <c r="B58" s="12"/>
      <c r="C58" s="137"/>
      <c r="D58" s="214"/>
      <c r="E58" s="214"/>
      <c r="F58" s="214"/>
    </row>
    <row r="59">
      <c r="A59" s="214" t="str">
        <f>IFERROR(__xludf.DUMMYFUNCTION("""COMPUTED_VALUE"""),"Traveler has a knee issue (pre-Otherworld) so Pascal got her a walking stick and we gave her Tylenol. She was reluctant to slow her group down. We had a good talk, she is feeling better about it. She will get a knee brace from Britt when they get to the t"&amp;"avern. (Jen P)")</f>
        <v>Traveler has a knee issue (pre-Otherworld) so Pascal got her a walking stick and we gave her Tylenol. She was reluctant to slow her group down. We had a good talk, she is feeling better about it. She will get a knee brace from Britt when they get to the tavern. (Jen P)</v>
      </c>
      <c r="B59" s="12"/>
      <c r="C59" s="137"/>
      <c r="D59" s="214"/>
      <c r="E59" s="214"/>
      <c r="F59" s="214"/>
    </row>
    <row r="60">
      <c r="A60" s="214" t="str">
        <f>IFERROR(__xludf.DUMMYFUNCTION("""COMPUTED_VALUE"""),"Party visit to Peacocks was split between 2 people who wanted to stay and sing forever, 2 people trying to figure shit out, and 2 people (a couple? She's the traveler) who seemed very removed and disengaged. -JF")</f>
        <v>Party visit to Peacocks was split between 2 people who wanted to stay and sing forever, 2 people trying to figure shit out, and 2 people (a couple? She's the traveler) who seemed very removed and disengaged. -JF</v>
      </c>
      <c r="B60" s="12"/>
      <c r="C60" s="137"/>
      <c r="D60" s="214"/>
      <c r="E60" s="214"/>
      <c r="F60" s="214"/>
    </row>
    <row r="61">
      <c r="A61" s="214" t="str">
        <f>IFERROR(__xludf.DUMMYFUNCTION("""COMPUTED_VALUE"""),"Party was a bit hesitant about combat, but after sparring at the Valerius house, they are feeling much more confident. They have better communication, the caster is really blowing her whistle and projecting her spells, the keeper learned how to use her sh"&amp;"ield and is feeling much more confident. JM")</f>
        <v>Party was a bit hesitant about combat, but after sparring at the Valerius house, they are feeling much more confident. They have better communication, the caster is really blowing her whistle and projecting her spells, the keeper learned how to use her shield and is feeling much more confident. JM</v>
      </c>
      <c r="B61" s="12"/>
      <c r="C61" s="137"/>
      <c r="D61" s="214"/>
      <c r="E61" s="214"/>
      <c r="F61" s="214"/>
    </row>
    <row r="62">
      <c r="A62" s="214" t="str">
        <f>IFERROR(__xludf.DUMMYFUNCTION("""COMPUTED_VALUE"""),"Isaiah Cooke golden page story told to half the party")</f>
        <v>Isaiah Cooke golden page story told to half the party</v>
      </c>
      <c r="B62" s="12"/>
      <c r="C62" s="137"/>
      <c r="D62" s="214"/>
      <c r="E62" s="214"/>
      <c r="F62" s="214"/>
    </row>
    <row r="63">
      <c r="A63" s="214" t="str">
        <f>IFERROR(__xludf.DUMMYFUNCTION("""COMPUTED_VALUE"""),"3:30 pm Sat - Claria only has three people. 1 is napping, 1 has a knee injury, one is keeping that person company.  - KK (remove highlight when seen)")</f>
        <v>3:30 pm Sat - Claria only has three people. 1 is napping, 1 has a knee injury, one is keeping that person company.  - KK (remove highlight when seen)</v>
      </c>
      <c r="B63" s="12"/>
      <c r="C63" s="137"/>
      <c r="D63" s="214"/>
      <c r="E63" s="214"/>
      <c r="F63" s="214"/>
    </row>
    <row r="64">
      <c r="A64" s="214" t="str">
        <f>IFERROR(__xludf.DUMMYFUNCTION("""COMPUTED_VALUE"""),"Post Lunch Saturday they seemed VERY invested in the Danny Donovan Charge")</f>
        <v>Post Lunch Saturday they seemed VERY invested in the Danny Donovan Charge</v>
      </c>
      <c r="B64" s="12"/>
      <c r="C64" s="137"/>
      <c r="D64" s="214"/>
      <c r="E64" s="214"/>
      <c r="F64" s="214"/>
    </row>
    <row r="65">
      <c r="A65" s="214" t="str">
        <f>IFERROR(__xludf.DUMMYFUNCTION("""COMPUTED_VALUE"""),"5pm Sat - Claria companion returned to basement a riddle/bag that they had found.  Handed to Jodi - EL")</f>
        <v>5pm Sat - Claria companion returned to basement a riddle/bag that they had found.  Handed to Jodi - EL</v>
      </c>
      <c r="B65" s="12"/>
      <c r="C65" s="137"/>
      <c r="D65" s="214"/>
      <c r="E65" s="214"/>
      <c r="F65" s="214"/>
    </row>
    <row r="66">
      <c r="A66" s="214"/>
      <c r="B66" s="12"/>
      <c r="C66" s="137"/>
      <c r="D66" s="214"/>
      <c r="E66" s="214"/>
      <c r="F66" s="214"/>
    </row>
    <row r="67">
      <c r="A67" s="214"/>
      <c r="B67" s="12"/>
      <c r="C67" s="137"/>
      <c r="D67" s="214"/>
      <c r="E67" s="214"/>
      <c r="F67" s="214"/>
    </row>
    <row r="68">
      <c r="A68" s="214"/>
      <c r="B68" s="12"/>
      <c r="C68" s="137"/>
      <c r="D68" s="214"/>
      <c r="E68" s="214"/>
      <c r="F68" s="214"/>
    </row>
    <row r="69">
      <c r="A69" s="214"/>
      <c r="B69" s="12"/>
      <c r="C69" s="137"/>
      <c r="D69" s="214"/>
      <c r="E69" s="214"/>
      <c r="F69" s="214"/>
    </row>
    <row r="70">
      <c r="A70" s="214"/>
      <c r="B70" s="12"/>
      <c r="C70" s="137"/>
      <c r="D70" s="214"/>
      <c r="E70" s="214"/>
      <c r="F70" s="214"/>
    </row>
    <row r="71">
      <c r="A71" s="214"/>
      <c r="B71" s="12"/>
      <c r="C71" s="137"/>
      <c r="D71" s="214"/>
      <c r="E71" s="214"/>
      <c r="F71" s="214"/>
    </row>
    <row r="72">
      <c r="A72" s="214"/>
      <c r="B72" s="12"/>
      <c r="C72" s="137"/>
      <c r="D72" s="214"/>
      <c r="E72" s="214"/>
      <c r="F72" s="214"/>
    </row>
    <row r="73">
      <c r="A73" s="214"/>
      <c r="B73" s="12"/>
      <c r="C73" s="137"/>
      <c r="D73" s="214"/>
      <c r="E73" s="214"/>
      <c r="F73" s="214"/>
    </row>
    <row r="74">
      <c r="A74" s="214"/>
      <c r="B74" s="12"/>
      <c r="C74" s="137"/>
      <c r="D74" s="214"/>
      <c r="E74" s="214"/>
      <c r="F74" s="214"/>
    </row>
    <row r="75">
      <c r="A75" s="214"/>
      <c r="B75" s="12"/>
      <c r="C75" s="137"/>
      <c r="D75" s="214"/>
      <c r="E75" s="214"/>
      <c r="F75" s="214"/>
    </row>
    <row r="76">
      <c r="A76" s="214"/>
      <c r="B76" s="12"/>
      <c r="C76" s="137"/>
      <c r="D76" s="214"/>
      <c r="E76" s="214"/>
      <c r="F76" s="214"/>
    </row>
    <row r="77">
      <c r="A77" s="214"/>
      <c r="B77" s="12"/>
      <c r="C77" s="137"/>
      <c r="D77" s="214"/>
      <c r="E77" s="214"/>
      <c r="F77" s="214"/>
    </row>
    <row r="78">
      <c r="A78" s="214"/>
      <c r="B78" s="12"/>
      <c r="C78" s="137"/>
      <c r="D78" s="214"/>
      <c r="E78" s="214"/>
      <c r="F78" s="214"/>
    </row>
    <row r="79">
      <c r="A79" s="214"/>
      <c r="B79" s="12"/>
      <c r="C79" s="137"/>
      <c r="D79" s="214"/>
      <c r="E79" s="214"/>
      <c r="F79" s="214"/>
    </row>
    <row r="80">
      <c r="B80" s="12"/>
      <c r="C80" s="137"/>
    </row>
    <row r="81">
      <c r="B81" s="12"/>
      <c r="C81" s="137"/>
    </row>
    <row r="82">
      <c r="B82" s="12"/>
      <c r="C82" s="137"/>
    </row>
    <row r="83">
      <c r="B83" s="12"/>
      <c r="C83" s="137"/>
    </row>
    <row r="84">
      <c r="B84" s="12"/>
      <c r="C84" s="137"/>
    </row>
    <row r="85">
      <c r="B85" s="12"/>
      <c r="C85" s="137"/>
    </row>
    <row r="86">
      <c r="B86" s="12"/>
      <c r="C86" s="137"/>
    </row>
    <row r="87">
      <c r="B87" s="12"/>
      <c r="C87" s="137"/>
    </row>
    <row r="88">
      <c r="B88" s="12"/>
      <c r="C88" s="137"/>
    </row>
    <row r="89">
      <c r="B89" s="12"/>
      <c r="C89" s="137"/>
    </row>
    <row r="90">
      <c r="B90" s="12"/>
      <c r="C90" s="137"/>
    </row>
    <row r="91">
      <c r="B91" s="12"/>
      <c r="C91" s="137"/>
    </row>
    <row r="92">
      <c r="B92" s="12"/>
      <c r="C92" s="137"/>
    </row>
    <row r="93">
      <c r="B93" s="12"/>
      <c r="C93" s="137"/>
    </row>
    <row r="94">
      <c r="B94" s="12"/>
      <c r="C94" s="137"/>
    </row>
    <row r="95">
      <c r="B95" s="12"/>
      <c r="C95" s="137"/>
    </row>
    <row r="96">
      <c r="B96" s="12"/>
      <c r="C96" s="137"/>
    </row>
    <row r="97">
      <c r="B97" s="12"/>
      <c r="C97" s="137"/>
    </row>
    <row r="98">
      <c r="B98" s="12"/>
      <c r="C98" s="137"/>
    </row>
    <row r="99">
      <c r="B99" s="12"/>
      <c r="C99" s="137"/>
    </row>
    <row r="100">
      <c r="B100" s="12"/>
      <c r="C100" s="137"/>
    </row>
    <row r="101">
      <c r="B101" s="12"/>
      <c r="C101" s="137"/>
    </row>
    <row r="102">
      <c r="B102" s="12"/>
      <c r="C102" s="137"/>
    </row>
    <row r="103">
      <c r="B103" s="12"/>
      <c r="C103" s="137"/>
    </row>
    <row r="104">
      <c r="B104" s="12"/>
      <c r="C104" s="137"/>
    </row>
    <row r="105">
      <c r="B105" s="12"/>
      <c r="C105" s="137"/>
    </row>
    <row r="106">
      <c r="B106" s="12"/>
      <c r="C106" s="137"/>
    </row>
    <row r="107">
      <c r="B107" s="12"/>
      <c r="C107" s="137"/>
    </row>
    <row r="108">
      <c r="B108" s="12"/>
      <c r="C108" s="137"/>
    </row>
    <row r="109">
      <c r="B109" s="12"/>
      <c r="C109" s="137"/>
    </row>
    <row r="110">
      <c r="B110" s="12"/>
      <c r="C110" s="137"/>
    </row>
    <row r="111">
      <c r="B111" s="12"/>
      <c r="C111" s="137"/>
    </row>
    <row r="112">
      <c r="B112" s="12"/>
      <c r="C112" s="137"/>
    </row>
    <row r="113">
      <c r="B113" s="12"/>
      <c r="C113" s="137"/>
    </row>
    <row r="114">
      <c r="B114" s="12"/>
      <c r="C114" s="137"/>
    </row>
    <row r="115">
      <c r="B115" s="12"/>
      <c r="C115" s="137"/>
    </row>
    <row r="116">
      <c r="B116" s="12"/>
      <c r="C116" s="137"/>
    </row>
    <row r="117">
      <c r="B117" s="12"/>
      <c r="C117" s="137"/>
    </row>
    <row r="118">
      <c r="B118" s="12"/>
      <c r="C118" s="137"/>
    </row>
    <row r="119">
      <c r="B119" s="12"/>
      <c r="C119" s="137"/>
    </row>
    <row r="120">
      <c r="B120" s="12"/>
      <c r="C120" s="137"/>
    </row>
    <row r="121">
      <c r="B121" s="12"/>
      <c r="C121" s="137"/>
    </row>
    <row r="122">
      <c r="B122" s="12"/>
      <c r="C122" s="137"/>
    </row>
    <row r="123">
      <c r="B123" s="12"/>
      <c r="C123" s="137"/>
    </row>
    <row r="124">
      <c r="B124" s="12"/>
      <c r="C124" s="137"/>
    </row>
    <row r="125">
      <c r="B125" s="12"/>
      <c r="C125" s="137"/>
    </row>
    <row r="126">
      <c r="B126" s="12"/>
      <c r="C126" s="137"/>
    </row>
    <row r="127">
      <c r="B127" s="12"/>
      <c r="C127" s="137"/>
    </row>
    <row r="128">
      <c r="B128" s="12"/>
      <c r="C128" s="137"/>
    </row>
    <row r="129">
      <c r="B129" s="12"/>
      <c r="C129" s="137"/>
    </row>
    <row r="130">
      <c r="B130" s="12"/>
      <c r="C130" s="137"/>
    </row>
    <row r="131">
      <c r="B131" s="12"/>
      <c r="C131" s="137"/>
    </row>
    <row r="132">
      <c r="B132" s="12"/>
      <c r="C132" s="137"/>
    </row>
    <row r="133">
      <c r="B133" s="12"/>
      <c r="C133" s="137"/>
    </row>
    <row r="134">
      <c r="B134" s="12"/>
      <c r="C134" s="137"/>
    </row>
    <row r="135">
      <c r="B135" s="12"/>
      <c r="C135" s="137"/>
    </row>
    <row r="136">
      <c r="B136" s="12"/>
      <c r="C136" s="137"/>
    </row>
    <row r="137">
      <c r="B137" s="12"/>
      <c r="C137" s="137"/>
    </row>
    <row r="138">
      <c r="B138" s="12"/>
      <c r="C138" s="137"/>
    </row>
    <row r="139">
      <c r="B139" s="12"/>
      <c r="C139" s="137"/>
    </row>
    <row r="140">
      <c r="B140" s="12"/>
      <c r="C140" s="137"/>
    </row>
    <row r="141">
      <c r="B141" s="12"/>
      <c r="C141" s="137"/>
    </row>
    <row r="142">
      <c r="B142" s="12"/>
      <c r="C142" s="137"/>
    </row>
    <row r="143">
      <c r="B143" s="12"/>
      <c r="C143" s="137"/>
    </row>
    <row r="144">
      <c r="B144" s="12"/>
      <c r="C144" s="137"/>
    </row>
    <row r="145">
      <c r="B145" s="12"/>
      <c r="C145" s="137"/>
    </row>
    <row r="146">
      <c r="B146" s="12"/>
      <c r="C146" s="137"/>
    </row>
    <row r="147">
      <c r="B147" s="12"/>
      <c r="C147" s="137"/>
    </row>
    <row r="148">
      <c r="B148" s="12"/>
      <c r="C148" s="137"/>
    </row>
    <row r="149">
      <c r="B149" s="12"/>
      <c r="C149" s="137"/>
    </row>
    <row r="150">
      <c r="B150" s="12"/>
      <c r="C150" s="137"/>
    </row>
    <row r="151">
      <c r="B151" s="12"/>
      <c r="C151" s="137"/>
    </row>
    <row r="152">
      <c r="B152" s="12"/>
      <c r="C152" s="137"/>
    </row>
    <row r="153">
      <c r="B153" s="12"/>
      <c r="C153" s="137"/>
    </row>
    <row r="154">
      <c r="B154" s="12"/>
      <c r="C154" s="137"/>
    </row>
    <row r="155">
      <c r="B155" s="12"/>
      <c r="C155" s="137"/>
    </row>
    <row r="156">
      <c r="B156" s="12"/>
      <c r="C156" s="137"/>
    </row>
    <row r="157">
      <c r="B157" s="12"/>
      <c r="C157" s="137"/>
    </row>
    <row r="158">
      <c r="B158" s="12"/>
      <c r="C158" s="137"/>
    </row>
    <row r="159">
      <c r="B159" s="12"/>
      <c r="C159" s="137"/>
    </row>
    <row r="160">
      <c r="B160" s="12"/>
      <c r="C160" s="137"/>
    </row>
    <row r="161">
      <c r="B161" s="12"/>
      <c r="C161" s="137"/>
    </row>
    <row r="162">
      <c r="B162" s="12"/>
      <c r="C162" s="137"/>
    </row>
    <row r="163">
      <c r="B163" s="12"/>
      <c r="C163" s="137"/>
    </row>
    <row r="164">
      <c r="B164" s="12"/>
      <c r="C164" s="137"/>
    </row>
    <row r="165">
      <c r="B165" s="12"/>
      <c r="C165" s="137"/>
    </row>
    <row r="166">
      <c r="B166" s="12"/>
      <c r="C166" s="137"/>
    </row>
    <row r="167">
      <c r="B167" s="12"/>
      <c r="C167" s="137"/>
    </row>
    <row r="168">
      <c r="B168" s="12"/>
      <c r="C168" s="137"/>
    </row>
    <row r="169">
      <c r="B169" s="12"/>
      <c r="C169" s="137"/>
    </row>
    <row r="170">
      <c r="B170" s="12"/>
      <c r="C170" s="137"/>
    </row>
    <row r="171">
      <c r="B171" s="12"/>
      <c r="C171" s="137"/>
    </row>
    <row r="172">
      <c r="B172" s="12"/>
      <c r="C172" s="137"/>
    </row>
    <row r="173">
      <c r="B173" s="12"/>
      <c r="C173" s="137"/>
    </row>
    <row r="174">
      <c r="B174" s="12"/>
      <c r="C174" s="137"/>
    </row>
    <row r="175">
      <c r="B175" s="12"/>
      <c r="C175" s="137"/>
    </row>
    <row r="176">
      <c r="B176" s="12"/>
      <c r="C176" s="137"/>
    </row>
    <row r="177">
      <c r="B177" s="12"/>
      <c r="C177" s="137"/>
    </row>
    <row r="178">
      <c r="B178" s="12"/>
      <c r="C178" s="137"/>
    </row>
    <row r="179">
      <c r="B179" s="12"/>
      <c r="C179" s="137"/>
    </row>
    <row r="180">
      <c r="B180" s="12"/>
      <c r="C180" s="137"/>
    </row>
    <row r="181">
      <c r="B181" s="12"/>
      <c r="C181" s="137"/>
    </row>
    <row r="182">
      <c r="B182" s="12"/>
      <c r="C182" s="137"/>
    </row>
    <row r="183">
      <c r="B183" s="12"/>
      <c r="C183" s="137"/>
    </row>
    <row r="184">
      <c r="B184" s="12"/>
      <c r="C184" s="137"/>
    </row>
    <row r="185">
      <c r="B185" s="12"/>
      <c r="C185" s="137"/>
    </row>
    <row r="186">
      <c r="B186" s="12"/>
      <c r="C186" s="137"/>
    </row>
    <row r="187">
      <c r="B187" s="12"/>
      <c r="C187" s="137"/>
    </row>
    <row r="188">
      <c r="B188" s="12"/>
      <c r="C188" s="137"/>
    </row>
    <row r="189">
      <c r="B189" s="12"/>
      <c r="C189" s="137"/>
    </row>
    <row r="190">
      <c r="B190" s="12"/>
      <c r="C190" s="137"/>
    </row>
    <row r="191">
      <c r="B191" s="12"/>
      <c r="C191" s="137"/>
    </row>
    <row r="192">
      <c r="B192" s="12"/>
      <c r="C192" s="137"/>
    </row>
    <row r="193">
      <c r="B193" s="12"/>
      <c r="C193" s="137"/>
    </row>
    <row r="194">
      <c r="B194" s="12"/>
      <c r="C194" s="137"/>
    </row>
    <row r="195">
      <c r="B195" s="12"/>
      <c r="C195" s="137"/>
    </row>
    <row r="196">
      <c r="B196" s="12"/>
      <c r="C196" s="137"/>
    </row>
    <row r="197">
      <c r="B197" s="12"/>
      <c r="C197" s="137"/>
    </row>
    <row r="198">
      <c r="B198" s="12"/>
      <c r="C198" s="137"/>
    </row>
    <row r="199">
      <c r="B199" s="12"/>
      <c r="C199" s="137"/>
    </row>
    <row r="200">
      <c r="B200" s="12"/>
      <c r="C200" s="137"/>
    </row>
    <row r="201">
      <c r="B201" s="12"/>
      <c r="C201" s="137"/>
    </row>
    <row r="202">
      <c r="B202" s="12"/>
      <c r="C202" s="137"/>
    </row>
    <row r="203">
      <c r="B203" s="12"/>
      <c r="C203" s="137"/>
    </row>
    <row r="204">
      <c r="B204" s="12"/>
      <c r="C204" s="137"/>
    </row>
    <row r="205">
      <c r="B205" s="12"/>
      <c r="C205" s="137"/>
    </row>
    <row r="206">
      <c r="B206" s="12"/>
      <c r="C206" s="137"/>
    </row>
    <row r="207">
      <c r="B207" s="12"/>
      <c r="C207" s="137"/>
    </row>
    <row r="208">
      <c r="B208" s="12"/>
      <c r="C208" s="137"/>
    </row>
    <row r="209">
      <c r="B209" s="12"/>
      <c r="C209" s="137"/>
    </row>
    <row r="210">
      <c r="B210" s="12"/>
      <c r="C210" s="137"/>
    </row>
    <row r="211">
      <c r="B211" s="12"/>
      <c r="C211" s="137"/>
    </row>
    <row r="212">
      <c r="B212" s="12"/>
      <c r="C212" s="137"/>
    </row>
    <row r="213">
      <c r="B213" s="12"/>
      <c r="C213" s="137"/>
    </row>
    <row r="214">
      <c r="B214" s="12"/>
      <c r="C214" s="137"/>
    </row>
    <row r="215">
      <c r="B215" s="12"/>
      <c r="C215" s="137"/>
    </row>
    <row r="216">
      <c r="B216" s="12"/>
      <c r="C216" s="137"/>
    </row>
    <row r="217">
      <c r="B217" s="12"/>
      <c r="C217" s="137"/>
    </row>
    <row r="218">
      <c r="B218" s="12"/>
      <c r="C218" s="137"/>
    </row>
    <row r="219">
      <c r="B219" s="12"/>
      <c r="C219" s="137"/>
    </row>
    <row r="220">
      <c r="B220" s="12"/>
      <c r="C220" s="137"/>
    </row>
    <row r="221">
      <c r="B221" s="12"/>
      <c r="C221" s="137"/>
    </row>
    <row r="222">
      <c r="B222" s="12"/>
      <c r="C222" s="137"/>
    </row>
    <row r="223">
      <c r="B223" s="12"/>
      <c r="C223" s="137"/>
    </row>
    <row r="224">
      <c r="B224" s="12"/>
      <c r="C224" s="137"/>
    </row>
    <row r="225">
      <c r="B225" s="12"/>
      <c r="C225" s="137"/>
    </row>
    <row r="226">
      <c r="B226" s="12"/>
      <c r="C226" s="137"/>
    </row>
    <row r="227">
      <c r="B227" s="12"/>
      <c r="C227" s="137"/>
    </row>
    <row r="228">
      <c r="B228" s="12"/>
      <c r="C228" s="137"/>
    </row>
    <row r="229">
      <c r="B229" s="12"/>
      <c r="C229" s="137"/>
    </row>
    <row r="230">
      <c r="B230" s="12"/>
      <c r="C230" s="137"/>
    </row>
    <row r="231">
      <c r="B231" s="12"/>
      <c r="C231" s="137"/>
    </row>
    <row r="232">
      <c r="B232" s="12"/>
      <c r="C232" s="137"/>
    </row>
    <row r="233">
      <c r="B233" s="12"/>
      <c r="C233" s="137"/>
    </row>
    <row r="234">
      <c r="B234" s="12"/>
      <c r="C234" s="137"/>
    </row>
    <row r="235">
      <c r="B235" s="12"/>
      <c r="C235" s="137"/>
    </row>
    <row r="236">
      <c r="B236" s="12"/>
      <c r="C236" s="137"/>
    </row>
    <row r="237">
      <c r="B237" s="12"/>
      <c r="C237" s="137"/>
    </row>
    <row r="238">
      <c r="B238" s="12"/>
      <c r="C238" s="137"/>
    </row>
    <row r="239">
      <c r="B239" s="12"/>
      <c r="C239" s="137"/>
    </row>
    <row r="240">
      <c r="B240" s="12"/>
      <c r="C240" s="137"/>
    </row>
    <row r="241">
      <c r="B241" s="12"/>
      <c r="C241" s="137"/>
    </row>
    <row r="242">
      <c r="B242" s="12"/>
      <c r="C242" s="137"/>
    </row>
    <row r="243">
      <c r="B243" s="12"/>
      <c r="C243" s="137"/>
    </row>
    <row r="244">
      <c r="B244" s="12"/>
      <c r="C244" s="137"/>
    </row>
    <row r="245">
      <c r="B245" s="12"/>
      <c r="C245" s="137"/>
    </row>
    <row r="246">
      <c r="B246" s="12"/>
      <c r="C246" s="137"/>
    </row>
    <row r="247">
      <c r="B247" s="12"/>
      <c r="C247" s="137"/>
    </row>
    <row r="248">
      <c r="B248" s="12"/>
      <c r="C248" s="137"/>
    </row>
    <row r="249">
      <c r="B249" s="12"/>
      <c r="C249" s="137"/>
    </row>
    <row r="250">
      <c r="B250" s="12"/>
      <c r="C250" s="137"/>
    </row>
    <row r="251">
      <c r="B251" s="12"/>
      <c r="C251" s="137"/>
    </row>
    <row r="252">
      <c r="B252" s="12"/>
      <c r="C252" s="137"/>
    </row>
    <row r="253">
      <c r="B253" s="12"/>
      <c r="C253" s="137"/>
    </row>
    <row r="254">
      <c r="B254" s="12"/>
      <c r="C254" s="137"/>
    </row>
    <row r="255">
      <c r="B255" s="12"/>
      <c r="C255" s="137"/>
    </row>
    <row r="256">
      <c r="B256" s="12"/>
      <c r="C256" s="137"/>
    </row>
    <row r="257">
      <c r="B257" s="12"/>
      <c r="C257" s="137"/>
    </row>
    <row r="258">
      <c r="B258" s="12"/>
      <c r="C258" s="137"/>
    </row>
    <row r="259">
      <c r="B259" s="12"/>
      <c r="C259" s="137"/>
    </row>
    <row r="260">
      <c r="B260" s="12"/>
      <c r="C260" s="137"/>
    </row>
    <row r="261">
      <c r="B261" s="12"/>
      <c r="C261" s="137"/>
    </row>
    <row r="262">
      <c r="B262" s="12"/>
      <c r="C262" s="137"/>
    </row>
    <row r="263">
      <c r="B263" s="12"/>
      <c r="C263" s="137"/>
    </row>
    <row r="264">
      <c r="B264" s="12"/>
      <c r="C264" s="137"/>
    </row>
    <row r="265">
      <c r="B265" s="12"/>
      <c r="C265" s="137"/>
    </row>
    <row r="266">
      <c r="B266" s="12"/>
      <c r="C266" s="137"/>
    </row>
    <row r="267">
      <c r="B267" s="12"/>
      <c r="C267" s="137"/>
    </row>
    <row r="268">
      <c r="B268" s="12"/>
      <c r="C268" s="137"/>
    </row>
    <row r="269">
      <c r="B269" s="12"/>
      <c r="C269" s="137"/>
    </row>
    <row r="270">
      <c r="B270" s="12"/>
      <c r="C270" s="137"/>
    </row>
    <row r="271">
      <c r="B271" s="12"/>
      <c r="C271" s="137"/>
    </row>
    <row r="272">
      <c r="B272" s="12"/>
      <c r="C272" s="137"/>
    </row>
    <row r="273">
      <c r="B273" s="12"/>
      <c r="C273" s="137"/>
    </row>
    <row r="274">
      <c r="B274" s="12"/>
      <c r="C274" s="137"/>
    </row>
    <row r="275">
      <c r="B275" s="12"/>
      <c r="C275" s="137"/>
    </row>
    <row r="276">
      <c r="B276" s="12"/>
      <c r="C276" s="137"/>
    </row>
    <row r="277">
      <c r="B277" s="12"/>
      <c r="C277" s="137"/>
    </row>
    <row r="278">
      <c r="B278" s="12"/>
      <c r="C278" s="137"/>
    </row>
    <row r="279">
      <c r="B279" s="12"/>
      <c r="C279" s="137"/>
    </row>
    <row r="280">
      <c r="B280" s="12"/>
      <c r="C280" s="137"/>
    </row>
    <row r="281">
      <c r="B281" s="12"/>
      <c r="C281" s="137"/>
    </row>
    <row r="282">
      <c r="B282" s="12"/>
      <c r="C282" s="137"/>
    </row>
    <row r="283">
      <c r="B283" s="12"/>
      <c r="C283" s="137"/>
    </row>
    <row r="284">
      <c r="B284" s="12"/>
      <c r="C284" s="137"/>
    </row>
    <row r="285">
      <c r="B285" s="12"/>
      <c r="C285" s="137"/>
    </row>
    <row r="286">
      <c r="B286" s="12"/>
      <c r="C286" s="137"/>
    </row>
    <row r="287">
      <c r="B287" s="12"/>
      <c r="C287" s="137"/>
    </row>
    <row r="288">
      <c r="B288" s="12"/>
      <c r="C288" s="137"/>
    </row>
    <row r="289">
      <c r="B289" s="12"/>
      <c r="C289" s="137"/>
    </row>
    <row r="290">
      <c r="B290" s="12"/>
      <c r="C290" s="137"/>
    </row>
    <row r="291">
      <c r="B291" s="12"/>
      <c r="C291" s="137"/>
    </row>
    <row r="292">
      <c r="B292" s="12"/>
      <c r="C292" s="137"/>
    </row>
    <row r="293">
      <c r="B293" s="12"/>
      <c r="C293" s="137"/>
    </row>
    <row r="294">
      <c r="B294" s="12"/>
      <c r="C294" s="137"/>
    </row>
    <row r="295">
      <c r="B295" s="12"/>
      <c r="C295" s="137"/>
    </row>
    <row r="296">
      <c r="B296" s="12"/>
      <c r="C296" s="137"/>
    </row>
    <row r="297">
      <c r="B297" s="12"/>
      <c r="C297" s="137"/>
    </row>
    <row r="298">
      <c r="B298" s="12"/>
      <c r="C298" s="137"/>
    </row>
    <row r="299">
      <c r="B299" s="12"/>
      <c r="C299" s="137"/>
    </row>
    <row r="300">
      <c r="B300" s="12"/>
      <c r="C300" s="137"/>
    </row>
    <row r="301">
      <c r="B301" s="12"/>
      <c r="C301" s="137"/>
    </row>
    <row r="302">
      <c r="B302" s="12"/>
      <c r="C302" s="137"/>
    </row>
    <row r="303">
      <c r="B303" s="12"/>
      <c r="C303" s="137"/>
    </row>
    <row r="304">
      <c r="B304" s="12"/>
      <c r="C304" s="137"/>
    </row>
    <row r="305">
      <c r="B305" s="12"/>
      <c r="C305" s="137"/>
    </row>
    <row r="306">
      <c r="B306" s="12"/>
      <c r="C306" s="137"/>
    </row>
    <row r="307">
      <c r="B307" s="12"/>
      <c r="C307" s="137"/>
    </row>
    <row r="308">
      <c r="B308" s="12"/>
      <c r="C308" s="137"/>
    </row>
    <row r="309">
      <c r="B309" s="12"/>
      <c r="C309" s="137"/>
    </row>
    <row r="310">
      <c r="B310" s="12"/>
      <c r="C310" s="137"/>
    </row>
    <row r="311">
      <c r="B311" s="12"/>
      <c r="C311" s="137"/>
    </row>
    <row r="312">
      <c r="B312" s="12"/>
      <c r="C312" s="137"/>
    </row>
    <row r="313">
      <c r="B313" s="12"/>
      <c r="C313" s="137"/>
    </row>
    <row r="314">
      <c r="B314" s="12"/>
      <c r="C314" s="137"/>
    </row>
    <row r="315">
      <c r="B315" s="12"/>
      <c r="C315" s="137"/>
    </row>
    <row r="316">
      <c r="B316" s="12"/>
      <c r="C316" s="137"/>
    </row>
    <row r="317">
      <c r="B317" s="12"/>
      <c r="C317" s="137"/>
    </row>
    <row r="318">
      <c r="B318" s="12"/>
      <c r="C318" s="137"/>
    </row>
    <row r="319">
      <c r="B319" s="12"/>
      <c r="C319" s="137"/>
    </row>
    <row r="320">
      <c r="B320" s="12"/>
      <c r="C320" s="137"/>
    </row>
    <row r="321">
      <c r="B321" s="12"/>
      <c r="C321" s="137"/>
    </row>
    <row r="322">
      <c r="B322" s="12"/>
      <c r="C322" s="137"/>
    </row>
    <row r="323">
      <c r="B323" s="12"/>
      <c r="C323" s="137"/>
    </row>
    <row r="324">
      <c r="B324" s="12"/>
      <c r="C324" s="137"/>
    </row>
    <row r="325">
      <c r="B325" s="12"/>
      <c r="C325" s="137"/>
    </row>
    <row r="326">
      <c r="B326" s="12"/>
      <c r="C326" s="137"/>
    </row>
    <row r="327">
      <c r="B327" s="12"/>
      <c r="C327" s="137"/>
    </row>
    <row r="328">
      <c r="B328" s="12"/>
      <c r="C328" s="137"/>
    </row>
    <row r="329">
      <c r="B329" s="12"/>
      <c r="C329" s="137"/>
    </row>
    <row r="330">
      <c r="B330" s="12"/>
      <c r="C330" s="137"/>
    </row>
    <row r="331">
      <c r="B331" s="12"/>
      <c r="C331" s="137"/>
    </row>
    <row r="332">
      <c r="B332" s="12"/>
      <c r="C332" s="137"/>
    </row>
    <row r="333">
      <c r="B333" s="12"/>
      <c r="C333" s="137"/>
    </row>
    <row r="334">
      <c r="B334" s="12"/>
      <c r="C334" s="137"/>
    </row>
    <row r="335">
      <c r="B335" s="12"/>
      <c r="C335" s="137"/>
    </row>
    <row r="336">
      <c r="B336" s="12"/>
      <c r="C336" s="137"/>
    </row>
    <row r="337">
      <c r="B337" s="12"/>
      <c r="C337" s="137"/>
    </row>
    <row r="338">
      <c r="B338" s="12"/>
      <c r="C338" s="137"/>
    </row>
    <row r="339">
      <c r="B339" s="12"/>
      <c r="C339" s="137"/>
    </row>
    <row r="340">
      <c r="B340" s="12"/>
      <c r="C340" s="137"/>
    </row>
    <row r="341">
      <c r="B341" s="12"/>
      <c r="C341" s="137"/>
    </row>
    <row r="342">
      <c r="B342" s="12"/>
      <c r="C342" s="137"/>
    </row>
    <row r="343">
      <c r="B343" s="12"/>
      <c r="C343" s="137"/>
    </row>
    <row r="344">
      <c r="B344" s="12"/>
      <c r="C344" s="137"/>
    </row>
    <row r="345">
      <c r="B345" s="12"/>
      <c r="C345" s="137"/>
    </row>
    <row r="346">
      <c r="B346" s="12"/>
      <c r="C346" s="137"/>
    </row>
    <row r="347">
      <c r="B347" s="12"/>
      <c r="C347" s="137"/>
    </row>
    <row r="348">
      <c r="B348" s="12"/>
      <c r="C348" s="137"/>
    </row>
    <row r="349">
      <c r="B349" s="12"/>
      <c r="C349" s="137"/>
    </row>
    <row r="350">
      <c r="B350" s="12"/>
      <c r="C350" s="137"/>
    </row>
    <row r="351">
      <c r="B351" s="12"/>
      <c r="C351" s="137"/>
    </row>
    <row r="352">
      <c r="B352" s="12"/>
      <c r="C352" s="137"/>
    </row>
    <row r="353">
      <c r="B353" s="12"/>
      <c r="C353" s="137"/>
    </row>
    <row r="354">
      <c r="B354" s="12"/>
      <c r="C354" s="137"/>
    </row>
    <row r="355">
      <c r="B355" s="12"/>
      <c r="C355" s="137"/>
    </row>
    <row r="356">
      <c r="B356" s="12"/>
      <c r="C356" s="137"/>
    </row>
    <row r="357">
      <c r="B357" s="12"/>
      <c r="C357" s="137"/>
    </row>
    <row r="358">
      <c r="B358" s="12"/>
      <c r="C358" s="137"/>
    </row>
    <row r="359">
      <c r="B359" s="12"/>
      <c r="C359" s="137"/>
    </row>
    <row r="360">
      <c r="B360" s="12"/>
      <c r="C360" s="137"/>
    </row>
    <row r="361">
      <c r="B361" s="12"/>
      <c r="C361" s="137"/>
    </row>
    <row r="362">
      <c r="B362" s="12"/>
      <c r="C362" s="137"/>
    </row>
    <row r="363">
      <c r="B363" s="12"/>
      <c r="C363" s="137"/>
    </row>
    <row r="364">
      <c r="B364" s="12"/>
      <c r="C364" s="137"/>
    </row>
    <row r="365">
      <c r="B365" s="12"/>
      <c r="C365" s="137"/>
    </row>
    <row r="366">
      <c r="B366" s="12"/>
      <c r="C366" s="137"/>
    </row>
    <row r="367">
      <c r="B367" s="12"/>
      <c r="C367" s="137"/>
    </row>
    <row r="368">
      <c r="B368" s="12"/>
      <c r="C368" s="137"/>
    </row>
    <row r="369">
      <c r="B369" s="12"/>
      <c r="C369" s="137"/>
    </row>
    <row r="370">
      <c r="B370" s="12"/>
      <c r="C370" s="137"/>
    </row>
    <row r="371">
      <c r="B371" s="12"/>
      <c r="C371" s="137"/>
    </row>
    <row r="372">
      <c r="B372" s="12"/>
      <c r="C372" s="137"/>
    </row>
    <row r="373">
      <c r="B373" s="12"/>
      <c r="C373" s="137"/>
    </row>
    <row r="374">
      <c r="B374" s="12"/>
      <c r="C374" s="137"/>
    </row>
    <row r="375">
      <c r="B375" s="12"/>
      <c r="C375" s="137"/>
    </row>
    <row r="376">
      <c r="B376" s="12"/>
      <c r="C376" s="137"/>
    </row>
    <row r="377">
      <c r="B377" s="12"/>
      <c r="C377" s="137"/>
    </row>
    <row r="378">
      <c r="B378" s="12"/>
      <c r="C378" s="137"/>
    </row>
    <row r="379">
      <c r="B379" s="12"/>
      <c r="C379" s="137"/>
    </row>
    <row r="380">
      <c r="B380" s="12"/>
      <c r="C380" s="137"/>
    </row>
    <row r="381">
      <c r="B381" s="12"/>
      <c r="C381" s="137"/>
    </row>
    <row r="382">
      <c r="B382" s="12"/>
      <c r="C382" s="137"/>
    </row>
    <row r="383">
      <c r="B383" s="12"/>
      <c r="C383" s="137"/>
    </row>
    <row r="384">
      <c r="B384" s="12"/>
      <c r="C384" s="137"/>
    </row>
    <row r="385">
      <c r="B385" s="12"/>
      <c r="C385" s="137"/>
    </row>
    <row r="386">
      <c r="B386" s="12"/>
      <c r="C386" s="137"/>
    </row>
    <row r="387">
      <c r="B387" s="12"/>
      <c r="C387" s="137"/>
    </row>
    <row r="388">
      <c r="B388" s="12"/>
      <c r="C388" s="137"/>
    </row>
    <row r="389">
      <c r="B389" s="12"/>
      <c r="C389" s="137"/>
    </row>
    <row r="390">
      <c r="B390" s="12"/>
      <c r="C390" s="137"/>
    </row>
    <row r="391">
      <c r="B391" s="12"/>
      <c r="C391" s="137"/>
    </row>
    <row r="392">
      <c r="B392" s="12"/>
      <c r="C392" s="137"/>
    </row>
    <row r="393">
      <c r="B393" s="12"/>
      <c r="C393" s="137"/>
    </row>
    <row r="394">
      <c r="B394" s="12"/>
      <c r="C394" s="137"/>
    </row>
    <row r="395">
      <c r="B395" s="12"/>
      <c r="C395" s="137"/>
    </row>
    <row r="396">
      <c r="B396" s="12"/>
      <c r="C396" s="137"/>
    </row>
    <row r="397">
      <c r="B397" s="12"/>
      <c r="C397" s="137"/>
    </row>
    <row r="398">
      <c r="B398" s="12"/>
      <c r="C398" s="137"/>
    </row>
    <row r="399">
      <c r="B399" s="12"/>
      <c r="C399" s="137"/>
    </row>
    <row r="400">
      <c r="B400" s="12"/>
      <c r="C400" s="137"/>
    </row>
    <row r="401">
      <c r="B401" s="12"/>
      <c r="C401" s="137"/>
    </row>
    <row r="402">
      <c r="B402" s="12"/>
      <c r="C402" s="137"/>
    </row>
    <row r="403">
      <c r="B403" s="12"/>
      <c r="C403" s="137"/>
    </row>
    <row r="404">
      <c r="B404" s="12"/>
      <c r="C404" s="137"/>
    </row>
    <row r="405">
      <c r="B405" s="12"/>
      <c r="C405" s="137"/>
    </row>
    <row r="406">
      <c r="B406" s="12"/>
      <c r="C406" s="137"/>
    </row>
    <row r="407">
      <c r="B407" s="12"/>
      <c r="C407" s="137"/>
    </row>
    <row r="408">
      <c r="B408" s="12"/>
      <c r="C408" s="137"/>
    </row>
    <row r="409">
      <c r="B409" s="12"/>
      <c r="C409" s="137"/>
    </row>
    <row r="410">
      <c r="B410" s="12"/>
      <c r="C410" s="137"/>
    </row>
    <row r="411">
      <c r="B411" s="12"/>
      <c r="C411" s="137"/>
    </row>
    <row r="412">
      <c r="B412" s="12"/>
      <c r="C412" s="137"/>
    </row>
    <row r="413">
      <c r="B413" s="12"/>
      <c r="C413" s="137"/>
    </row>
    <row r="414">
      <c r="B414" s="12"/>
      <c r="C414" s="137"/>
    </row>
    <row r="415">
      <c r="B415" s="12"/>
      <c r="C415" s="137"/>
    </row>
    <row r="416">
      <c r="B416" s="12"/>
      <c r="C416" s="137"/>
    </row>
    <row r="417">
      <c r="B417" s="12"/>
      <c r="C417" s="137"/>
    </row>
    <row r="418">
      <c r="B418" s="12"/>
      <c r="C418" s="137"/>
    </row>
    <row r="419">
      <c r="B419" s="12"/>
      <c r="C419" s="137"/>
    </row>
    <row r="420">
      <c r="B420" s="12"/>
      <c r="C420" s="137"/>
    </row>
    <row r="421">
      <c r="B421" s="12"/>
      <c r="C421" s="137"/>
    </row>
    <row r="422">
      <c r="B422" s="12"/>
      <c r="C422" s="137"/>
    </row>
    <row r="423">
      <c r="B423" s="12"/>
      <c r="C423" s="137"/>
    </row>
    <row r="424">
      <c r="B424" s="12"/>
      <c r="C424" s="137"/>
    </row>
    <row r="425">
      <c r="B425" s="12"/>
      <c r="C425" s="137"/>
    </row>
    <row r="426">
      <c r="B426" s="12"/>
      <c r="C426" s="137"/>
    </row>
    <row r="427">
      <c r="B427" s="12"/>
      <c r="C427" s="137"/>
    </row>
    <row r="428">
      <c r="B428" s="12"/>
      <c r="C428" s="137"/>
    </row>
    <row r="429">
      <c r="B429" s="12"/>
      <c r="C429" s="137"/>
    </row>
    <row r="430">
      <c r="B430" s="12"/>
      <c r="C430" s="137"/>
    </row>
    <row r="431">
      <c r="B431" s="12"/>
      <c r="C431" s="137"/>
    </row>
    <row r="432">
      <c r="B432" s="12"/>
      <c r="C432" s="137"/>
    </row>
    <row r="433">
      <c r="B433" s="12"/>
      <c r="C433" s="137"/>
    </row>
    <row r="434">
      <c r="B434" s="12"/>
      <c r="C434" s="137"/>
    </row>
    <row r="435">
      <c r="B435" s="12"/>
      <c r="C435" s="137"/>
    </row>
    <row r="436">
      <c r="B436" s="12"/>
      <c r="C436" s="137"/>
    </row>
    <row r="437">
      <c r="B437" s="12"/>
      <c r="C437" s="137"/>
    </row>
    <row r="438">
      <c r="B438" s="12"/>
      <c r="C438" s="137"/>
    </row>
    <row r="439">
      <c r="B439" s="12"/>
      <c r="C439" s="137"/>
    </row>
    <row r="440">
      <c r="B440" s="12"/>
      <c r="C440" s="137"/>
    </row>
    <row r="441">
      <c r="B441" s="12"/>
      <c r="C441" s="137"/>
    </row>
    <row r="442">
      <c r="B442" s="12"/>
      <c r="C442" s="137"/>
    </row>
    <row r="443">
      <c r="B443" s="12"/>
      <c r="C443" s="137"/>
    </row>
    <row r="444">
      <c r="B444" s="12"/>
      <c r="C444" s="137"/>
    </row>
    <row r="445">
      <c r="B445" s="12"/>
      <c r="C445" s="137"/>
    </row>
    <row r="446">
      <c r="B446" s="12"/>
      <c r="C446" s="137"/>
    </row>
    <row r="447">
      <c r="B447" s="12"/>
      <c r="C447" s="137"/>
    </row>
    <row r="448">
      <c r="B448" s="12"/>
      <c r="C448" s="137"/>
    </row>
    <row r="449">
      <c r="B449" s="12"/>
      <c r="C449" s="137"/>
    </row>
    <row r="450">
      <c r="B450" s="12"/>
      <c r="C450" s="137"/>
    </row>
    <row r="451">
      <c r="B451" s="12"/>
      <c r="C451" s="137"/>
    </row>
    <row r="452">
      <c r="B452" s="12"/>
      <c r="C452" s="137"/>
    </row>
    <row r="453">
      <c r="B453" s="12"/>
      <c r="C453" s="137"/>
    </row>
    <row r="454">
      <c r="B454" s="12"/>
      <c r="C454" s="137"/>
    </row>
    <row r="455">
      <c r="B455" s="12"/>
      <c r="C455" s="137"/>
    </row>
    <row r="456">
      <c r="B456" s="12"/>
      <c r="C456" s="137"/>
    </row>
    <row r="457">
      <c r="B457" s="12"/>
      <c r="C457" s="137"/>
    </row>
    <row r="458">
      <c r="B458" s="12"/>
      <c r="C458" s="137"/>
    </row>
    <row r="459">
      <c r="B459" s="12"/>
      <c r="C459" s="137"/>
    </row>
    <row r="460">
      <c r="B460" s="12"/>
      <c r="C460" s="137"/>
    </row>
    <row r="461">
      <c r="B461" s="12"/>
      <c r="C461" s="137"/>
    </row>
    <row r="462">
      <c r="B462" s="12"/>
      <c r="C462" s="137"/>
    </row>
    <row r="463">
      <c r="B463" s="12"/>
      <c r="C463" s="137"/>
    </row>
    <row r="464">
      <c r="B464" s="12"/>
      <c r="C464" s="137"/>
    </row>
    <row r="465">
      <c r="B465" s="12"/>
      <c r="C465" s="137"/>
    </row>
    <row r="466">
      <c r="B466" s="12"/>
      <c r="C466" s="137"/>
    </row>
    <row r="467">
      <c r="B467" s="12"/>
      <c r="C467" s="137"/>
    </row>
    <row r="468">
      <c r="B468" s="12"/>
      <c r="C468" s="137"/>
    </row>
    <row r="469">
      <c r="B469" s="12"/>
      <c r="C469" s="137"/>
    </row>
    <row r="470">
      <c r="B470" s="12"/>
      <c r="C470" s="137"/>
    </row>
    <row r="471">
      <c r="B471" s="12"/>
      <c r="C471" s="137"/>
    </row>
    <row r="472">
      <c r="B472" s="12"/>
      <c r="C472" s="137"/>
    </row>
    <row r="473">
      <c r="B473" s="12"/>
      <c r="C473" s="137"/>
    </row>
    <row r="474">
      <c r="B474" s="12"/>
      <c r="C474" s="137"/>
    </row>
    <row r="475">
      <c r="B475" s="12"/>
      <c r="C475" s="137"/>
    </row>
    <row r="476">
      <c r="B476" s="12"/>
      <c r="C476" s="137"/>
    </row>
    <row r="477">
      <c r="B477" s="12"/>
      <c r="C477" s="137"/>
    </row>
    <row r="478">
      <c r="B478" s="12"/>
      <c r="C478" s="137"/>
    </row>
    <row r="479">
      <c r="B479" s="12"/>
      <c r="C479" s="137"/>
    </row>
    <row r="480">
      <c r="B480" s="12"/>
      <c r="C480" s="137"/>
    </row>
    <row r="481">
      <c r="B481" s="12"/>
      <c r="C481" s="137"/>
    </row>
    <row r="482">
      <c r="B482" s="12"/>
      <c r="C482" s="137"/>
    </row>
    <row r="483">
      <c r="B483" s="12"/>
      <c r="C483" s="137"/>
    </row>
    <row r="484">
      <c r="B484" s="12"/>
      <c r="C484" s="137"/>
    </row>
    <row r="485">
      <c r="B485" s="12"/>
      <c r="C485" s="137"/>
    </row>
    <row r="486">
      <c r="B486" s="12"/>
      <c r="C486" s="137"/>
    </row>
    <row r="487">
      <c r="B487" s="12"/>
      <c r="C487" s="137"/>
    </row>
    <row r="488">
      <c r="B488" s="12"/>
      <c r="C488" s="137"/>
    </row>
    <row r="489">
      <c r="B489" s="12"/>
      <c r="C489" s="137"/>
    </row>
    <row r="490">
      <c r="B490" s="12"/>
      <c r="C490" s="137"/>
    </row>
    <row r="491">
      <c r="B491" s="12"/>
      <c r="C491" s="137"/>
    </row>
    <row r="492">
      <c r="B492" s="12"/>
      <c r="C492" s="137"/>
    </row>
    <row r="493">
      <c r="B493" s="12"/>
      <c r="C493" s="137"/>
    </row>
    <row r="494">
      <c r="B494" s="12"/>
      <c r="C494" s="137"/>
    </row>
    <row r="495">
      <c r="B495" s="12"/>
      <c r="C495" s="137"/>
    </row>
    <row r="496">
      <c r="B496" s="12"/>
      <c r="C496" s="137"/>
    </row>
    <row r="497">
      <c r="B497" s="12"/>
      <c r="C497" s="137"/>
    </row>
    <row r="498">
      <c r="B498" s="12"/>
      <c r="C498" s="137"/>
    </row>
    <row r="499">
      <c r="B499" s="12"/>
      <c r="C499" s="137"/>
    </row>
    <row r="500">
      <c r="B500" s="12"/>
      <c r="C500" s="137"/>
    </row>
    <row r="501">
      <c r="B501" s="12"/>
      <c r="C501" s="137"/>
    </row>
    <row r="502">
      <c r="B502" s="12"/>
      <c r="C502" s="137"/>
    </row>
    <row r="503">
      <c r="B503" s="12"/>
      <c r="C503" s="137"/>
    </row>
    <row r="504">
      <c r="B504" s="12"/>
      <c r="C504" s="137"/>
    </row>
    <row r="505">
      <c r="B505" s="12"/>
      <c r="C505" s="137"/>
    </row>
    <row r="506">
      <c r="B506" s="12"/>
      <c r="C506" s="137"/>
    </row>
    <row r="507">
      <c r="B507" s="12"/>
      <c r="C507" s="137"/>
    </row>
    <row r="508">
      <c r="B508" s="12"/>
      <c r="C508" s="137"/>
    </row>
    <row r="509">
      <c r="B509" s="12"/>
      <c r="C509" s="137"/>
    </row>
    <row r="510">
      <c r="B510" s="12"/>
      <c r="C510" s="137"/>
    </row>
    <row r="511">
      <c r="B511" s="12"/>
      <c r="C511" s="137"/>
    </row>
    <row r="512">
      <c r="B512" s="12"/>
      <c r="C512" s="137"/>
    </row>
    <row r="513">
      <c r="B513" s="12"/>
      <c r="C513" s="137"/>
    </row>
    <row r="514">
      <c r="B514" s="12"/>
      <c r="C514" s="137"/>
    </row>
    <row r="515">
      <c r="B515" s="12"/>
      <c r="C515" s="137"/>
    </row>
    <row r="516">
      <c r="B516" s="12"/>
      <c r="C516" s="137"/>
    </row>
    <row r="517">
      <c r="B517" s="12"/>
      <c r="C517" s="137"/>
    </row>
    <row r="518">
      <c r="B518" s="12"/>
      <c r="C518" s="137"/>
    </row>
    <row r="519">
      <c r="B519" s="12"/>
      <c r="C519" s="137"/>
    </row>
    <row r="520">
      <c r="B520" s="12"/>
      <c r="C520" s="137"/>
    </row>
    <row r="521">
      <c r="B521" s="12"/>
      <c r="C521" s="137"/>
    </row>
    <row r="522">
      <c r="B522" s="12"/>
      <c r="C522" s="137"/>
    </row>
    <row r="523">
      <c r="B523" s="12"/>
      <c r="C523" s="137"/>
    </row>
    <row r="524">
      <c r="B524" s="12"/>
      <c r="C524" s="137"/>
    </row>
    <row r="525">
      <c r="B525" s="12"/>
      <c r="C525" s="137"/>
    </row>
    <row r="526">
      <c r="B526" s="12"/>
      <c r="C526" s="137"/>
    </row>
    <row r="527">
      <c r="B527" s="12"/>
      <c r="C527" s="137"/>
    </row>
    <row r="528">
      <c r="B528" s="12"/>
      <c r="C528" s="137"/>
    </row>
    <row r="529">
      <c r="B529" s="12"/>
      <c r="C529" s="137"/>
    </row>
    <row r="530">
      <c r="B530" s="12"/>
      <c r="C530" s="137"/>
    </row>
    <row r="531">
      <c r="B531" s="12"/>
      <c r="C531" s="137"/>
    </row>
    <row r="532">
      <c r="B532" s="12"/>
      <c r="C532" s="137"/>
    </row>
    <row r="533">
      <c r="B533" s="12"/>
      <c r="C533" s="137"/>
    </row>
    <row r="534">
      <c r="B534" s="12"/>
      <c r="C534" s="137"/>
    </row>
    <row r="535">
      <c r="B535" s="12"/>
      <c r="C535" s="137"/>
    </row>
    <row r="536">
      <c r="B536" s="12"/>
      <c r="C536" s="137"/>
    </row>
    <row r="537">
      <c r="B537" s="12"/>
      <c r="C537" s="137"/>
    </row>
    <row r="538">
      <c r="B538" s="12"/>
      <c r="C538" s="137"/>
    </row>
    <row r="539">
      <c r="B539" s="12"/>
      <c r="C539" s="137"/>
    </row>
    <row r="540">
      <c r="B540" s="12"/>
      <c r="C540" s="137"/>
    </row>
    <row r="541">
      <c r="B541" s="12"/>
      <c r="C541" s="137"/>
    </row>
    <row r="542">
      <c r="B542" s="12"/>
      <c r="C542" s="137"/>
    </row>
    <row r="543">
      <c r="B543" s="12"/>
      <c r="C543" s="137"/>
    </row>
    <row r="544">
      <c r="B544" s="12"/>
      <c r="C544" s="137"/>
    </row>
    <row r="545">
      <c r="B545" s="12"/>
      <c r="C545" s="137"/>
    </row>
    <row r="546">
      <c r="B546" s="12"/>
      <c r="C546" s="137"/>
    </row>
    <row r="547">
      <c r="B547" s="12"/>
      <c r="C547" s="137"/>
    </row>
    <row r="548">
      <c r="B548" s="12"/>
      <c r="C548" s="137"/>
    </row>
    <row r="549">
      <c r="B549" s="12"/>
      <c r="C549" s="137"/>
    </row>
    <row r="550">
      <c r="B550" s="12"/>
      <c r="C550" s="137"/>
    </row>
    <row r="551">
      <c r="B551" s="12"/>
      <c r="C551" s="137"/>
    </row>
    <row r="552">
      <c r="B552" s="12"/>
      <c r="C552" s="137"/>
    </row>
    <row r="553">
      <c r="B553" s="12"/>
      <c r="C553" s="137"/>
    </row>
    <row r="554">
      <c r="B554" s="12"/>
      <c r="C554" s="137"/>
    </row>
    <row r="555">
      <c r="B555" s="12"/>
      <c r="C555" s="137"/>
    </row>
    <row r="556">
      <c r="B556" s="12"/>
      <c r="C556" s="137"/>
    </row>
    <row r="557">
      <c r="B557" s="12"/>
      <c r="C557" s="137"/>
    </row>
    <row r="558">
      <c r="B558" s="12"/>
      <c r="C558" s="137"/>
    </row>
    <row r="559">
      <c r="B559" s="12"/>
      <c r="C559" s="137"/>
    </row>
    <row r="560">
      <c r="B560" s="12"/>
      <c r="C560" s="137"/>
    </row>
    <row r="561">
      <c r="B561" s="12"/>
      <c r="C561" s="137"/>
    </row>
    <row r="562">
      <c r="B562" s="12"/>
      <c r="C562" s="137"/>
    </row>
    <row r="563">
      <c r="B563" s="12"/>
      <c r="C563" s="137"/>
    </row>
    <row r="564">
      <c r="B564" s="12"/>
      <c r="C564" s="137"/>
    </row>
    <row r="565">
      <c r="B565" s="12"/>
      <c r="C565" s="137"/>
    </row>
    <row r="566">
      <c r="B566" s="12"/>
      <c r="C566" s="137"/>
    </row>
    <row r="567">
      <c r="B567" s="12"/>
      <c r="C567" s="137"/>
    </row>
    <row r="568">
      <c r="B568" s="12"/>
      <c r="C568" s="137"/>
    </row>
    <row r="569">
      <c r="B569" s="12"/>
      <c r="C569" s="137"/>
    </row>
    <row r="570">
      <c r="B570" s="12"/>
      <c r="C570" s="137"/>
    </row>
    <row r="571">
      <c r="B571" s="12"/>
      <c r="C571" s="137"/>
    </row>
    <row r="572">
      <c r="B572" s="12"/>
      <c r="C572" s="137"/>
    </row>
    <row r="573">
      <c r="B573" s="12"/>
      <c r="C573" s="137"/>
    </row>
    <row r="574">
      <c r="B574" s="12"/>
      <c r="C574" s="137"/>
    </row>
    <row r="575">
      <c r="B575" s="12"/>
      <c r="C575" s="137"/>
    </row>
    <row r="576">
      <c r="B576" s="12"/>
      <c r="C576" s="137"/>
    </row>
    <row r="577">
      <c r="B577" s="12"/>
      <c r="C577" s="137"/>
    </row>
    <row r="578">
      <c r="B578" s="12"/>
      <c r="C578" s="137"/>
    </row>
    <row r="579">
      <c r="B579" s="12"/>
      <c r="C579" s="137"/>
    </row>
    <row r="580">
      <c r="B580" s="12"/>
      <c r="C580" s="137"/>
    </row>
    <row r="581">
      <c r="B581" s="12"/>
      <c r="C581" s="137"/>
    </row>
    <row r="582">
      <c r="B582" s="12"/>
      <c r="C582" s="137"/>
    </row>
    <row r="583">
      <c r="B583" s="12"/>
      <c r="C583" s="137"/>
    </row>
    <row r="584">
      <c r="B584" s="12"/>
      <c r="C584" s="137"/>
    </row>
    <row r="585">
      <c r="B585" s="12"/>
      <c r="C585" s="137"/>
    </row>
    <row r="586">
      <c r="B586" s="12"/>
      <c r="C586" s="137"/>
    </row>
    <row r="587">
      <c r="B587" s="12"/>
      <c r="C587" s="137"/>
    </row>
    <row r="588">
      <c r="B588" s="12"/>
      <c r="C588" s="137"/>
    </row>
    <row r="589">
      <c r="B589" s="12"/>
      <c r="C589" s="137"/>
    </row>
    <row r="590">
      <c r="B590" s="12"/>
      <c r="C590" s="137"/>
    </row>
    <row r="591">
      <c r="B591" s="12"/>
      <c r="C591" s="137"/>
    </row>
    <row r="592">
      <c r="B592" s="12"/>
      <c r="C592" s="137"/>
    </row>
    <row r="593">
      <c r="B593" s="12"/>
      <c r="C593" s="137"/>
    </row>
    <row r="594">
      <c r="B594" s="12"/>
      <c r="C594" s="137"/>
    </row>
    <row r="595">
      <c r="B595" s="12"/>
      <c r="C595" s="137"/>
    </row>
    <row r="596">
      <c r="B596" s="12"/>
      <c r="C596" s="137"/>
    </row>
    <row r="597">
      <c r="B597" s="12"/>
      <c r="C597" s="137"/>
    </row>
    <row r="598">
      <c r="B598" s="12"/>
      <c r="C598" s="137"/>
    </row>
    <row r="599">
      <c r="B599" s="12"/>
      <c r="C599" s="137"/>
    </row>
    <row r="600">
      <c r="B600" s="12"/>
      <c r="C600" s="137"/>
    </row>
    <row r="601">
      <c r="B601" s="12"/>
      <c r="C601" s="137"/>
    </row>
    <row r="602">
      <c r="B602" s="12"/>
      <c r="C602" s="137"/>
    </row>
    <row r="603">
      <c r="B603" s="12"/>
      <c r="C603" s="137"/>
    </row>
    <row r="604">
      <c r="B604" s="12"/>
      <c r="C604" s="137"/>
    </row>
    <row r="605">
      <c r="B605" s="12"/>
      <c r="C605" s="137"/>
    </row>
    <row r="606">
      <c r="B606" s="12"/>
      <c r="C606" s="137"/>
    </row>
    <row r="607">
      <c r="B607" s="12"/>
      <c r="C607" s="137"/>
    </row>
    <row r="608">
      <c r="B608" s="12"/>
      <c r="C608" s="137"/>
    </row>
    <row r="609">
      <c r="B609" s="12"/>
      <c r="C609" s="137"/>
    </row>
    <row r="610">
      <c r="B610" s="12"/>
      <c r="C610" s="137"/>
    </row>
    <row r="611">
      <c r="B611" s="12"/>
      <c r="C611" s="137"/>
    </row>
    <row r="612">
      <c r="B612" s="12"/>
      <c r="C612" s="137"/>
    </row>
    <row r="613">
      <c r="B613" s="12"/>
      <c r="C613" s="137"/>
    </row>
    <row r="614">
      <c r="B614" s="12"/>
      <c r="C614" s="137"/>
    </row>
    <row r="615">
      <c r="B615" s="12"/>
      <c r="C615" s="137"/>
    </row>
    <row r="616">
      <c r="B616" s="12"/>
      <c r="C616" s="137"/>
    </row>
    <row r="617">
      <c r="B617" s="12"/>
      <c r="C617" s="137"/>
    </row>
    <row r="618">
      <c r="B618" s="12"/>
      <c r="C618" s="137"/>
    </row>
    <row r="619">
      <c r="B619" s="12"/>
      <c r="C619" s="137"/>
    </row>
    <row r="620">
      <c r="B620" s="12"/>
      <c r="C620" s="137"/>
    </row>
    <row r="621">
      <c r="B621" s="12"/>
      <c r="C621" s="137"/>
    </row>
    <row r="622">
      <c r="B622" s="12"/>
      <c r="C622" s="137"/>
    </row>
    <row r="623">
      <c r="B623" s="12"/>
      <c r="C623" s="137"/>
    </row>
    <row r="624">
      <c r="B624" s="12"/>
      <c r="C624" s="137"/>
    </row>
    <row r="625">
      <c r="B625" s="12"/>
      <c r="C625" s="137"/>
    </row>
    <row r="626">
      <c r="B626" s="12"/>
      <c r="C626" s="137"/>
    </row>
    <row r="627">
      <c r="B627" s="12"/>
      <c r="C627" s="137"/>
    </row>
    <row r="628">
      <c r="B628" s="12"/>
      <c r="C628" s="137"/>
    </row>
    <row r="629">
      <c r="B629" s="12"/>
      <c r="C629" s="137"/>
    </row>
    <row r="630">
      <c r="B630" s="12"/>
      <c r="C630" s="137"/>
    </row>
    <row r="631">
      <c r="B631" s="12"/>
      <c r="C631" s="137"/>
    </row>
    <row r="632">
      <c r="B632" s="12"/>
      <c r="C632" s="137"/>
    </row>
    <row r="633">
      <c r="B633" s="12"/>
      <c r="C633" s="137"/>
    </row>
    <row r="634">
      <c r="B634" s="12"/>
      <c r="C634" s="137"/>
    </row>
    <row r="635">
      <c r="B635" s="12"/>
      <c r="C635" s="137"/>
    </row>
    <row r="636">
      <c r="B636" s="12"/>
      <c r="C636" s="137"/>
    </row>
    <row r="637">
      <c r="B637" s="12"/>
      <c r="C637" s="137"/>
    </row>
    <row r="638">
      <c r="B638" s="12"/>
      <c r="C638" s="137"/>
    </row>
    <row r="639">
      <c r="B639" s="12"/>
      <c r="C639" s="137"/>
    </row>
    <row r="640">
      <c r="B640" s="12"/>
      <c r="C640" s="137"/>
    </row>
    <row r="641">
      <c r="B641" s="12"/>
      <c r="C641" s="137"/>
    </row>
    <row r="642">
      <c r="B642" s="12"/>
      <c r="C642" s="137"/>
    </row>
    <row r="643">
      <c r="B643" s="12"/>
      <c r="C643" s="137"/>
    </row>
    <row r="644">
      <c r="B644" s="12"/>
      <c r="C644" s="137"/>
    </row>
    <row r="645">
      <c r="B645" s="12"/>
      <c r="C645" s="137"/>
    </row>
    <row r="646">
      <c r="B646" s="12"/>
      <c r="C646" s="137"/>
    </row>
    <row r="647">
      <c r="B647" s="12"/>
      <c r="C647" s="137"/>
    </row>
    <row r="648">
      <c r="B648" s="12"/>
      <c r="C648" s="137"/>
    </row>
    <row r="649">
      <c r="B649" s="12"/>
      <c r="C649" s="137"/>
    </row>
    <row r="650">
      <c r="B650" s="12"/>
      <c r="C650" s="137"/>
    </row>
    <row r="651">
      <c r="B651" s="12"/>
      <c r="C651" s="137"/>
    </row>
    <row r="652">
      <c r="B652" s="12"/>
      <c r="C652" s="137"/>
    </row>
    <row r="653">
      <c r="B653" s="12"/>
      <c r="C653" s="137"/>
    </row>
    <row r="654">
      <c r="B654" s="12"/>
      <c r="C654" s="137"/>
    </row>
    <row r="655">
      <c r="B655" s="12"/>
      <c r="C655" s="137"/>
    </row>
    <row r="656">
      <c r="B656" s="12"/>
      <c r="C656" s="137"/>
    </row>
    <row r="657">
      <c r="B657" s="12"/>
      <c r="C657" s="137"/>
    </row>
    <row r="658">
      <c r="B658" s="12"/>
      <c r="C658" s="137"/>
    </row>
    <row r="659">
      <c r="B659" s="12"/>
      <c r="C659" s="137"/>
    </row>
    <row r="660">
      <c r="B660" s="12"/>
      <c r="C660" s="137"/>
    </row>
    <row r="661">
      <c r="B661" s="12"/>
      <c r="C661" s="137"/>
    </row>
    <row r="662">
      <c r="B662" s="12"/>
      <c r="C662" s="137"/>
    </row>
    <row r="663">
      <c r="B663" s="12"/>
      <c r="C663" s="137"/>
    </row>
    <row r="664">
      <c r="B664" s="12"/>
      <c r="C664" s="137"/>
    </row>
    <row r="665">
      <c r="B665" s="12"/>
      <c r="C665" s="137"/>
    </row>
    <row r="666">
      <c r="B666" s="12"/>
      <c r="C666" s="137"/>
    </row>
    <row r="667">
      <c r="B667" s="12"/>
      <c r="C667" s="137"/>
    </row>
    <row r="668">
      <c r="B668" s="12"/>
      <c r="C668" s="137"/>
    </row>
    <row r="669">
      <c r="B669" s="12"/>
      <c r="C669" s="137"/>
    </row>
    <row r="670">
      <c r="B670" s="12"/>
      <c r="C670" s="137"/>
    </row>
    <row r="671">
      <c r="B671" s="12"/>
      <c r="C671" s="137"/>
    </row>
    <row r="672">
      <c r="B672" s="12"/>
      <c r="C672" s="137"/>
    </row>
    <row r="673">
      <c r="B673" s="12"/>
      <c r="C673" s="137"/>
    </row>
    <row r="674">
      <c r="B674" s="12"/>
      <c r="C674" s="137"/>
    </row>
    <row r="675">
      <c r="B675" s="12"/>
      <c r="C675" s="137"/>
    </row>
    <row r="676">
      <c r="B676" s="12"/>
      <c r="C676" s="137"/>
    </row>
    <row r="677">
      <c r="B677" s="12"/>
      <c r="C677" s="137"/>
    </row>
    <row r="678">
      <c r="B678" s="12"/>
      <c r="C678" s="137"/>
    </row>
    <row r="679">
      <c r="B679" s="12"/>
      <c r="C679" s="137"/>
    </row>
    <row r="680">
      <c r="B680" s="12"/>
      <c r="C680" s="137"/>
    </row>
    <row r="681">
      <c r="B681" s="12"/>
      <c r="C681" s="137"/>
    </row>
    <row r="682">
      <c r="B682" s="12"/>
      <c r="C682" s="137"/>
    </row>
    <row r="683">
      <c r="B683" s="12"/>
      <c r="C683" s="137"/>
    </row>
    <row r="684">
      <c r="B684" s="12"/>
      <c r="C684" s="137"/>
    </row>
    <row r="685">
      <c r="B685" s="12"/>
      <c r="C685" s="137"/>
    </row>
    <row r="686">
      <c r="B686" s="12"/>
      <c r="C686" s="137"/>
    </row>
    <row r="687">
      <c r="B687" s="12"/>
      <c r="C687" s="137"/>
    </row>
    <row r="688">
      <c r="B688" s="12"/>
      <c r="C688" s="137"/>
    </row>
    <row r="689">
      <c r="B689" s="12"/>
      <c r="C689" s="137"/>
    </row>
    <row r="690">
      <c r="B690" s="12"/>
      <c r="C690" s="137"/>
    </row>
    <row r="691">
      <c r="B691" s="12"/>
      <c r="C691" s="137"/>
    </row>
    <row r="692">
      <c r="B692" s="12"/>
      <c r="C692" s="137"/>
    </row>
    <row r="693">
      <c r="B693" s="12"/>
      <c r="C693" s="137"/>
    </row>
    <row r="694">
      <c r="B694" s="12"/>
      <c r="C694" s="137"/>
    </row>
    <row r="695">
      <c r="B695" s="12"/>
      <c r="C695" s="137"/>
    </row>
    <row r="696">
      <c r="B696" s="12"/>
      <c r="C696" s="137"/>
    </row>
    <row r="697">
      <c r="B697" s="12"/>
      <c r="C697" s="137"/>
    </row>
    <row r="698">
      <c r="B698" s="12"/>
      <c r="C698" s="137"/>
    </row>
    <row r="699">
      <c r="B699" s="12"/>
      <c r="C699" s="137"/>
    </row>
    <row r="700">
      <c r="B700" s="12"/>
      <c r="C700" s="137"/>
    </row>
    <row r="701">
      <c r="B701" s="12"/>
      <c r="C701" s="137"/>
    </row>
    <row r="702">
      <c r="B702" s="12"/>
      <c r="C702" s="137"/>
    </row>
    <row r="703">
      <c r="B703" s="12"/>
      <c r="C703" s="137"/>
    </row>
    <row r="704">
      <c r="B704" s="12"/>
      <c r="C704" s="137"/>
    </row>
    <row r="705">
      <c r="B705" s="12"/>
      <c r="C705" s="137"/>
    </row>
    <row r="706">
      <c r="B706" s="12"/>
      <c r="C706" s="137"/>
    </row>
    <row r="707">
      <c r="B707" s="12"/>
      <c r="C707" s="137"/>
    </row>
    <row r="708">
      <c r="B708" s="12"/>
      <c r="C708" s="137"/>
    </row>
    <row r="709">
      <c r="B709" s="12"/>
      <c r="C709" s="137"/>
    </row>
    <row r="710">
      <c r="B710" s="12"/>
      <c r="C710" s="137"/>
    </row>
    <row r="711">
      <c r="B711" s="12"/>
      <c r="C711" s="137"/>
    </row>
    <row r="712">
      <c r="B712" s="12"/>
      <c r="C712" s="137"/>
    </row>
    <row r="713">
      <c r="B713" s="12"/>
      <c r="C713" s="137"/>
    </row>
    <row r="714">
      <c r="B714" s="12"/>
      <c r="C714" s="137"/>
    </row>
    <row r="715">
      <c r="B715" s="12"/>
      <c r="C715" s="137"/>
    </row>
    <row r="716">
      <c r="B716" s="12"/>
      <c r="C716" s="137"/>
    </row>
    <row r="717">
      <c r="B717" s="12"/>
      <c r="C717" s="137"/>
    </row>
    <row r="718">
      <c r="B718" s="12"/>
      <c r="C718" s="137"/>
    </row>
    <row r="719">
      <c r="B719" s="12"/>
      <c r="C719" s="137"/>
    </row>
    <row r="720">
      <c r="B720" s="12"/>
      <c r="C720" s="137"/>
    </row>
    <row r="721">
      <c r="B721" s="12"/>
      <c r="C721" s="137"/>
    </row>
    <row r="722">
      <c r="B722" s="12"/>
      <c r="C722" s="137"/>
    </row>
    <row r="723">
      <c r="B723" s="12"/>
      <c r="C723" s="137"/>
    </row>
    <row r="724">
      <c r="B724" s="12"/>
      <c r="C724" s="137"/>
    </row>
    <row r="725">
      <c r="B725" s="12"/>
      <c r="C725" s="137"/>
    </row>
    <row r="726">
      <c r="B726" s="12"/>
      <c r="C726" s="137"/>
    </row>
    <row r="727">
      <c r="B727" s="12"/>
      <c r="C727" s="137"/>
    </row>
    <row r="728">
      <c r="B728" s="12"/>
      <c r="C728" s="137"/>
    </row>
    <row r="729">
      <c r="B729" s="12"/>
      <c r="C729" s="137"/>
    </row>
    <row r="730">
      <c r="B730" s="12"/>
      <c r="C730" s="137"/>
    </row>
    <row r="731">
      <c r="B731" s="12"/>
      <c r="C731" s="137"/>
    </row>
    <row r="732">
      <c r="B732" s="12"/>
      <c r="C732" s="137"/>
    </row>
    <row r="733">
      <c r="B733" s="12"/>
      <c r="C733" s="137"/>
    </row>
    <row r="734">
      <c r="B734" s="12"/>
      <c r="C734" s="137"/>
    </row>
    <row r="735">
      <c r="B735" s="12"/>
      <c r="C735" s="137"/>
    </row>
    <row r="736">
      <c r="B736" s="12"/>
      <c r="C736" s="137"/>
    </row>
    <row r="737">
      <c r="B737" s="12"/>
      <c r="C737" s="137"/>
    </row>
    <row r="738">
      <c r="B738" s="12"/>
      <c r="C738" s="137"/>
    </row>
    <row r="739">
      <c r="B739" s="12"/>
      <c r="C739" s="137"/>
    </row>
    <row r="740">
      <c r="B740" s="12"/>
      <c r="C740" s="137"/>
    </row>
    <row r="741">
      <c r="B741" s="12"/>
      <c r="C741" s="137"/>
    </row>
    <row r="742">
      <c r="B742" s="12"/>
      <c r="C742" s="137"/>
    </row>
    <row r="743">
      <c r="B743" s="12"/>
      <c r="C743" s="137"/>
    </row>
    <row r="744">
      <c r="B744" s="12"/>
      <c r="C744" s="137"/>
    </row>
    <row r="745">
      <c r="B745" s="12"/>
      <c r="C745" s="137"/>
    </row>
    <row r="746">
      <c r="B746" s="12"/>
      <c r="C746" s="137"/>
    </row>
    <row r="747">
      <c r="B747" s="12"/>
      <c r="C747" s="137"/>
    </row>
    <row r="748">
      <c r="B748" s="12"/>
      <c r="C748" s="137"/>
    </row>
    <row r="749">
      <c r="B749" s="12"/>
      <c r="C749" s="137"/>
    </row>
    <row r="750">
      <c r="B750" s="12"/>
      <c r="C750" s="137"/>
    </row>
    <row r="751">
      <c r="B751" s="12"/>
      <c r="C751" s="137"/>
    </row>
    <row r="752">
      <c r="B752" s="12"/>
      <c r="C752" s="137"/>
    </row>
    <row r="753">
      <c r="B753" s="12"/>
      <c r="C753" s="137"/>
    </row>
    <row r="754">
      <c r="B754" s="12"/>
      <c r="C754" s="137"/>
    </row>
    <row r="755">
      <c r="B755" s="12"/>
      <c r="C755" s="137"/>
    </row>
    <row r="756">
      <c r="B756" s="12"/>
      <c r="C756" s="137"/>
    </row>
    <row r="757">
      <c r="B757" s="12"/>
      <c r="C757" s="137"/>
    </row>
    <row r="758">
      <c r="B758" s="12"/>
      <c r="C758" s="137"/>
    </row>
    <row r="759">
      <c r="B759" s="12"/>
      <c r="C759" s="137"/>
    </row>
    <row r="760">
      <c r="B760" s="12"/>
      <c r="C760" s="137"/>
    </row>
    <row r="761">
      <c r="B761" s="12"/>
      <c r="C761" s="137"/>
    </row>
    <row r="762">
      <c r="B762" s="12"/>
      <c r="C762" s="137"/>
    </row>
    <row r="763">
      <c r="B763" s="12"/>
      <c r="C763" s="137"/>
    </row>
    <row r="764">
      <c r="B764" s="12"/>
      <c r="C764" s="137"/>
    </row>
    <row r="765">
      <c r="B765" s="12"/>
      <c r="C765" s="137"/>
    </row>
    <row r="766">
      <c r="B766" s="12"/>
      <c r="C766" s="137"/>
    </row>
    <row r="767">
      <c r="B767" s="12"/>
      <c r="C767" s="137"/>
    </row>
    <row r="768">
      <c r="B768" s="12"/>
      <c r="C768" s="137"/>
    </row>
    <row r="769">
      <c r="B769" s="12"/>
      <c r="C769" s="137"/>
    </row>
    <row r="770">
      <c r="B770" s="12"/>
      <c r="C770" s="137"/>
    </row>
    <row r="771">
      <c r="B771" s="12"/>
      <c r="C771" s="137"/>
    </row>
    <row r="772">
      <c r="B772" s="12"/>
      <c r="C772" s="137"/>
    </row>
    <row r="773">
      <c r="B773" s="12"/>
      <c r="C773" s="137"/>
    </row>
    <row r="774">
      <c r="B774" s="12"/>
      <c r="C774" s="137"/>
    </row>
    <row r="775">
      <c r="B775" s="12"/>
      <c r="C775" s="137"/>
    </row>
    <row r="776">
      <c r="B776" s="12"/>
      <c r="C776" s="137"/>
    </row>
    <row r="777">
      <c r="B777" s="12"/>
      <c r="C777" s="137"/>
    </row>
    <row r="778">
      <c r="B778" s="12"/>
      <c r="C778" s="137"/>
    </row>
    <row r="779">
      <c r="B779" s="12"/>
      <c r="C779" s="137"/>
    </row>
    <row r="780">
      <c r="B780" s="12"/>
      <c r="C780" s="137"/>
    </row>
    <row r="781">
      <c r="B781" s="12"/>
      <c r="C781" s="137"/>
    </row>
    <row r="782">
      <c r="B782" s="12"/>
      <c r="C782" s="137"/>
    </row>
    <row r="783">
      <c r="B783" s="12"/>
      <c r="C783" s="137"/>
    </row>
    <row r="784">
      <c r="B784" s="12"/>
      <c r="C784" s="137"/>
    </row>
    <row r="785">
      <c r="B785" s="12"/>
      <c r="C785" s="137"/>
    </row>
    <row r="786">
      <c r="B786" s="12"/>
      <c r="C786" s="137"/>
    </row>
    <row r="787">
      <c r="B787" s="12"/>
      <c r="C787" s="137"/>
    </row>
    <row r="788">
      <c r="B788" s="12"/>
      <c r="C788" s="137"/>
    </row>
    <row r="789">
      <c r="B789" s="12"/>
      <c r="C789" s="137"/>
    </row>
    <row r="790">
      <c r="B790" s="12"/>
      <c r="C790" s="137"/>
    </row>
    <row r="791">
      <c r="B791" s="12"/>
      <c r="C791" s="137"/>
    </row>
    <row r="792">
      <c r="B792" s="12"/>
      <c r="C792" s="137"/>
    </row>
    <row r="793">
      <c r="B793" s="12"/>
      <c r="C793" s="137"/>
    </row>
    <row r="794">
      <c r="B794" s="12"/>
      <c r="C794" s="137"/>
    </row>
    <row r="795">
      <c r="B795" s="12"/>
      <c r="C795" s="137"/>
    </row>
    <row r="796">
      <c r="B796" s="12"/>
      <c r="C796" s="137"/>
    </row>
    <row r="797">
      <c r="B797" s="12"/>
      <c r="C797" s="137"/>
    </row>
    <row r="798">
      <c r="B798" s="12"/>
      <c r="C798" s="137"/>
    </row>
    <row r="799">
      <c r="B799" s="12"/>
      <c r="C799" s="137"/>
    </row>
    <row r="800">
      <c r="B800" s="12"/>
      <c r="C800" s="137"/>
    </row>
    <row r="801">
      <c r="B801" s="12"/>
      <c r="C801" s="137"/>
    </row>
    <row r="802">
      <c r="B802" s="12"/>
      <c r="C802" s="137"/>
    </row>
    <row r="803">
      <c r="B803" s="12"/>
      <c r="C803" s="137"/>
    </row>
    <row r="804">
      <c r="B804" s="12"/>
      <c r="C804" s="137"/>
    </row>
    <row r="805">
      <c r="B805" s="12"/>
      <c r="C805" s="137"/>
    </row>
    <row r="806">
      <c r="B806" s="12"/>
      <c r="C806" s="137"/>
    </row>
    <row r="807">
      <c r="B807" s="12"/>
      <c r="C807" s="137"/>
    </row>
    <row r="808">
      <c r="B808" s="12"/>
      <c r="C808" s="137"/>
    </row>
    <row r="809">
      <c r="B809" s="12"/>
      <c r="C809" s="137"/>
    </row>
    <row r="810">
      <c r="B810" s="12"/>
      <c r="C810" s="137"/>
    </row>
    <row r="811">
      <c r="B811" s="12"/>
      <c r="C811" s="137"/>
    </row>
    <row r="812">
      <c r="B812" s="12"/>
      <c r="C812" s="137"/>
    </row>
    <row r="813">
      <c r="B813" s="12"/>
      <c r="C813" s="137"/>
    </row>
    <row r="814">
      <c r="B814" s="12"/>
      <c r="C814" s="137"/>
    </row>
    <row r="815">
      <c r="B815" s="12"/>
      <c r="C815" s="137"/>
    </row>
    <row r="816">
      <c r="B816" s="12"/>
      <c r="C816" s="137"/>
    </row>
    <row r="817">
      <c r="B817" s="12"/>
      <c r="C817" s="137"/>
    </row>
    <row r="818">
      <c r="B818" s="12"/>
      <c r="C818" s="137"/>
    </row>
    <row r="819">
      <c r="B819" s="12"/>
      <c r="C819" s="137"/>
    </row>
    <row r="820">
      <c r="B820" s="12"/>
      <c r="C820" s="137"/>
    </row>
    <row r="821">
      <c r="B821" s="12"/>
      <c r="C821" s="137"/>
    </row>
    <row r="822">
      <c r="B822" s="12"/>
      <c r="C822" s="137"/>
    </row>
    <row r="823">
      <c r="B823" s="12"/>
      <c r="C823" s="137"/>
    </row>
    <row r="824">
      <c r="B824" s="12"/>
      <c r="C824" s="137"/>
    </row>
    <row r="825">
      <c r="B825" s="12"/>
      <c r="C825" s="137"/>
    </row>
    <row r="826">
      <c r="B826" s="12"/>
      <c r="C826" s="137"/>
    </row>
    <row r="827">
      <c r="B827" s="12"/>
      <c r="C827" s="137"/>
    </row>
    <row r="828">
      <c r="B828" s="12"/>
      <c r="C828" s="137"/>
    </row>
    <row r="829">
      <c r="B829" s="12"/>
      <c r="C829" s="137"/>
    </row>
    <row r="830">
      <c r="B830" s="12"/>
      <c r="C830" s="137"/>
    </row>
    <row r="831">
      <c r="B831" s="12"/>
      <c r="C831" s="137"/>
    </row>
    <row r="832">
      <c r="B832" s="12"/>
      <c r="C832" s="137"/>
    </row>
    <row r="833">
      <c r="B833" s="12"/>
      <c r="C833" s="137"/>
    </row>
    <row r="834">
      <c r="B834" s="12"/>
      <c r="C834" s="137"/>
    </row>
    <row r="835">
      <c r="B835" s="12"/>
      <c r="C835" s="137"/>
    </row>
    <row r="836">
      <c r="B836" s="12"/>
      <c r="C836" s="137"/>
    </row>
    <row r="837">
      <c r="B837" s="12"/>
      <c r="C837" s="137"/>
    </row>
    <row r="838">
      <c r="B838" s="12"/>
      <c r="C838" s="137"/>
    </row>
    <row r="839">
      <c r="B839" s="12"/>
      <c r="C839" s="137"/>
    </row>
    <row r="840">
      <c r="B840" s="12"/>
      <c r="C840" s="137"/>
    </row>
    <row r="841">
      <c r="B841" s="12"/>
      <c r="C841" s="137"/>
    </row>
    <row r="842">
      <c r="B842" s="12"/>
      <c r="C842" s="137"/>
    </row>
    <row r="843">
      <c r="B843" s="12"/>
      <c r="C843" s="137"/>
    </row>
    <row r="844">
      <c r="B844" s="12"/>
      <c r="C844" s="137"/>
    </row>
    <row r="845">
      <c r="B845" s="12"/>
      <c r="C845" s="137"/>
    </row>
    <row r="846">
      <c r="B846" s="12"/>
      <c r="C846" s="137"/>
    </row>
    <row r="847">
      <c r="B847" s="12"/>
      <c r="C847" s="137"/>
    </row>
    <row r="848">
      <c r="B848" s="12"/>
      <c r="C848" s="137"/>
    </row>
    <row r="849">
      <c r="B849" s="12"/>
      <c r="C849" s="137"/>
    </row>
    <row r="850">
      <c r="B850" s="12"/>
      <c r="C850" s="137"/>
    </row>
    <row r="851">
      <c r="B851" s="12"/>
      <c r="C851" s="137"/>
    </row>
    <row r="852">
      <c r="B852" s="12"/>
      <c r="C852" s="137"/>
    </row>
    <row r="853">
      <c r="B853" s="12"/>
      <c r="C853" s="137"/>
    </row>
    <row r="854">
      <c r="B854" s="12"/>
      <c r="C854" s="137"/>
    </row>
    <row r="855">
      <c r="B855" s="12"/>
      <c r="C855" s="137"/>
    </row>
    <row r="856">
      <c r="B856" s="12"/>
      <c r="C856" s="137"/>
    </row>
    <row r="857">
      <c r="B857" s="12"/>
      <c r="C857" s="137"/>
    </row>
    <row r="858">
      <c r="B858" s="12"/>
      <c r="C858" s="137"/>
    </row>
    <row r="859">
      <c r="B859" s="12"/>
      <c r="C859" s="137"/>
    </row>
    <row r="860">
      <c r="B860" s="12"/>
      <c r="C860" s="137"/>
    </row>
    <row r="861">
      <c r="B861" s="12"/>
      <c r="C861" s="137"/>
    </row>
    <row r="862">
      <c r="B862" s="12"/>
      <c r="C862" s="137"/>
    </row>
    <row r="863">
      <c r="B863" s="12"/>
      <c r="C863" s="137"/>
    </row>
    <row r="864">
      <c r="B864" s="12"/>
      <c r="C864" s="137"/>
    </row>
    <row r="865">
      <c r="B865" s="12"/>
      <c r="C865" s="137"/>
    </row>
    <row r="866">
      <c r="B866" s="12"/>
      <c r="C866" s="137"/>
    </row>
    <row r="867">
      <c r="B867" s="12"/>
      <c r="C867" s="137"/>
    </row>
    <row r="868">
      <c r="B868" s="12"/>
      <c r="C868" s="137"/>
    </row>
    <row r="869">
      <c r="B869" s="12"/>
      <c r="C869" s="137"/>
    </row>
    <row r="870">
      <c r="B870" s="12"/>
      <c r="C870" s="137"/>
    </row>
    <row r="871">
      <c r="B871" s="12"/>
      <c r="C871" s="137"/>
    </row>
    <row r="872">
      <c r="B872" s="12"/>
      <c r="C872" s="137"/>
    </row>
    <row r="873">
      <c r="B873" s="12"/>
      <c r="C873" s="137"/>
    </row>
    <row r="874">
      <c r="B874" s="12"/>
      <c r="C874" s="137"/>
    </row>
    <row r="875">
      <c r="B875" s="12"/>
      <c r="C875" s="137"/>
    </row>
    <row r="876">
      <c r="B876" s="12"/>
      <c r="C876" s="137"/>
    </row>
    <row r="877">
      <c r="B877" s="12"/>
      <c r="C877" s="137"/>
    </row>
    <row r="878">
      <c r="B878" s="12"/>
      <c r="C878" s="137"/>
    </row>
    <row r="879">
      <c r="B879" s="12"/>
      <c r="C879" s="137"/>
    </row>
    <row r="880">
      <c r="B880" s="12"/>
      <c r="C880" s="137"/>
    </row>
    <row r="881">
      <c r="B881" s="12"/>
      <c r="C881" s="137"/>
    </row>
    <row r="882">
      <c r="B882" s="12"/>
      <c r="C882" s="137"/>
    </row>
    <row r="883">
      <c r="B883" s="12"/>
      <c r="C883" s="137"/>
    </row>
    <row r="884">
      <c r="B884" s="12"/>
      <c r="C884" s="137"/>
    </row>
    <row r="885">
      <c r="B885" s="12"/>
      <c r="C885" s="137"/>
    </row>
    <row r="886">
      <c r="B886" s="12"/>
      <c r="C886" s="137"/>
    </row>
    <row r="887">
      <c r="B887" s="12"/>
      <c r="C887" s="137"/>
    </row>
    <row r="888">
      <c r="B888" s="12"/>
      <c r="C888" s="137"/>
    </row>
    <row r="889">
      <c r="B889" s="12"/>
      <c r="C889" s="137"/>
    </row>
    <row r="890">
      <c r="B890" s="12"/>
      <c r="C890" s="137"/>
    </row>
    <row r="891">
      <c r="B891" s="12"/>
      <c r="C891" s="137"/>
    </row>
    <row r="892">
      <c r="B892" s="12"/>
      <c r="C892" s="137"/>
    </row>
    <row r="893">
      <c r="B893" s="12"/>
      <c r="C893" s="137"/>
    </row>
    <row r="894">
      <c r="B894" s="12"/>
      <c r="C894" s="137"/>
    </row>
    <row r="895">
      <c r="B895" s="12"/>
      <c r="C895" s="137"/>
    </row>
    <row r="896">
      <c r="B896" s="12"/>
      <c r="C896" s="137"/>
    </row>
    <row r="897">
      <c r="B897" s="12"/>
      <c r="C897" s="137"/>
    </row>
    <row r="898">
      <c r="B898" s="12"/>
      <c r="C898" s="137"/>
    </row>
    <row r="899">
      <c r="B899" s="12"/>
      <c r="C899" s="137"/>
    </row>
    <row r="900">
      <c r="B900" s="12"/>
      <c r="C900" s="137"/>
    </row>
    <row r="901">
      <c r="B901" s="12"/>
      <c r="C901" s="137"/>
    </row>
    <row r="902">
      <c r="B902" s="12"/>
      <c r="C902" s="137"/>
    </row>
    <row r="903">
      <c r="B903" s="12"/>
      <c r="C903" s="137"/>
    </row>
    <row r="904">
      <c r="B904" s="12"/>
      <c r="C904" s="137"/>
    </row>
    <row r="905">
      <c r="B905" s="12"/>
      <c r="C905" s="137"/>
    </row>
    <row r="906">
      <c r="B906" s="12"/>
      <c r="C906" s="137"/>
    </row>
    <row r="907">
      <c r="B907" s="12"/>
      <c r="C907" s="137"/>
    </row>
    <row r="908">
      <c r="B908" s="12"/>
      <c r="C908" s="137"/>
    </row>
    <row r="909">
      <c r="B909" s="12"/>
      <c r="C909" s="137"/>
    </row>
    <row r="910">
      <c r="B910" s="12"/>
      <c r="C910" s="137"/>
    </row>
    <row r="911">
      <c r="B911" s="12"/>
      <c r="C911" s="137"/>
    </row>
    <row r="912">
      <c r="B912" s="12"/>
      <c r="C912" s="137"/>
    </row>
    <row r="913">
      <c r="B913" s="12"/>
      <c r="C913" s="137"/>
    </row>
    <row r="914">
      <c r="B914" s="12"/>
      <c r="C914" s="137"/>
    </row>
    <row r="915">
      <c r="B915" s="12"/>
      <c r="C915" s="137"/>
    </row>
    <row r="916">
      <c r="B916" s="12"/>
      <c r="C916" s="137"/>
    </row>
    <row r="917">
      <c r="B917" s="12"/>
      <c r="C917" s="137"/>
    </row>
    <row r="918">
      <c r="B918" s="12"/>
      <c r="C918" s="137"/>
    </row>
    <row r="919">
      <c r="B919" s="12"/>
      <c r="C919" s="137"/>
    </row>
    <row r="920">
      <c r="B920" s="12"/>
      <c r="C920" s="137"/>
    </row>
    <row r="921">
      <c r="B921" s="12"/>
      <c r="C921" s="137"/>
    </row>
    <row r="922">
      <c r="B922" s="12"/>
      <c r="C922" s="137"/>
    </row>
    <row r="923">
      <c r="B923" s="12"/>
      <c r="C923" s="137"/>
    </row>
    <row r="924">
      <c r="B924" s="12"/>
      <c r="C924" s="137"/>
    </row>
    <row r="925">
      <c r="B925" s="12"/>
      <c r="C925" s="137"/>
    </row>
    <row r="926">
      <c r="B926" s="12"/>
      <c r="C926" s="137"/>
    </row>
    <row r="927">
      <c r="B927" s="12"/>
      <c r="C927" s="137"/>
    </row>
    <row r="928">
      <c r="B928" s="12"/>
      <c r="C928" s="137"/>
    </row>
    <row r="929">
      <c r="B929" s="12"/>
      <c r="C929" s="137"/>
    </row>
    <row r="930">
      <c r="B930" s="12"/>
      <c r="C930" s="137"/>
    </row>
    <row r="931">
      <c r="B931" s="12"/>
      <c r="C931" s="137"/>
    </row>
    <row r="932">
      <c r="B932" s="12"/>
      <c r="C932" s="137"/>
    </row>
    <row r="933">
      <c r="B933" s="12"/>
      <c r="C933" s="137"/>
    </row>
    <row r="934">
      <c r="B934" s="12"/>
      <c r="C934" s="137"/>
    </row>
    <row r="935">
      <c r="B935" s="12"/>
      <c r="C935" s="137"/>
    </row>
    <row r="936">
      <c r="B936" s="12"/>
      <c r="C936" s="137"/>
    </row>
    <row r="937">
      <c r="B937" s="12"/>
      <c r="C937" s="137"/>
    </row>
    <row r="938">
      <c r="B938" s="12"/>
      <c r="C938" s="137"/>
    </row>
    <row r="939">
      <c r="B939" s="12"/>
      <c r="C939" s="137"/>
    </row>
    <row r="940">
      <c r="B940" s="12"/>
      <c r="C940" s="137"/>
    </row>
    <row r="941">
      <c r="B941" s="12"/>
      <c r="C941" s="137"/>
    </row>
    <row r="942">
      <c r="B942" s="12"/>
      <c r="C942" s="137"/>
    </row>
    <row r="943">
      <c r="B943" s="12"/>
      <c r="C943" s="137"/>
    </row>
    <row r="944">
      <c r="B944" s="12"/>
      <c r="C944" s="137"/>
    </row>
    <row r="945">
      <c r="B945" s="12"/>
      <c r="C945" s="137"/>
    </row>
    <row r="946">
      <c r="B946" s="12"/>
      <c r="C946" s="137"/>
    </row>
    <row r="947">
      <c r="B947" s="12"/>
      <c r="C947" s="137"/>
    </row>
    <row r="948">
      <c r="B948" s="12"/>
      <c r="C948" s="137"/>
    </row>
    <row r="949">
      <c r="B949" s="12"/>
      <c r="C949" s="137"/>
    </row>
    <row r="950">
      <c r="B950" s="12"/>
      <c r="C950" s="137"/>
    </row>
    <row r="951">
      <c r="B951" s="12"/>
      <c r="C951" s="137"/>
    </row>
    <row r="952">
      <c r="B952" s="12"/>
      <c r="C952" s="137"/>
    </row>
    <row r="953">
      <c r="B953" s="12"/>
      <c r="C953" s="137"/>
    </row>
    <row r="954">
      <c r="B954" s="12"/>
      <c r="C954" s="137"/>
    </row>
    <row r="955">
      <c r="B955" s="12"/>
      <c r="C955" s="137"/>
    </row>
    <row r="956">
      <c r="B956" s="12"/>
      <c r="C956" s="137"/>
    </row>
    <row r="957">
      <c r="B957" s="12"/>
      <c r="C957" s="137"/>
    </row>
    <row r="958">
      <c r="B958" s="12"/>
      <c r="C958" s="137"/>
    </row>
    <row r="959">
      <c r="B959" s="12"/>
      <c r="C959" s="137"/>
    </row>
    <row r="960">
      <c r="B960" s="12"/>
      <c r="C960" s="137"/>
    </row>
    <row r="961">
      <c r="B961" s="12"/>
      <c r="C961" s="137"/>
    </row>
    <row r="962">
      <c r="B962" s="12"/>
      <c r="C962" s="137"/>
    </row>
    <row r="963">
      <c r="B963" s="12"/>
      <c r="C963" s="137"/>
    </row>
    <row r="964">
      <c r="B964" s="12"/>
      <c r="C964" s="137"/>
    </row>
    <row r="965">
      <c r="B965" s="12"/>
      <c r="C965" s="137"/>
    </row>
    <row r="966">
      <c r="B966" s="12"/>
      <c r="C966" s="137"/>
    </row>
    <row r="967">
      <c r="B967" s="12"/>
      <c r="C967" s="137"/>
    </row>
    <row r="968">
      <c r="B968" s="12"/>
      <c r="C968" s="137"/>
    </row>
    <row r="969">
      <c r="B969" s="12"/>
      <c r="C969" s="137"/>
    </row>
    <row r="970">
      <c r="B970" s="12"/>
      <c r="C970" s="137"/>
    </row>
    <row r="971">
      <c r="B971" s="12"/>
      <c r="C971" s="137"/>
    </row>
    <row r="972">
      <c r="B972" s="12"/>
      <c r="C972" s="137"/>
    </row>
    <row r="973">
      <c r="B973" s="12"/>
      <c r="C973" s="137"/>
    </row>
    <row r="974">
      <c r="B974" s="12"/>
      <c r="C974" s="137"/>
    </row>
    <row r="975">
      <c r="B975" s="12"/>
      <c r="C975" s="137"/>
    </row>
    <row r="976">
      <c r="B976" s="12"/>
      <c r="C976" s="137"/>
    </row>
    <row r="977">
      <c r="B977" s="12"/>
      <c r="C977" s="137"/>
    </row>
    <row r="978">
      <c r="B978" s="12"/>
      <c r="C978" s="137"/>
    </row>
    <row r="979">
      <c r="B979" s="12"/>
      <c r="C979" s="137"/>
    </row>
    <row r="980">
      <c r="B980" s="12"/>
      <c r="C980" s="137"/>
    </row>
    <row r="981">
      <c r="B981" s="12"/>
      <c r="C981" s="137"/>
    </row>
    <row r="982">
      <c r="B982" s="12"/>
      <c r="C982" s="137"/>
    </row>
    <row r="983">
      <c r="B983" s="12"/>
      <c r="C983" s="137"/>
    </row>
    <row r="984">
      <c r="B984" s="12"/>
      <c r="C984" s="137"/>
    </row>
    <row r="985">
      <c r="B985" s="12"/>
      <c r="C985" s="137"/>
    </row>
    <row r="986">
      <c r="B986" s="12"/>
      <c r="C986" s="137"/>
    </row>
    <row r="987">
      <c r="B987" s="12"/>
      <c r="C987" s="137"/>
    </row>
    <row r="988">
      <c r="B988" s="12"/>
      <c r="C988" s="137"/>
    </row>
    <row r="989">
      <c r="B989" s="12"/>
      <c r="C989" s="137"/>
    </row>
    <row r="990">
      <c r="B990" s="12"/>
      <c r="C990" s="137"/>
    </row>
    <row r="991">
      <c r="B991" s="12"/>
      <c r="C991" s="137"/>
    </row>
    <row r="992">
      <c r="B992" s="12"/>
      <c r="C992" s="137"/>
    </row>
    <row r="993">
      <c r="B993" s="12"/>
      <c r="C993" s="137"/>
    </row>
    <row r="994">
      <c r="B994" s="12"/>
      <c r="C994" s="137"/>
    </row>
    <row r="995">
      <c r="B995" s="12"/>
      <c r="C995" s="137"/>
    </row>
    <row r="996">
      <c r="B996" s="12"/>
      <c r="C996" s="137"/>
    </row>
    <row r="997">
      <c r="B997" s="12"/>
      <c r="C997" s="137"/>
    </row>
    <row r="998">
      <c r="B998" s="12"/>
      <c r="C998" s="137"/>
    </row>
    <row r="999">
      <c r="B999" s="12"/>
      <c r="C999" s="137"/>
    </row>
    <row r="1000">
      <c r="B1000" s="12"/>
      <c r="C1000" s="137"/>
    </row>
    <row r="1001">
      <c r="B1001" s="12"/>
      <c r="C1001" s="13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C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0"/>
    <col customWidth="1" min="2" max="2" width="21.0"/>
    <col customWidth="1" min="3" max="3" width="18.75"/>
    <col customWidth="1" min="4" max="4" width="16.0"/>
    <col customWidth="1" min="7" max="7" width="20.5"/>
    <col customWidth="1" min="8" max="8" width="58.13"/>
    <col customWidth="1" min="9" max="9" width="16.63"/>
    <col hidden="1" min="10" max="10" width="12.63"/>
  </cols>
  <sheetData>
    <row r="1">
      <c r="A1" s="274" t="s">
        <v>444</v>
      </c>
      <c r="B1" s="275"/>
      <c r="C1" s="276"/>
      <c r="D1" s="277"/>
      <c r="E1" s="278"/>
      <c r="F1" s="279"/>
      <c r="G1" s="280"/>
      <c r="H1" s="281"/>
      <c r="I1" s="277"/>
      <c r="J1" s="277"/>
    </row>
    <row r="2">
      <c r="A2" s="152" t="s">
        <v>445</v>
      </c>
      <c r="B2" s="152"/>
      <c r="C2" s="152"/>
      <c r="D2" s="152"/>
      <c r="E2" s="152"/>
      <c r="F2" s="152"/>
      <c r="G2" s="152"/>
      <c r="H2" s="152"/>
    </row>
    <row r="3">
      <c r="A3" s="152" t="s">
        <v>446</v>
      </c>
      <c r="B3" s="152"/>
      <c r="C3" s="152"/>
      <c r="D3" s="152"/>
      <c r="E3" s="152"/>
      <c r="F3" s="152"/>
      <c r="G3" s="152"/>
      <c r="H3" s="152"/>
    </row>
    <row r="4">
      <c r="A4" s="152" t="s">
        <v>447</v>
      </c>
      <c r="B4" s="152"/>
      <c r="C4" s="152"/>
      <c r="D4" s="152"/>
      <c r="E4" s="152"/>
      <c r="F4" s="152"/>
      <c r="G4" s="152"/>
      <c r="H4" s="152"/>
    </row>
    <row r="5">
      <c r="A5" s="152" t="s">
        <v>448</v>
      </c>
      <c r="B5" s="152"/>
      <c r="C5" s="152"/>
      <c r="D5" s="152"/>
      <c r="E5" s="152"/>
      <c r="F5" s="152"/>
      <c r="G5" s="152"/>
      <c r="H5" s="152"/>
    </row>
    <row r="6">
      <c r="A6" s="152" t="s">
        <v>449</v>
      </c>
      <c r="B6" s="152"/>
      <c r="C6" s="152"/>
      <c r="D6" s="152"/>
      <c r="E6" s="152"/>
      <c r="F6" s="152"/>
      <c r="G6" s="152"/>
      <c r="H6" s="152"/>
    </row>
    <row r="7">
      <c r="A7" s="153"/>
      <c r="B7" s="154"/>
      <c r="C7" s="155"/>
      <c r="D7" s="156"/>
      <c r="E7" s="157"/>
      <c r="F7" s="12"/>
      <c r="G7" s="158"/>
    </row>
    <row r="8">
      <c r="A8" s="86" t="s">
        <v>199</v>
      </c>
      <c r="B8" s="159" t="s">
        <v>53</v>
      </c>
      <c r="C8" s="159" t="s">
        <v>200</v>
      </c>
      <c r="D8" s="159" t="s">
        <v>201</v>
      </c>
      <c r="E8" s="157"/>
      <c r="F8" s="160" t="s">
        <v>199</v>
      </c>
      <c r="G8" s="161" t="s">
        <v>53</v>
      </c>
      <c r="H8" s="162" t="s">
        <v>202</v>
      </c>
      <c r="I8" s="163" t="s">
        <v>203</v>
      </c>
    </row>
    <row r="9">
      <c r="A9" s="164" t="str">
        <f>if('Dolorón_Import'!B5=true,"Yes!","No")</f>
        <v>Yes!</v>
      </c>
      <c r="B9" s="165" t="s">
        <v>409</v>
      </c>
      <c r="C9" s="166" t="s">
        <v>205</v>
      </c>
      <c r="D9" s="167" t="s">
        <v>206</v>
      </c>
      <c r="F9" s="168" t="str">
        <f>if('Dolorón_Import'!B24=true,"Yes!","No")</f>
        <v>Yes!</v>
      </c>
      <c r="G9" s="169" t="s">
        <v>294</v>
      </c>
      <c r="H9" s="170" t="s">
        <v>208</v>
      </c>
      <c r="I9" s="171" t="s">
        <v>209</v>
      </c>
      <c r="J9" s="172">
        <f>COUNTif(F9,"Yes!")</f>
        <v>1</v>
      </c>
    </row>
    <row r="10">
      <c r="A10" s="173" t="str">
        <f>if('Dolorón_Import'!B6=true,"Yes!","No")</f>
        <v>No</v>
      </c>
      <c r="B10" s="174" t="s">
        <v>452</v>
      </c>
      <c r="C10" s="175" t="s">
        <v>212</v>
      </c>
      <c r="D10" s="176" t="s">
        <v>206</v>
      </c>
      <c r="F10" s="194" t="str">
        <f>if('Dolorón_Import'!B25=true,"Yes!","No")</f>
        <v>No</v>
      </c>
      <c r="G10" s="195" t="s">
        <v>416</v>
      </c>
      <c r="H10" s="282" t="s">
        <v>453</v>
      </c>
      <c r="I10" s="250" t="s">
        <v>267</v>
      </c>
      <c r="J10" s="172">
        <f>COUNTif(F10:F12,"Yes!")</f>
        <v>0</v>
      </c>
    </row>
    <row r="11">
      <c r="A11" s="173" t="str">
        <f>if('Dolorón_Import'!B7=true,"Yes!","No")</f>
        <v>Yes!</v>
      </c>
      <c r="B11" s="174" t="s">
        <v>454</v>
      </c>
      <c r="C11" s="175" t="s">
        <v>217</v>
      </c>
      <c r="D11" s="176" t="s">
        <v>206</v>
      </c>
      <c r="F11" s="183" t="str">
        <f>if('Dolorón_Import'!B26=true,"Yes!","No")</f>
        <v>No</v>
      </c>
      <c r="G11" s="184" t="s">
        <v>455</v>
      </c>
      <c r="H11" s="283" t="s">
        <v>453</v>
      </c>
      <c r="I11" s="182"/>
      <c r="J11" s="172"/>
    </row>
    <row r="12">
      <c r="A12" s="173" t="str">
        <f>if('Dolorón_Import'!B8=true,"Yes!","No")</f>
        <v>Yes!</v>
      </c>
      <c r="B12" s="174" t="s">
        <v>380</v>
      </c>
      <c r="C12" s="175" t="s">
        <v>221</v>
      </c>
      <c r="D12" s="176" t="s">
        <v>222</v>
      </c>
      <c r="F12" s="207" t="str">
        <f>if('Dolorón_Import'!B27=true,"Yes!","No")</f>
        <v>No</v>
      </c>
      <c r="G12" s="208" t="s">
        <v>368</v>
      </c>
      <c r="H12" s="284" t="s">
        <v>453</v>
      </c>
      <c r="I12" s="189"/>
      <c r="J12" s="172"/>
    </row>
    <row r="13">
      <c r="A13" s="173" t="str">
        <f>if('Dolorón_Import'!B9=true,"Yes!","No")</f>
        <v>Yes!</v>
      </c>
      <c r="B13" s="174" t="s">
        <v>279</v>
      </c>
      <c r="C13" s="175" t="s">
        <v>226</v>
      </c>
      <c r="D13" s="176" t="s">
        <v>457</v>
      </c>
      <c r="F13" s="177" t="str">
        <f>if('Dolorón_Import'!B28=true,"Yes!","No")</f>
        <v>Yes!</v>
      </c>
      <c r="G13" s="169" t="s">
        <v>300</v>
      </c>
      <c r="H13" s="285" t="s">
        <v>458</v>
      </c>
      <c r="I13" s="171" t="s">
        <v>281</v>
      </c>
      <c r="J13" s="172">
        <f>COUNTif(F13:F14,"Yes!")</f>
        <v>1</v>
      </c>
    </row>
    <row r="14">
      <c r="A14" s="173" t="str">
        <f>if('Dolorón_Import'!B10=true,"Yes!","No")</f>
        <v>Yes!</v>
      </c>
      <c r="B14" s="174" t="s">
        <v>220</v>
      </c>
      <c r="C14" s="175" t="s">
        <v>359</v>
      </c>
      <c r="D14" s="176" t="s">
        <v>460</v>
      </c>
      <c r="F14" s="207" t="str">
        <f>if('Dolorón_Import'!B29=true,"Yes!","No")</f>
        <v>No</v>
      </c>
      <c r="G14" s="286" t="s">
        <v>257</v>
      </c>
      <c r="H14" s="284" t="s">
        <v>458</v>
      </c>
      <c r="I14" s="189"/>
      <c r="J14" s="172"/>
    </row>
    <row r="15">
      <c r="A15" s="173" t="str">
        <f>if('Dolorón_Import'!B11=true,"Yes!","No")</f>
        <v>Yes!</v>
      </c>
      <c r="B15" s="174" t="s">
        <v>461</v>
      </c>
      <c r="C15" s="175" t="s">
        <v>462</v>
      </c>
      <c r="D15" s="176" t="s">
        <v>232</v>
      </c>
      <c r="F15" s="190" t="str">
        <f>if('Dolorón_Import'!B30=true,"Yes!","No")</f>
        <v>Yes!</v>
      </c>
      <c r="G15" s="191" t="s">
        <v>404</v>
      </c>
      <c r="H15" s="192" t="s">
        <v>463</v>
      </c>
      <c r="I15" s="193" t="s">
        <v>209</v>
      </c>
      <c r="J15" s="172">
        <f t="shared" ref="J15:J16" si="1">COUNTif(F15,"Yes!")</f>
        <v>1</v>
      </c>
    </row>
    <row r="16">
      <c r="A16" s="173" t="str">
        <f>if('Dolorón_Import'!B12=true,"Yes!","No")</f>
        <v>Yes!</v>
      </c>
      <c r="B16" s="174" t="s">
        <v>297</v>
      </c>
      <c r="C16" s="175" t="s">
        <v>464</v>
      </c>
      <c r="D16" s="176" t="s">
        <v>465</v>
      </c>
      <c r="F16" s="190" t="str">
        <f>if('Dolorón_Import'!B31=true,"Yes!","No")</f>
        <v>Yes!</v>
      </c>
      <c r="G16" s="191" t="s">
        <v>467</v>
      </c>
      <c r="H16" s="192" t="s">
        <v>468</v>
      </c>
      <c r="I16" s="193" t="s">
        <v>209</v>
      </c>
      <c r="J16" s="172">
        <f t="shared" si="1"/>
        <v>1</v>
      </c>
    </row>
    <row r="17">
      <c r="A17" s="173" t="str">
        <f>if('Dolorón_Import'!B13=true,"Yes!","No")</f>
        <v>No</v>
      </c>
      <c r="B17" s="174" t="s">
        <v>239</v>
      </c>
      <c r="C17" s="175" t="s">
        <v>469</v>
      </c>
      <c r="D17" s="176" t="s">
        <v>470</v>
      </c>
      <c r="F17" s="177" t="str">
        <f>if('Dolorón_Import'!B32=true,"Yes!","No")</f>
        <v>Yes!</v>
      </c>
      <c r="G17" s="169" t="s">
        <v>216</v>
      </c>
      <c r="H17" s="178" t="s">
        <v>471</v>
      </c>
      <c r="I17" s="171" t="s">
        <v>472</v>
      </c>
      <c r="J17" s="172">
        <f>COUNTif(F17:F22,"Yes!")</f>
        <v>6</v>
      </c>
    </row>
    <row r="18">
      <c r="A18" s="173" t="str">
        <f>if('Dolorón_Import'!B14=true,"Yes!","No")</f>
        <v>Yes!</v>
      </c>
      <c r="B18" s="174" t="s">
        <v>370</v>
      </c>
      <c r="C18" s="175" t="s">
        <v>473</v>
      </c>
      <c r="D18" s="176" t="s">
        <v>474</v>
      </c>
      <c r="F18" s="179" t="str">
        <f>if('Dolorón_Import'!B33=true,"Yes!","No")</f>
        <v>Yes!</v>
      </c>
      <c r="G18" s="180" t="s">
        <v>207</v>
      </c>
      <c r="H18" s="181" t="s">
        <v>475</v>
      </c>
      <c r="I18" s="182"/>
      <c r="J18" s="172"/>
    </row>
    <row r="19">
      <c r="A19" s="173" t="str">
        <f>if('Dolorón_Import'!B15=true,"Yes!","No")</f>
        <v>Yes!</v>
      </c>
      <c r="B19" s="174" t="s">
        <v>351</v>
      </c>
      <c r="C19" s="175" t="s">
        <v>247</v>
      </c>
      <c r="D19" s="176" t="s">
        <v>477</v>
      </c>
      <c r="F19" s="179" t="str">
        <f>if('Dolorón_Import'!B34=true,"Yes!","No")</f>
        <v>Yes!</v>
      </c>
      <c r="G19" s="180" t="s">
        <v>204</v>
      </c>
      <c r="H19" s="181" t="s">
        <v>475</v>
      </c>
      <c r="I19" s="182"/>
      <c r="J19" s="172"/>
    </row>
    <row r="20">
      <c r="A20" s="173" t="str">
        <f>if('Dolorón_Import'!B16=true,"Yes!","No")</f>
        <v>Yes!</v>
      </c>
      <c r="B20" s="174" t="s">
        <v>292</v>
      </c>
      <c r="C20" s="175" t="s">
        <v>478</v>
      </c>
      <c r="D20" s="176" t="s">
        <v>479</v>
      </c>
      <c r="F20" s="179" t="str">
        <f>if('Dolorón_Import'!B35=true,"Yes!","No")</f>
        <v>Yes!</v>
      </c>
      <c r="G20" s="180" t="s">
        <v>480</v>
      </c>
      <c r="H20" s="181" t="s">
        <v>475</v>
      </c>
      <c r="I20" s="182"/>
      <c r="J20" s="172"/>
    </row>
    <row r="21">
      <c r="A21" s="173" t="str">
        <f>if('Dolorón_Import'!B17=true,"Yes!","No")</f>
        <v>Yes!</v>
      </c>
      <c r="B21" s="174" t="s">
        <v>268</v>
      </c>
      <c r="C21" s="175" t="s">
        <v>269</v>
      </c>
      <c r="D21" s="176" t="s">
        <v>270</v>
      </c>
      <c r="F21" s="179" t="str">
        <f>if('Dolorón_Import'!B36=true,"Yes!","No")</f>
        <v>Yes!</v>
      </c>
      <c r="G21" s="180" t="s">
        <v>481</v>
      </c>
      <c r="H21" s="181" t="s">
        <v>475</v>
      </c>
      <c r="I21" s="182"/>
      <c r="J21" s="172"/>
    </row>
    <row r="22">
      <c r="A22" s="173" t="str">
        <f>if('Dolorón_Import'!B18=true,"Yes!","No")</f>
        <v>No</v>
      </c>
      <c r="B22" s="174" t="s">
        <v>412</v>
      </c>
      <c r="C22" s="175" t="s">
        <v>482</v>
      </c>
      <c r="D22" s="176" t="s">
        <v>483</v>
      </c>
      <c r="F22" s="179" t="str">
        <f>if('Dolorón_Import'!B37=true,"Yes!","No")</f>
        <v>Yes!</v>
      </c>
      <c r="G22" s="180" t="s">
        <v>452</v>
      </c>
      <c r="H22" s="181" t="s">
        <v>475</v>
      </c>
      <c r="I22" s="182"/>
      <c r="J22" s="172"/>
    </row>
    <row r="23">
      <c r="A23" s="173" t="str">
        <f>if('Dolorón_Import'!B19=true,"Yes!","No")</f>
        <v>No</v>
      </c>
      <c r="B23" s="174" t="s">
        <v>485</v>
      </c>
      <c r="C23" s="287">
        <v>0.4166666666666667</v>
      </c>
      <c r="D23" s="176" t="s">
        <v>486</v>
      </c>
      <c r="F23" s="177" t="str">
        <f>if('Dolorón_Import'!B38=true,"Yes!","No")</f>
        <v>Yes!</v>
      </c>
      <c r="G23" s="169" t="s">
        <v>487</v>
      </c>
      <c r="H23" s="178" t="s">
        <v>488</v>
      </c>
      <c r="I23" s="171" t="s">
        <v>367</v>
      </c>
      <c r="J23" s="172">
        <f>COUNTif(F23:F27,"Yes!")</f>
        <v>3</v>
      </c>
    </row>
    <row r="24">
      <c r="A24" s="198" t="str">
        <f>If(Dashboard!$M5=TRUE,"Yes!","No")</f>
        <v>No</v>
      </c>
      <c r="B24" s="199" t="s">
        <v>282</v>
      </c>
      <c r="C24" s="200" t="s">
        <v>206</v>
      </c>
      <c r="D24" s="201" t="s">
        <v>206</v>
      </c>
      <c r="F24" s="179" t="str">
        <f>if('Dolorón_Import'!B39=true,"Yes!","No")</f>
        <v>Yes!</v>
      </c>
      <c r="G24" s="180" t="s">
        <v>241</v>
      </c>
      <c r="H24" s="181" t="s">
        <v>489</v>
      </c>
      <c r="I24" s="182"/>
      <c r="J24" s="172"/>
    </row>
    <row r="25">
      <c r="F25" s="183" t="str">
        <f>if('Dolorón_Import'!B40=true,"Yes!","No")</f>
        <v>No</v>
      </c>
      <c r="G25" s="184" t="s">
        <v>218</v>
      </c>
      <c r="H25" s="185" t="s">
        <v>491</v>
      </c>
      <c r="I25" s="182"/>
      <c r="J25" s="172"/>
    </row>
    <row r="26">
      <c r="A26" s="202" t="s">
        <v>287</v>
      </c>
      <c r="F26" s="183" t="str">
        <f>if('Dolorón_Import'!B41=true,"Yes!","No")</f>
        <v>No</v>
      </c>
      <c r="G26" s="184" t="s">
        <v>492</v>
      </c>
      <c r="H26" s="185" t="s">
        <v>493</v>
      </c>
      <c r="I26" s="182"/>
      <c r="J26" s="172"/>
    </row>
    <row r="27">
      <c r="A27" s="271" t="str">
        <f>IFERROR(__xludf.DUMMYFUNCTION("IFERROR(
  FILTER(
    FLATTEN({'Dolorón_Import'!C5:C20; 'Dolorón_Import'!C24:C52; 'Dolorón_Import'!A53:A79}),
    FLATTEN({'Dolorón_Import'!C5:C20; 'Dolorón_Import'!C24:C52; 'Dolorón_Import'!A53:A79}) &lt;&gt; """"
  ),
  """"
)"),"4th Friday  - gave them letter w  list of items.  Great teamwork on challenge.  Excellent group dynamics! ")</f>
        <v>4th Friday  - gave them letter w  list of items.  Great teamwork on challenge.  Excellent group dynamics! </v>
      </c>
      <c r="B27" s="4"/>
      <c r="C27" s="4"/>
      <c r="D27" s="5"/>
      <c r="F27" s="186" t="str">
        <f>if('Dolorón_Import'!B42=true,"Yes!","No")</f>
        <v>Yes!</v>
      </c>
      <c r="G27" s="187" t="s">
        <v>495</v>
      </c>
      <c r="H27" s="188" t="s">
        <v>496</v>
      </c>
      <c r="I27" s="189"/>
      <c r="J27" s="172"/>
    </row>
    <row r="28">
      <c r="A28" s="289" t="str">
        <f>IFERROR(__xludf.DUMMYFUNCTION("""COMPUTED_VALUE"""),"1st Sat - gave them snake eye talisman (Maker is wearing as a necklace); traveler was distracted by writing his notes, not paying attention to ""bucket challenge"", but participated when I addressed him specifically; caster renewed the whirlwind spell; Tr"&amp;"aveler seems to be trying to be in charge &amp; direct the rest of the team's behavior, everyone was attending politely to him, but I could imagine that being a stress point .")</f>
        <v>1st Sat - gave them snake eye talisman (Maker is wearing as a necklace); traveler was distracted by writing his notes, not paying attention to "bucket challenge", but participated when I addressed him specifically; caster renewed the whirlwind spell; Traveler seems to be trying to be in charge &amp; direct the rest of the team's behavior, everyone was attending politely to him, but I could imagine that being a stress point .</v>
      </c>
      <c r="D28" s="182"/>
      <c r="F28" s="177" t="str">
        <f>if('Dolorón_Import'!B43=true,"Yes!","No")</f>
        <v>Yes!</v>
      </c>
      <c r="G28" s="169" t="s">
        <v>497</v>
      </c>
      <c r="H28" s="178" t="s">
        <v>498</v>
      </c>
      <c r="I28" s="171" t="s">
        <v>281</v>
      </c>
      <c r="J28" s="172">
        <f>COUNTif(F28:F29,"Yes!")</f>
        <v>1</v>
      </c>
    </row>
    <row r="29">
      <c r="A29" s="272" t="str">
        <f>IFERROR(__xludf.DUMMYFUNCTION("""COMPUTED_VALUE"""),"They were fantastic!   Super invested and had a convo and combat!  Love them")</f>
        <v>They were fantastic!   Super invested and had a convo and combat!  Love them</v>
      </c>
      <c r="D29" s="182"/>
      <c r="F29" s="207" t="str">
        <f>if('Dolorón_Import'!B44=true,"Yes!","No")</f>
        <v>No</v>
      </c>
      <c r="G29" s="208" t="s">
        <v>365</v>
      </c>
      <c r="H29" s="210" t="s">
        <v>498</v>
      </c>
      <c r="I29" s="189"/>
      <c r="J29" s="172"/>
    </row>
    <row r="30">
      <c r="A30" s="272" t="str">
        <f>IFERROR(__xludf.DUMMYFUNCTION("""COMPUTED_VALUE"""),"Update - Lunch: I spoke to Doloron at their table. They asked about the Merula Fruit Cordial. I told them to find me at the Roamer Camp and play Managers and Peons if they would like to get the Cordial. After they've done that, I'd be happy to meet them a"&amp;"t 10:00am on Sunday. Sat AM: I have not seen Doloron yet, and am concerned because it is nearing the end of my morning face part.")</f>
        <v>Update - Lunch: I spoke to Doloron at their table. They asked about the Merula Fruit Cordial. I told them to find me at the Roamer Camp and play Managers and Peons if they would like to get the Cordial. After they've done that, I'd be happy to meet them at 10:00am on Sunday. Sat AM: I have not seen Doloron yet, and am concerned because it is nearing the end of my morning face part.</v>
      </c>
      <c r="D30" s="182"/>
      <c r="F30" s="218" t="str">
        <f>if('Dolorón_Import'!B45=true,"Yes!","No")</f>
        <v>No</v>
      </c>
      <c r="G30" s="219" t="s">
        <v>467</v>
      </c>
      <c r="H30" s="220" t="s">
        <v>500</v>
      </c>
      <c r="I30" s="294"/>
      <c r="J30" s="172"/>
    </row>
    <row r="31">
      <c r="A31" s="272" t="str">
        <f>IFERROR(__xludf.DUMMYFUNCTION("""COMPUTED_VALUE"""),"At breakfast, made a deal that they will cheer Ned up and I will give them the sphere. Planned for lunch Sat --HA
Talked to Bracken about this after lunch, didn't find Ned and trying to ask people to see what he likes -- RS")</f>
        <v>At breakfast, made a deal that they will cheer Ned up and I will give them the sphere. Planned for lunch Sat --HA
Talked to Bracken about this after lunch, didn't find Ned and trying to ask people to see what he likes -- RS</v>
      </c>
      <c r="D31" s="182"/>
      <c r="F31" s="190" t="str">
        <f>if('Dolorón_Import'!B46=true,"Yes!","No")</f>
        <v>Yes!</v>
      </c>
      <c r="G31" s="191" t="s">
        <v>502</v>
      </c>
      <c r="H31" s="192" t="s">
        <v>503</v>
      </c>
      <c r="I31" s="193" t="s">
        <v>209</v>
      </c>
      <c r="J31" s="172">
        <f t="shared" ref="J31:J34" si="2">COUNTif(F31,"Yes!")</f>
        <v>1</v>
      </c>
    </row>
    <row r="32">
      <c r="A32" s="272" t="str">
        <f>IFERROR(__xludf.DUMMYFUNCTION("""COMPUTED_VALUE"""),"Overheard conversartion on needing gemwing butterfly.")</f>
        <v>Overheard conversartion on needing gemwing butterfly.</v>
      </c>
      <c r="D32" s="182"/>
      <c r="F32" s="190" t="str">
        <f>if(Dashboard!G5=true,"Yes!","No")</f>
        <v>Yes!</v>
      </c>
      <c r="G32" s="191" t="s">
        <v>302</v>
      </c>
      <c r="H32" s="192" t="s">
        <v>508</v>
      </c>
      <c r="I32" s="193" t="s">
        <v>209</v>
      </c>
      <c r="J32" s="172">
        <f t="shared" si="2"/>
        <v>1</v>
      </c>
    </row>
    <row r="33">
      <c r="A33" s="272" t="str">
        <f>IFERROR(__xludf.DUMMYFUNCTION("""COMPUTED_VALUE"""),"Had a good story and really considerate about taking something that was from my grandfather, all around went well! -- RS")</f>
        <v>Had a good story and really considerate about taking something that was from my grandfather, all around went well! -- RS</v>
      </c>
      <c r="D33" s="182"/>
      <c r="F33" s="218" t="str">
        <f>if('Dolorón_Import'!B48=true,"Yes!","No")</f>
        <v>No</v>
      </c>
      <c r="G33" s="219" t="s">
        <v>467</v>
      </c>
      <c r="H33" s="220" t="s">
        <v>510</v>
      </c>
      <c r="I33" s="294"/>
      <c r="J33" s="172">
        <f t="shared" si="2"/>
        <v>0</v>
      </c>
    </row>
    <row r="34">
      <c r="A34" s="272" t="str">
        <f>IFERROR(__xludf.DUMMYFUNCTION("""COMPUTED_VALUE"""),"Very engaged, however the taller gentleman did a fake face-first into the sand ""Fainting"" that we treated seriously. FFS.  Dave")</f>
        <v>Very engaged, however the taller gentleman did a fake face-first into the sand "Fainting" that we treated seriously. FFS.  Dave</v>
      </c>
      <c r="D34" s="182"/>
      <c r="F34" s="218" t="str">
        <f>if('Dolorón_Import'!B49=true,"Yes!","No")</f>
        <v>No</v>
      </c>
      <c r="G34" s="219" t="s">
        <v>511</v>
      </c>
      <c r="H34" s="220" t="s">
        <v>512</v>
      </c>
      <c r="I34" s="221" t="s">
        <v>209</v>
      </c>
      <c r="J34" s="172">
        <f t="shared" si="2"/>
        <v>0</v>
      </c>
    </row>
    <row r="35">
      <c r="A35" s="272" t="str">
        <f>IFERROR(__xludf.DUMMYFUNCTION("""COMPUTED_VALUE"""),"Seem to at least like pearl! HOORAY. Ask her to help them investigate pixies, she said sure after she finishes the Katherine Carmicheal article (Friday Night)-TB Charge given, maker seems invested and doesn't like Verrin. Some other party members skeptica"&amp;"l of Katherine. They are asking who would benefit from besmirching Katherine (saturyday 1:45)-TB")</f>
        <v>Seem to at least like pearl! HOORAY. Ask her to help them investigate pixies, she said sure after she finishes the Katherine Carmicheal article (Friday Night)-TB Charge given, maker seems invested and doesn't like Verrin. Some other party members skeptical of Katherine. They are asking who would benefit from besmirching Katherine (saturyday 1:45)-TB</v>
      </c>
      <c r="D35" s="182"/>
      <c r="F35" s="218" t="str">
        <f>if('Dolorón_Import'!B50=true,"Yes!","No")</f>
        <v>No</v>
      </c>
      <c r="G35" s="219" t="s">
        <v>391</v>
      </c>
      <c r="H35" s="220" t="s">
        <v>515</v>
      </c>
      <c r="I35" s="221" t="s">
        <v>267</v>
      </c>
      <c r="J35" s="172">
        <f>COUNTif(F35:F37,"Yes!")</f>
        <v>0</v>
      </c>
    </row>
    <row r="36">
      <c r="A36" s="272" t="str">
        <f>IFERROR(__xludf.DUMMYFUNCTION("""COMPUTED_VALUE"""),"Talked to party Sat 7:30pm in Tavern. Whole party was engaged but maybe not yet fully interested in the charge. MG")</f>
        <v>Talked to party Sat 7:30pm in Tavern. Whole party was engaged but maybe not yet fully interested in the charge. MG</v>
      </c>
      <c r="D36" s="182"/>
      <c r="F36" s="153"/>
      <c r="I36" s="156"/>
      <c r="J36" s="172"/>
    </row>
    <row r="37">
      <c r="A37" s="272" t="str">
        <f>IFERROR(__xludf.DUMMYFUNCTION("""COMPUTED_VALUE"""),"Fri 10:30pm-Keeperwantedto heal my arm, I briefly explained the attack and that it was exhibit 1 for Sunday's trial.")</f>
        <v>Fri 10:30pm-Keeperwantedto heal my arm, I briefly explained the attack and that it was exhibit 1 for Sunday's trial.</v>
      </c>
      <c r="D37" s="182"/>
      <c r="F37" s="153"/>
      <c r="I37" s="156"/>
      <c r="J37" s="172"/>
    </row>
    <row r="38">
      <c r="A38" s="272" t="str">
        <f>IFERROR(__xludf.DUMMYFUNCTION("""COMPUTED_VALUE"""),"spoke briefly with a couple members at breakfast; just pleasantries; Lincroft came over as well (to gush, of course) ")</f>
        <v>spoke briefly with a couple members at breakfast; just pleasantries; Lincroft came over as well (to gush, of course) </v>
      </c>
      <c r="D38" s="182"/>
      <c r="F38" s="153"/>
      <c r="G38" s="224"/>
      <c r="I38" s="156"/>
      <c r="J38" s="172"/>
    </row>
    <row r="39">
      <c r="A39" s="272" t="str">
        <f>IFERROR(__xludf.DUMMYFUNCTION("""COMPUTED_VALUE"""),"Most were engaged, understand that Vernon Gill sucks and Katherine Carmichael is awesome")</f>
        <v>Most were engaged, understand that Vernon Gill sucks and Katherine Carmichael is awesome</v>
      </c>
      <c r="D39" s="182"/>
      <c r="F39" s="153"/>
      <c r="G39" s="224"/>
      <c r="H39" s="175"/>
      <c r="I39" s="156"/>
      <c r="J39" s="172"/>
    </row>
    <row r="40">
      <c r="A40" s="272" t="str">
        <f>IFERROR(__xludf.DUMMYFUNCTION("""COMPUTED_VALUE"""),"Got info to three members, got the message I was inspired 1:45 ")</f>
        <v>Got info to three members, got the message I was inspired 1:45 </v>
      </c>
      <c r="D40" s="182"/>
      <c r="F40" s="153"/>
      <c r="G40" s="224"/>
      <c r="H40" s="175"/>
      <c r="I40" s="156"/>
      <c r="J40" s="172"/>
    </row>
    <row r="41">
      <c r="A41" s="272" t="str">
        <f>IFERROR(__xludf.DUMMYFUNCTION("""COMPUTED_VALUE"""),"Joined for breakfast, Pearl and Aria retold scene from Across the Prairie, party was very invested in how popular KC's books are, and how cool it is she has a crossbow just like Kit Carnage. 4/5 members were actively listening and engaged. DG")</f>
        <v>Joined for breakfast, Pearl and Aria retold scene from Across the Prairie, party was very invested in how popular KC's books are, and how cool it is she has a crossbow just like Kit Carnage. 4/5 members were actively listening and engaged. DG</v>
      </c>
      <c r="D41" s="182"/>
      <c r="F41" s="225"/>
      <c r="G41" s="224"/>
      <c r="H41" s="175"/>
      <c r="I41" s="156"/>
      <c r="J41" s="172"/>
    </row>
    <row r="42">
      <c r="A42" s="272" t="str">
        <f>IFERROR(__xludf.DUMMYFUNCTION("""COMPUTED_VALUE"""),"Talked with them at lunch and they were interested in Katherine Carmichael's story - asked why she had come to town")</f>
        <v>Talked with them at lunch and they were interested in Katherine Carmichael's story - asked why she had come to town</v>
      </c>
      <c r="D42" s="182"/>
      <c r="F42" s="225"/>
      <c r="G42" s="224"/>
      <c r="H42" s="175"/>
      <c r="I42" s="156"/>
      <c r="J42" s="172"/>
    </row>
    <row r="43">
      <c r="A43" s="226" t="str">
        <f>IFERROR(__xludf.DUMMYFUNCTION("""COMPUTED_VALUE"""),"Had a good chat sitting with two women in the party during lunch. -LBD")</f>
        <v>Had a good chat sitting with two women in the party during lunch. -LBD</v>
      </c>
      <c r="D43" s="182"/>
      <c r="E43" s="157"/>
    </row>
    <row r="44">
      <c r="A44" s="226" t="str">
        <f>IFERROR(__xludf.DUMMYFUNCTION("""COMPUTED_VALUE"""),"Chatted with Katherine Carmichael at breakfact and reinforced ""based on her life"", which thet had clearly already taken in")</f>
        <v>Chatted with Katherine Carmichael at breakfact and reinforced "based on her life", which thet had clearly already taken in</v>
      </c>
      <c r="D44" s="182"/>
      <c r="E44" s="157"/>
      <c r="F44" s="12"/>
      <c r="G44" s="158"/>
    </row>
    <row r="45">
      <c r="A45" s="226" t="str">
        <f>IFERROR(__xludf.DUMMYFUNCTION("""COMPUTED_VALUE"""),"Chatted with them around 7pm Sat.  Deliveried the info.  They floated a potential framing.")</f>
        <v>Chatted with them around 7pm Sat.  Deliveried the info.  They floated a potential framing.</v>
      </c>
      <c r="D45" s="182"/>
      <c r="E45" s="157"/>
      <c r="F45" s="12"/>
      <c r="G45" s="158"/>
    </row>
    <row r="46">
      <c r="A46" s="226" t="str">
        <f>IFERROR(__xludf.DUMMYFUNCTION("""COMPUTED_VALUE"""),"Told one member of the party how KC's charge wasn't surprising, as a natural consequence of allowing the drivel/so-called-""literature"" she writes to influence the minds of youth in Lyrian society.")</f>
        <v>Told one member of the party how KC's charge wasn't surprising, as a natural consequence of allowing the drivel/so-called-"literature" she writes to influence the minds of youth in Lyrian society.</v>
      </c>
      <c r="D46" s="182"/>
      <c r="E46" s="157"/>
      <c r="F46" s="12"/>
      <c r="G46" s="158"/>
    </row>
    <row r="47">
      <c r="A47" s="226" t="str">
        <f>IFERROR(__xludf.DUMMYFUNCTION("""COMPUTED_VALUE"""),"Talked to at least 2 participants about KC's faintness at the sight of blood.  They asked how could that be if she's an epic hunter and adventurer jag")</f>
        <v>Talked to at least 2 participants about KC's faintness at the sight of blood.  They asked how could that be if she's an epic hunter and adventurer jag</v>
      </c>
      <c r="D47" s="182"/>
      <c r="E47" s="157"/>
      <c r="F47" s="12"/>
      <c r="G47" s="158"/>
    </row>
    <row r="48">
      <c r="A48" s="226" t="str">
        <f>IFERROR(__xludf.DUMMYFUNCTION("""COMPUTED_VALUE"""),"Told 3-4 participants about Sgt Gill not knowing the song, and leaving him sad. They seemed entirely focused on the fact that he was sad and how to comfort him and not at all about the lack of knowledge of military songs. - RP")</f>
        <v>Told 3-4 participants about Sgt Gill not knowing the song, and leaving him sad. They seemed entirely focused on the fact that he was sad and how to comfort him and not at all about the lack of knowledge of military songs. - RP</v>
      </c>
      <c r="D48" s="182"/>
      <c r="E48" s="157"/>
      <c r="F48" s="12"/>
      <c r="G48" s="158"/>
    </row>
    <row r="49">
      <c r="A49" s="226" t="str">
        <f>IFERROR(__xludf.DUMMYFUNCTION("""COMPUTED_VALUE"""),"JV-Fri-11pm-they were reviewing resourceslike spells and forming general strategies.")</f>
        <v>JV-Fri-11pm-they were reviewing resourceslike spells and forming general strategies.</v>
      </c>
      <c r="D49" s="182"/>
      <c r="E49" s="157"/>
      <c r="F49" s="12"/>
      <c r="G49" s="158"/>
    </row>
    <row r="50">
      <c r="A50" s="226" t="str">
        <f>IFERROR(__xludf.DUMMYFUNCTION("""COMPUTED_VALUE"""),"AM - On Friday evening when they told us they were headed to FireWaterEarthAirBnb we (Cary and Belle) had a hilarious exchange with them in which we both apologized for my father and described him as ""a lot."" We told them about the mix-up and they were "&amp;"HIGHLY entertained. When we saw them later that night we asked how they were doing and how things went, and they said it was great, that they loved both of our parents, ""apart from the flatulence issue."" They they proceeded to tell us that they thought "&amp;"there might be some romantic energy between the two of them, which we found both preposterous and ""gross."" GREAT conversation. ")</f>
        <v>AM - On Friday evening when they told us they were headed to FireWaterEarthAirBnb we (Cary and Belle) had a hilarious exchange with them in which we both apologized for my father and described him as "a lot." We told them about the mix-up and they were HIGHLY entertained. When we saw them later that night we asked how they were doing and how things went, and they said it was great, that they loved both of our parents, "apart from the flatulence issue." They they proceeded to tell us that they thought there might be some romantic energy between the two of them, which we found both preposterous and "gross." GREAT conversation. </v>
      </c>
      <c r="D50" s="182"/>
      <c r="E50" s="157"/>
      <c r="F50" s="12"/>
      <c r="G50" s="158"/>
    </row>
    <row r="51">
      <c r="A51" s="226" t="str">
        <f>IFERROR(__xludf.DUMMYFUNCTION("""COMPUTED_VALUE"""),"Did not pay for breakfast (Sat AM), was told they accidentally left their money in the cabin. Seemed pretty worried about having enough money to pay for things, they shared their chitter combat winnings with Arden this morning. Bonnie was tough on them bu"&amp;"t told them they needed to pay what was owed at lunch. DG")</f>
        <v>Did not pay for breakfast (Sat AM), was told they accidentally left their money in the cabin. Seemed pretty worried about having enough money to pay for things, they shared their chitter combat winnings with Arden this morning. Bonnie was tough on them but told them they needed to pay what was owed at lunch. DG</v>
      </c>
      <c r="D51" s="182"/>
      <c r="E51" s="157"/>
      <c r="F51" s="12"/>
      <c r="G51" s="158"/>
    </row>
    <row r="52">
      <c r="A52" s="226" t="str">
        <f>IFERROR(__xludf.DUMMYFUNCTION("""COMPUTED_VALUE"""),"party photo taken -Mirin")</f>
        <v>party photo taken -Mirin</v>
      </c>
      <c r="D52" s="182"/>
      <c r="E52" s="157"/>
      <c r="F52" s="12"/>
      <c r="G52" s="158"/>
    </row>
    <row r="53">
      <c r="A53" s="226" t="str">
        <f>IFERROR(__xludf.DUMMYFUNCTION("""COMPUTED_VALUE"""),"Caster used Gust of Wind spell against skeevers.  ")</f>
        <v>Caster used Gust of Wind spell against skeevers.  </v>
      </c>
      <c r="D53" s="182"/>
      <c r="E53" s="157"/>
      <c r="F53" s="12"/>
      <c r="G53" s="158"/>
    </row>
    <row r="54">
      <c r="A54" s="226" t="str">
        <f>IFERROR(__xludf.DUMMYFUNCTION("""COMPUTED_VALUE"""),"Shared general info that Belle is effusive and sometimes forgets that Cari doesn't want attention called to him, e.g. at his birthday party; I hope she remembers that at the wedding. Saturday 10am. M.O.")</f>
        <v>Shared general info that Belle is effusive and sometimes forgets that Cari doesn't want attention called to him, e.g. at his birthday party; I hope she remembers that at the wedding. Saturday 10am. M.O.</v>
      </c>
      <c r="D54" s="182"/>
      <c r="E54" s="157"/>
      <c r="F54" s="12"/>
      <c r="G54" s="158"/>
    </row>
    <row r="55">
      <c r="A55" s="226" t="str">
        <f>IFERROR(__xludf.DUMMYFUNCTION("""COMPUTED_VALUE"""),"Golden page great convo for Isaiah")</f>
        <v>Golden page great convo for Isaiah</v>
      </c>
      <c r="D55" s="182"/>
      <c r="E55" s="157"/>
      <c r="F55" s="12"/>
      <c r="G55" s="158"/>
    </row>
    <row r="56">
      <c r="A56" s="226" t="str">
        <f>IFERROR(__xludf.DUMMYFUNCTION("""COMPUTED_VALUE"""),"Seemed worried about Wolven, but had a lovely Cup of Insight. - Kira")</f>
        <v>Seemed worried about Wolven, but had a lovely Cup of Insight. - Kira</v>
      </c>
      <c r="D56" s="182"/>
      <c r="E56" s="157"/>
      <c r="F56" s="12"/>
      <c r="G56" s="158"/>
    </row>
    <row r="57">
      <c r="A57" s="226" t="str">
        <f>IFERROR(__xludf.DUMMYFUNCTION("""COMPUTED_VALUE"""),"Caster has a strong fairness drive - showed up in combat practice at Valerius house in strong views about how combat practice should be structured.  Traveler is less mobile and did not participate in combat training and appears to be some tension between "&amp;"the caster and the traveler as a result.  Caster was pushing to say traveler should be getting into combat.  - Neal, 1:30pm Sat")</f>
        <v>Caster has a strong fairness drive - showed up in combat practice at Valerius house in strong views about how combat practice should be structured.  Traveler is less mobile and did not participate in combat training and appears to be some tension between the caster and the traveler as a result.  Caster was pushing to say traveler should be getting into combat.  - Neal, 1:30pm Sat</v>
      </c>
      <c r="D57" s="182"/>
      <c r="E57" s="157"/>
      <c r="F57" s="12"/>
      <c r="G57" s="158"/>
    </row>
    <row r="58">
      <c r="A58" s="226" t="str">
        <f>IFERROR(__xludf.DUMMYFUNCTION("""COMPUTED_VALUE"""),"Have golden page info re: Obsidian-Abigail")</f>
        <v>Have golden page info re: Obsidian-Abigail</v>
      </c>
      <c r="D58" s="182"/>
      <c r="E58" s="157"/>
      <c r="F58" s="12"/>
      <c r="G58" s="158"/>
    </row>
    <row r="59">
      <c r="A59" s="226" t="str">
        <f>IFERROR(__xludf.DUMMYFUNCTION("""COMPUTED_VALUE"""),"6:30 Saturday SM -Gave them a great (if brief) Wolven fight at the bottom of Shepherd's Pass.  Their Caster did an illusion that the participants all had wings and the Wolven were all standing on 6"" square pillars over a hundred foot drop.  They made sho"&amp;"rt work of us and seemed to feel heroically clever.")</f>
        <v>6:30 Saturday SM -Gave them a great (if brief) Wolven fight at the bottom of Shepherd's Pass.  Their Caster did an illusion that the participants all had wings and the Wolven were all standing on 6" square pillars over a hundred foot drop.  They made short work of us and seemed to feel heroically clever.</v>
      </c>
      <c r="D59" s="182"/>
      <c r="E59" s="157"/>
      <c r="F59" s="12"/>
      <c r="G59" s="158"/>
    </row>
    <row r="60">
      <c r="A60" s="226" t="str">
        <f>IFERROR(__xludf.DUMMYFUNCTION("""COMPUTED_VALUE"""),"Party snuck past mad lib ander wolven party, then came back and declared single combat to save the ""kidnapped"" ander")</f>
        <v>Party snuck past mad lib ander wolven party, then came back and declared single combat to save the "kidnapped" ander</v>
      </c>
      <c r="D60" s="182"/>
      <c r="E60" s="157"/>
      <c r="F60" s="12"/>
      <c r="G60" s="158"/>
    </row>
    <row r="61">
      <c r="A61" s="227"/>
      <c r="B61" s="228"/>
      <c r="C61" s="228"/>
      <c r="D61" s="189"/>
      <c r="E61" s="157"/>
      <c r="F61" s="12"/>
      <c r="G61" s="158"/>
    </row>
    <row r="62">
      <c r="A62" s="138"/>
      <c r="B62" s="138"/>
      <c r="C62" s="138"/>
      <c r="D62" s="138"/>
      <c r="E62" s="157"/>
      <c r="F62" s="12"/>
      <c r="G62" s="158"/>
    </row>
    <row r="63">
      <c r="A63" s="138"/>
      <c r="B63" s="138"/>
      <c r="C63" s="138"/>
      <c r="D63" s="138"/>
      <c r="E63" s="157"/>
      <c r="F63" s="12"/>
      <c r="G63" s="158"/>
    </row>
    <row r="64">
      <c r="A64" s="153"/>
      <c r="B64" s="229"/>
      <c r="C64" s="230"/>
      <c r="D64" s="231"/>
      <c r="E64" s="157"/>
      <c r="F64" s="12"/>
      <c r="G64" s="158"/>
    </row>
    <row r="65">
      <c r="A65" s="153"/>
      <c r="B65" s="229"/>
      <c r="C65" s="230"/>
      <c r="D65" s="231"/>
      <c r="E65" s="157"/>
      <c r="F65" s="12"/>
      <c r="G65" s="158"/>
    </row>
    <row r="66">
      <c r="A66" s="153"/>
      <c r="B66" s="229"/>
      <c r="C66" s="230"/>
      <c r="D66" s="231"/>
      <c r="E66" s="157"/>
      <c r="F66" s="12"/>
      <c r="G66" s="158"/>
    </row>
    <row r="67">
      <c r="A67" s="153"/>
      <c r="B67" s="229"/>
      <c r="C67" s="230"/>
      <c r="D67" s="231"/>
      <c r="E67" s="157"/>
      <c r="F67" s="12"/>
      <c r="G67" s="158"/>
    </row>
    <row r="68">
      <c r="A68" s="153"/>
      <c r="B68" s="229"/>
      <c r="C68" s="230"/>
      <c r="D68" s="231"/>
      <c r="E68" s="157"/>
      <c r="F68" s="12"/>
      <c r="G68" s="158"/>
    </row>
    <row r="69">
      <c r="A69" s="153"/>
      <c r="B69" s="229"/>
      <c r="C69" s="230"/>
      <c r="D69" s="231"/>
      <c r="E69" s="157"/>
      <c r="F69" s="12"/>
      <c r="G69" s="158"/>
    </row>
    <row r="70">
      <c r="A70" s="153"/>
      <c r="B70" s="229"/>
      <c r="C70" s="230"/>
      <c r="D70" s="231"/>
      <c r="E70" s="157"/>
      <c r="F70" s="12"/>
      <c r="G70" s="158"/>
    </row>
    <row r="71">
      <c r="A71" s="153"/>
      <c r="B71" s="229"/>
      <c r="C71" s="230"/>
      <c r="D71" s="231"/>
      <c r="E71" s="157"/>
      <c r="F71" s="12"/>
      <c r="G71" s="158"/>
    </row>
    <row r="72">
      <c r="A72" s="153"/>
      <c r="B72" s="229"/>
      <c r="C72" s="230"/>
      <c r="D72" s="231"/>
      <c r="E72" s="157"/>
      <c r="F72" s="12"/>
      <c r="G72" s="158"/>
    </row>
    <row r="73">
      <c r="A73" s="153"/>
      <c r="B73" s="229"/>
      <c r="C73" s="230"/>
      <c r="D73" s="231"/>
      <c r="E73" s="157"/>
      <c r="F73" s="12"/>
      <c r="G73" s="158"/>
    </row>
    <row r="74">
      <c r="A74" s="153"/>
      <c r="B74" s="229"/>
      <c r="C74" s="230"/>
      <c r="D74" s="231"/>
      <c r="E74" s="157"/>
      <c r="F74" s="12"/>
      <c r="G74" s="158"/>
    </row>
    <row r="75">
      <c r="A75" s="153"/>
      <c r="B75" s="229"/>
      <c r="C75" s="230"/>
      <c r="D75" s="231"/>
      <c r="E75" s="157"/>
      <c r="F75" s="12"/>
      <c r="G75" s="158"/>
    </row>
    <row r="76">
      <c r="A76" s="153"/>
      <c r="B76" s="229"/>
      <c r="C76" s="230"/>
      <c r="D76" s="231"/>
      <c r="E76" s="157"/>
      <c r="F76" s="12"/>
      <c r="G76" s="158"/>
    </row>
    <row r="77">
      <c r="A77" s="153"/>
      <c r="B77" s="229"/>
      <c r="C77" s="230"/>
      <c r="D77" s="231"/>
      <c r="E77" s="157"/>
      <c r="F77" s="12"/>
      <c r="G77" s="158"/>
    </row>
    <row r="78">
      <c r="A78" s="153"/>
      <c r="B78" s="229"/>
      <c r="C78" s="230"/>
      <c r="D78" s="231"/>
      <c r="E78" s="157"/>
      <c r="F78" s="12"/>
      <c r="G78" s="158"/>
    </row>
    <row r="79">
      <c r="A79" s="153"/>
      <c r="B79" s="229"/>
      <c r="C79" s="230"/>
      <c r="D79" s="231"/>
      <c r="E79" s="157"/>
      <c r="F79" s="12"/>
      <c r="G79" s="158"/>
    </row>
    <row r="80">
      <c r="A80" s="153"/>
      <c r="B80" s="229"/>
      <c r="C80" s="230"/>
      <c r="D80" s="231"/>
      <c r="E80" s="157"/>
      <c r="F80" s="12"/>
      <c r="G80" s="158"/>
    </row>
    <row r="81">
      <c r="A81" s="153"/>
      <c r="B81" s="229"/>
      <c r="C81" s="230"/>
      <c r="D81" s="231"/>
      <c r="E81" s="157"/>
      <c r="F81" s="12"/>
      <c r="G81" s="158"/>
    </row>
    <row r="82">
      <c r="A82" s="153"/>
      <c r="B82" s="229"/>
      <c r="C82" s="230"/>
      <c r="D82" s="231"/>
      <c r="E82" s="157"/>
      <c r="F82" s="12"/>
      <c r="G82" s="158"/>
    </row>
    <row r="83">
      <c r="A83" s="153"/>
      <c r="B83" s="229"/>
      <c r="C83" s="230"/>
      <c r="D83" s="231"/>
      <c r="E83" s="157"/>
      <c r="F83" s="12"/>
      <c r="G83" s="158"/>
    </row>
    <row r="84">
      <c r="A84" s="153"/>
      <c r="B84" s="229"/>
      <c r="C84" s="230"/>
      <c r="D84" s="231"/>
      <c r="E84" s="157"/>
      <c r="F84" s="12"/>
      <c r="G84" s="158"/>
    </row>
    <row r="85">
      <c r="A85" s="153"/>
      <c r="B85" s="229"/>
      <c r="C85" s="230"/>
      <c r="D85" s="231"/>
      <c r="E85" s="157"/>
      <c r="F85" s="12"/>
      <c r="G85" s="158"/>
    </row>
    <row r="86">
      <c r="A86" s="153"/>
      <c r="B86" s="229"/>
      <c r="C86" s="230"/>
      <c r="D86" s="231"/>
      <c r="E86" s="157"/>
      <c r="F86" s="12"/>
      <c r="G86" s="158"/>
    </row>
    <row r="87">
      <c r="A87" s="153"/>
      <c r="B87" s="229"/>
      <c r="C87" s="230"/>
      <c r="D87" s="231"/>
      <c r="E87" s="157"/>
      <c r="F87" s="12"/>
      <c r="G87" s="158"/>
    </row>
    <row r="88">
      <c r="A88" s="153"/>
      <c r="B88" s="229"/>
      <c r="C88" s="230"/>
      <c r="D88" s="231"/>
      <c r="E88" s="157"/>
      <c r="F88" s="12"/>
      <c r="G88" s="158"/>
    </row>
    <row r="89">
      <c r="A89" s="153"/>
      <c r="B89" s="229"/>
      <c r="C89" s="230"/>
      <c r="D89" s="231"/>
      <c r="E89" s="157"/>
      <c r="F89" s="12"/>
      <c r="G89" s="158"/>
    </row>
    <row r="90">
      <c r="A90" s="153"/>
      <c r="B90" s="229"/>
      <c r="C90" s="230"/>
      <c r="D90" s="231"/>
      <c r="E90" s="157"/>
      <c r="F90" s="12"/>
      <c r="G90" s="158"/>
    </row>
    <row r="91">
      <c r="A91" s="153"/>
      <c r="B91" s="229"/>
      <c r="C91" s="230"/>
      <c r="D91" s="231"/>
      <c r="E91" s="157"/>
      <c r="F91" s="12"/>
      <c r="G91" s="158"/>
    </row>
    <row r="92">
      <c r="A92" s="153"/>
      <c r="B92" s="229"/>
      <c r="C92" s="230"/>
      <c r="D92" s="231"/>
      <c r="E92" s="157"/>
      <c r="F92" s="12"/>
      <c r="G92" s="158"/>
    </row>
    <row r="93">
      <c r="A93" s="153"/>
      <c r="B93" s="229"/>
      <c r="C93" s="230"/>
      <c r="D93" s="231"/>
      <c r="E93" s="157"/>
      <c r="F93" s="12"/>
      <c r="G93" s="158"/>
    </row>
    <row r="94">
      <c r="A94" s="153"/>
      <c r="B94" s="229"/>
      <c r="C94" s="230"/>
      <c r="D94" s="231"/>
      <c r="E94" s="157"/>
      <c r="F94" s="12"/>
      <c r="G94" s="158"/>
    </row>
    <row r="95">
      <c r="A95" s="153"/>
      <c r="B95" s="229"/>
      <c r="C95" s="230"/>
      <c r="D95" s="231"/>
      <c r="E95" s="157"/>
      <c r="F95" s="12"/>
      <c r="G95" s="158"/>
    </row>
    <row r="96">
      <c r="A96" s="153"/>
      <c r="B96" s="229"/>
      <c r="C96" s="230"/>
      <c r="D96" s="231"/>
      <c r="E96" s="157"/>
      <c r="F96" s="12"/>
      <c r="G96" s="158"/>
    </row>
    <row r="97">
      <c r="A97" s="153"/>
      <c r="B97" s="229"/>
      <c r="C97" s="230"/>
      <c r="D97" s="231"/>
      <c r="E97" s="157"/>
      <c r="F97" s="12"/>
      <c r="G97" s="158"/>
    </row>
    <row r="98">
      <c r="A98" s="153"/>
      <c r="B98" s="229"/>
      <c r="C98" s="230"/>
      <c r="D98" s="231"/>
      <c r="E98" s="157"/>
      <c r="F98" s="12"/>
      <c r="G98" s="158"/>
    </row>
    <row r="99">
      <c r="A99" s="153"/>
      <c r="B99" s="229"/>
      <c r="C99" s="230"/>
      <c r="D99" s="231"/>
      <c r="E99" s="157"/>
      <c r="F99" s="12"/>
      <c r="G99" s="158"/>
    </row>
    <row r="100">
      <c r="A100" s="153"/>
      <c r="B100" s="229"/>
      <c r="C100" s="230"/>
      <c r="D100" s="231"/>
      <c r="E100" s="157"/>
      <c r="F100" s="12"/>
      <c r="G100" s="158"/>
    </row>
    <row r="101">
      <c r="A101" s="153"/>
      <c r="B101" s="229"/>
      <c r="C101" s="230"/>
      <c r="D101" s="231"/>
      <c r="E101" s="157"/>
      <c r="F101" s="12"/>
      <c r="G101" s="158"/>
    </row>
    <row r="102">
      <c r="A102" s="153"/>
      <c r="B102" s="229"/>
      <c r="C102" s="230"/>
      <c r="D102" s="231"/>
      <c r="E102" s="157"/>
      <c r="F102" s="12"/>
      <c r="G102" s="158"/>
    </row>
    <row r="103">
      <c r="A103" s="153"/>
      <c r="B103" s="229"/>
      <c r="C103" s="230"/>
      <c r="D103" s="231"/>
      <c r="E103" s="157"/>
      <c r="F103" s="12"/>
      <c r="G103" s="158"/>
    </row>
    <row r="104">
      <c r="A104" s="153"/>
      <c r="B104" s="229"/>
      <c r="C104" s="230"/>
      <c r="D104" s="231"/>
      <c r="E104" s="157"/>
      <c r="F104" s="12"/>
      <c r="G104" s="158"/>
    </row>
    <row r="105">
      <c r="A105" s="153"/>
      <c r="B105" s="229"/>
      <c r="C105" s="230"/>
      <c r="D105" s="231"/>
      <c r="E105" s="157"/>
      <c r="F105" s="12"/>
      <c r="G105" s="158"/>
    </row>
    <row r="106">
      <c r="A106" s="153"/>
      <c r="B106" s="229"/>
      <c r="C106" s="230"/>
      <c r="D106" s="231"/>
      <c r="E106" s="157"/>
      <c r="F106" s="12"/>
      <c r="G106" s="158"/>
    </row>
    <row r="107">
      <c r="A107" s="153"/>
      <c r="B107" s="229"/>
      <c r="C107" s="230"/>
      <c r="D107" s="231"/>
      <c r="E107" s="157"/>
      <c r="F107" s="12"/>
      <c r="G107" s="158"/>
    </row>
    <row r="108">
      <c r="A108" s="153"/>
      <c r="B108" s="229"/>
      <c r="C108" s="230"/>
      <c r="D108" s="231"/>
      <c r="E108" s="157"/>
      <c r="F108" s="12"/>
      <c r="G108" s="158"/>
    </row>
    <row r="109">
      <c r="A109" s="153"/>
      <c r="B109" s="229"/>
      <c r="C109" s="230"/>
      <c r="D109" s="231"/>
      <c r="E109" s="157"/>
      <c r="F109" s="12"/>
      <c r="G109" s="158"/>
    </row>
    <row r="110">
      <c r="A110" s="153"/>
      <c r="B110" s="229"/>
      <c r="C110" s="230"/>
      <c r="D110" s="231"/>
      <c r="E110" s="157"/>
      <c r="F110" s="12"/>
      <c r="G110" s="158"/>
    </row>
    <row r="111">
      <c r="A111" s="153"/>
      <c r="B111" s="229"/>
      <c r="C111" s="230"/>
      <c r="D111" s="231"/>
      <c r="E111" s="157"/>
      <c r="F111" s="12"/>
      <c r="G111" s="158"/>
    </row>
    <row r="112">
      <c r="A112" s="153"/>
      <c r="B112" s="229"/>
      <c r="C112" s="230"/>
      <c r="D112" s="231"/>
      <c r="E112" s="157"/>
      <c r="F112" s="12"/>
      <c r="G112" s="158"/>
    </row>
    <row r="113">
      <c r="A113" s="153"/>
      <c r="B113" s="229"/>
      <c r="C113" s="230"/>
      <c r="D113" s="231"/>
      <c r="E113" s="157"/>
      <c r="F113" s="12"/>
      <c r="G113" s="158"/>
    </row>
    <row r="114">
      <c r="A114" s="153"/>
      <c r="B114" s="229"/>
      <c r="C114" s="230"/>
      <c r="D114" s="231"/>
      <c r="E114" s="157"/>
      <c r="F114" s="12"/>
      <c r="G114" s="158"/>
    </row>
    <row r="115">
      <c r="A115" s="153"/>
      <c r="B115" s="229"/>
      <c r="C115" s="230"/>
      <c r="D115" s="231"/>
      <c r="E115" s="157"/>
      <c r="F115" s="12"/>
      <c r="G115" s="158"/>
    </row>
    <row r="116">
      <c r="A116" s="153"/>
      <c r="B116" s="229"/>
      <c r="C116" s="230"/>
      <c r="D116" s="231"/>
      <c r="E116" s="157"/>
      <c r="F116" s="12"/>
      <c r="G116" s="158"/>
    </row>
    <row r="117">
      <c r="A117" s="153"/>
      <c r="B117" s="229"/>
      <c r="C117" s="230"/>
      <c r="D117" s="231"/>
      <c r="E117" s="157"/>
      <c r="F117" s="12"/>
      <c r="G117" s="158"/>
    </row>
    <row r="118">
      <c r="A118" s="153"/>
      <c r="B118" s="229"/>
      <c r="C118" s="230"/>
      <c r="D118" s="231"/>
      <c r="E118" s="157"/>
      <c r="F118" s="12"/>
      <c r="G118" s="158"/>
    </row>
    <row r="119">
      <c r="A119" s="153"/>
      <c r="B119" s="229"/>
      <c r="C119" s="230"/>
      <c r="D119" s="231"/>
      <c r="E119" s="157"/>
      <c r="F119" s="12"/>
      <c r="G119" s="158"/>
    </row>
    <row r="120">
      <c r="A120" s="153"/>
      <c r="B120" s="229"/>
      <c r="C120" s="230"/>
      <c r="D120" s="231"/>
      <c r="E120" s="157"/>
      <c r="F120" s="12"/>
      <c r="G120" s="158"/>
    </row>
    <row r="121">
      <c r="A121" s="153"/>
      <c r="B121" s="229"/>
      <c r="C121" s="230"/>
      <c r="D121" s="231"/>
      <c r="E121" s="157"/>
      <c r="F121" s="12"/>
      <c r="G121" s="158"/>
    </row>
    <row r="122">
      <c r="A122" s="153"/>
      <c r="B122" s="229"/>
      <c r="C122" s="230"/>
      <c r="D122" s="231"/>
      <c r="E122" s="157"/>
      <c r="F122" s="12"/>
      <c r="G122" s="158"/>
    </row>
    <row r="123">
      <c r="A123" s="153"/>
      <c r="B123" s="229"/>
      <c r="C123" s="230"/>
      <c r="D123" s="231"/>
      <c r="E123" s="157"/>
      <c r="F123" s="12"/>
      <c r="G123" s="158"/>
    </row>
    <row r="124">
      <c r="A124" s="153"/>
      <c r="B124" s="229"/>
      <c r="C124" s="230"/>
      <c r="D124" s="231"/>
      <c r="E124" s="157"/>
      <c r="F124" s="12"/>
      <c r="G124" s="158"/>
    </row>
    <row r="125">
      <c r="A125" s="153"/>
      <c r="B125" s="229"/>
      <c r="C125" s="230"/>
      <c r="D125" s="231"/>
      <c r="E125" s="157"/>
      <c r="F125" s="12"/>
      <c r="G125" s="158"/>
    </row>
    <row r="126">
      <c r="A126" s="153"/>
      <c r="B126" s="229"/>
      <c r="C126" s="230"/>
      <c r="D126" s="231"/>
      <c r="E126" s="157"/>
      <c r="F126" s="12"/>
      <c r="G126" s="158"/>
    </row>
    <row r="127">
      <c r="A127" s="153"/>
      <c r="B127" s="229"/>
      <c r="C127" s="230"/>
      <c r="D127" s="231"/>
      <c r="E127" s="157"/>
      <c r="F127" s="12"/>
      <c r="G127" s="158"/>
    </row>
    <row r="128">
      <c r="A128" s="153"/>
      <c r="B128" s="229"/>
      <c r="C128" s="230"/>
      <c r="D128" s="231"/>
      <c r="E128" s="157"/>
      <c r="F128" s="12"/>
      <c r="G128" s="158"/>
    </row>
    <row r="129">
      <c r="A129" s="153"/>
      <c r="B129" s="229"/>
      <c r="C129" s="230"/>
      <c r="D129" s="231"/>
      <c r="E129" s="157"/>
      <c r="F129" s="12"/>
      <c r="G129" s="158"/>
    </row>
    <row r="130">
      <c r="A130" s="153"/>
      <c r="B130" s="229"/>
      <c r="C130" s="230"/>
      <c r="D130" s="231"/>
      <c r="E130" s="157"/>
      <c r="F130" s="12"/>
      <c r="G130" s="158"/>
    </row>
    <row r="131">
      <c r="A131" s="153"/>
      <c r="B131" s="229"/>
      <c r="C131" s="230"/>
      <c r="D131" s="231"/>
      <c r="E131" s="157"/>
      <c r="F131" s="12"/>
      <c r="G131" s="158"/>
    </row>
    <row r="132">
      <c r="A132" s="153"/>
      <c r="B132" s="229"/>
      <c r="C132" s="230"/>
      <c r="D132" s="231"/>
      <c r="E132" s="157"/>
      <c r="F132" s="12"/>
      <c r="G132" s="158"/>
    </row>
    <row r="133">
      <c r="A133" s="153"/>
      <c r="B133" s="229"/>
      <c r="C133" s="230"/>
      <c r="D133" s="231"/>
      <c r="E133" s="157"/>
      <c r="F133" s="12"/>
      <c r="G133" s="158"/>
    </row>
    <row r="134">
      <c r="A134" s="153"/>
      <c r="B134" s="229"/>
      <c r="C134" s="230"/>
      <c r="D134" s="231"/>
      <c r="E134" s="157"/>
      <c r="F134" s="12"/>
      <c r="G134" s="158"/>
    </row>
    <row r="135">
      <c r="A135" s="153"/>
      <c r="B135" s="229"/>
      <c r="C135" s="230"/>
      <c r="D135" s="231"/>
      <c r="E135" s="157"/>
      <c r="F135" s="12"/>
      <c r="G135" s="158"/>
    </row>
    <row r="136">
      <c r="A136" s="153"/>
      <c r="B136" s="229"/>
      <c r="C136" s="230"/>
      <c r="D136" s="231"/>
      <c r="E136" s="157"/>
      <c r="F136" s="12"/>
      <c r="G136" s="158"/>
    </row>
    <row r="137">
      <c r="A137" s="153"/>
      <c r="B137" s="229"/>
      <c r="C137" s="230"/>
      <c r="D137" s="231"/>
      <c r="E137" s="157"/>
      <c r="F137" s="12"/>
      <c r="G137" s="158"/>
    </row>
    <row r="138">
      <c r="A138" s="153"/>
      <c r="B138" s="229"/>
      <c r="C138" s="230"/>
      <c r="D138" s="231"/>
      <c r="E138" s="157"/>
      <c r="F138" s="12"/>
      <c r="G138" s="158"/>
    </row>
    <row r="139">
      <c r="A139" s="153"/>
      <c r="B139" s="229"/>
      <c r="C139" s="230"/>
      <c r="D139" s="231"/>
      <c r="E139" s="157"/>
      <c r="F139" s="12"/>
      <c r="G139" s="158"/>
    </row>
    <row r="140">
      <c r="A140" s="153"/>
      <c r="B140" s="229"/>
      <c r="C140" s="230"/>
      <c r="D140" s="231"/>
      <c r="E140" s="157"/>
      <c r="F140" s="12"/>
      <c r="G140" s="158"/>
    </row>
    <row r="141">
      <c r="A141" s="153"/>
      <c r="B141" s="229"/>
      <c r="C141" s="230"/>
      <c r="D141" s="231"/>
      <c r="E141" s="157"/>
      <c r="F141" s="12"/>
      <c r="G141" s="158"/>
    </row>
    <row r="142">
      <c r="A142" s="153"/>
      <c r="B142" s="229"/>
      <c r="C142" s="230"/>
      <c r="D142" s="231"/>
      <c r="E142" s="157"/>
      <c r="F142" s="12"/>
      <c r="G142" s="158"/>
    </row>
    <row r="143">
      <c r="A143" s="153"/>
      <c r="B143" s="229"/>
      <c r="C143" s="230"/>
      <c r="D143" s="231"/>
      <c r="E143" s="157"/>
      <c r="F143" s="12"/>
      <c r="G143" s="158"/>
    </row>
    <row r="144">
      <c r="A144" s="153"/>
      <c r="B144" s="229"/>
      <c r="C144" s="230"/>
      <c r="D144" s="231"/>
      <c r="E144" s="157"/>
      <c r="F144" s="12"/>
      <c r="G144" s="158"/>
    </row>
    <row r="145">
      <c r="A145" s="153"/>
      <c r="B145" s="229"/>
      <c r="C145" s="230"/>
      <c r="D145" s="231"/>
      <c r="E145" s="157"/>
      <c r="F145" s="12"/>
      <c r="G145" s="158"/>
    </row>
    <row r="146">
      <c r="A146" s="153"/>
      <c r="B146" s="229"/>
      <c r="C146" s="230"/>
      <c r="D146" s="231"/>
      <c r="E146" s="157"/>
      <c r="F146" s="12"/>
      <c r="G146" s="158"/>
    </row>
    <row r="147">
      <c r="A147" s="153"/>
      <c r="B147" s="229"/>
      <c r="C147" s="230"/>
      <c r="D147" s="231"/>
      <c r="E147" s="157"/>
      <c r="F147" s="12"/>
      <c r="G147" s="158"/>
    </row>
    <row r="148">
      <c r="A148" s="153"/>
      <c r="B148" s="229"/>
      <c r="C148" s="230"/>
      <c r="D148" s="231"/>
      <c r="E148" s="157"/>
      <c r="F148" s="12"/>
      <c r="G148" s="158"/>
    </row>
    <row r="149">
      <c r="A149" s="153"/>
      <c r="B149" s="229"/>
      <c r="C149" s="230"/>
      <c r="D149" s="231"/>
      <c r="E149" s="157"/>
      <c r="F149" s="12"/>
      <c r="G149" s="158"/>
    </row>
    <row r="150">
      <c r="A150" s="153"/>
      <c r="B150" s="229"/>
      <c r="C150" s="230"/>
      <c r="D150" s="231"/>
      <c r="E150" s="157"/>
      <c r="F150" s="12"/>
      <c r="G150" s="158"/>
    </row>
    <row r="151">
      <c r="A151" s="153"/>
      <c r="B151" s="229"/>
      <c r="C151" s="230"/>
      <c r="D151" s="231"/>
      <c r="E151" s="157"/>
      <c r="F151" s="12"/>
      <c r="G151" s="158"/>
    </row>
    <row r="152">
      <c r="A152" s="153"/>
      <c r="B152" s="229"/>
      <c r="C152" s="230"/>
      <c r="D152" s="231"/>
      <c r="E152" s="157"/>
      <c r="F152" s="12"/>
      <c r="G152" s="158"/>
    </row>
    <row r="153">
      <c r="A153" s="153"/>
      <c r="B153" s="229"/>
      <c r="C153" s="230"/>
      <c r="D153" s="231"/>
      <c r="E153" s="157"/>
      <c r="F153" s="12"/>
      <c r="G153" s="158"/>
    </row>
    <row r="154">
      <c r="A154" s="153"/>
      <c r="B154" s="229"/>
      <c r="C154" s="230"/>
      <c r="D154" s="231"/>
      <c r="E154" s="157"/>
      <c r="F154" s="12"/>
      <c r="G154" s="158"/>
    </row>
    <row r="155">
      <c r="A155" s="153"/>
      <c r="B155" s="229"/>
      <c r="C155" s="230"/>
      <c r="D155" s="231"/>
      <c r="E155" s="157"/>
      <c r="F155" s="12"/>
      <c r="G155" s="158"/>
    </row>
    <row r="156">
      <c r="A156" s="153"/>
      <c r="B156" s="229"/>
      <c r="C156" s="230"/>
      <c r="D156" s="231"/>
      <c r="E156" s="157"/>
      <c r="F156" s="12"/>
      <c r="G156" s="158"/>
    </row>
    <row r="157">
      <c r="A157" s="153"/>
      <c r="B157" s="229"/>
      <c r="C157" s="230"/>
      <c r="D157" s="231"/>
      <c r="E157" s="157"/>
      <c r="F157" s="12"/>
      <c r="G157" s="158"/>
    </row>
    <row r="158">
      <c r="A158" s="153"/>
      <c r="B158" s="229"/>
      <c r="C158" s="230"/>
      <c r="D158" s="231"/>
      <c r="E158" s="157"/>
      <c r="F158" s="12"/>
      <c r="G158" s="158"/>
    </row>
    <row r="159">
      <c r="A159" s="153"/>
      <c r="B159" s="229"/>
      <c r="C159" s="230"/>
      <c r="D159" s="231"/>
      <c r="E159" s="157"/>
      <c r="F159" s="12"/>
      <c r="G159" s="158"/>
    </row>
    <row r="160">
      <c r="A160" s="153"/>
      <c r="B160" s="229"/>
      <c r="C160" s="230"/>
      <c r="D160" s="231"/>
      <c r="E160" s="157"/>
      <c r="F160" s="12"/>
      <c r="G160" s="158"/>
    </row>
    <row r="161">
      <c r="A161" s="153"/>
      <c r="B161" s="229"/>
      <c r="C161" s="230"/>
      <c r="D161" s="231"/>
      <c r="E161" s="157"/>
      <c r="F161" s="12"/>
      <c r="G161" s="158"/>
    </row>
    <row r="162">
      <c r="A162" s="153"/>
      <c r="B162" s="229"/>
      <c r="C162" s="230"/>
      <c r="D162" s="231"/>
      <c r="E162" s="157"/>
      <c r="F162" s="12"/>
      <c r="G162" s="158"/>
    </row>
    <row r="163">
      <c r="A163" s="153"/>
      <c r="B163" s="229"/>
      <c r="C163" s="230"/>
      <c r="D163" s="231"/>
      <c r="E163" s="157"/>
      <c r="F163" s="12"/>
      <c r="G163" s="158"/>
    </row>
    <row r="164">
      <c r="A164" s="153"/>
      <c r="B164" s="229"/>
      <c r="C164" s="230"/>
      <c r="D164" s="231"/>
      <c r="E164" s="157"/>
      <c r="F164" s="12"/>
      <c r="G164" s="158"/>
    </row>
    <row r="165">
      <c r="A165" s="153"/>
      <c r="B165" s="229"/>
      <c r="C165" s="230"/>
      <c r="D165" s="231"/>
      <c r="E165" s="157"/>
      <c r="F165" s="12"/>
      <c r="G165" s="158"/>
    </row>
    <row r="166">
      <c r="A166" s="153"/>
      <c r="B166" s="229"/>
      <c r="C166" s="230"/>
      <c r="D166" s="231"/>
      <c r="E166" s="157"/>
      <c r="F166" s="12"/>
      <c r="G166" s="158"/>
    </row>
    <row r="167">
      <c r="A167" s="153"/>
      <c r="B167" s="229"/>
      <c r="C167" s="230"/>
      <c r="D167" s="231"/>
      <c r="E167" s="157"/>
      <c r="F167" s="12"/>
      <c r="G167" s="158"/>
    </row>
    <row r="168">
      <c r="A168" s="153"/>
      <c r="B168" s="229"/>
      <c r="C168" s="230"/>
      <c r="D168" s="231"/>
      <c r="E168" s="157"/>
      <c r="F168" s="12"/>
      <c r="G168" s="158"/>
    </row>
    <row r="169">
      <c r="A169" s="153"/>
      <c r="B169" s="229"/>
      <c r="C169" s="230"/>
      <c r="D169" s="231"/>
      <c r="E169" s="157"/>
      <c r="F169" s="12"/>
      <c r="G169" s="158"/>
    </row>
    <row r="170">
      <c r="A170" s="153"/>
      <c r="B170" s="229"/>
      <c r="C170" s="230"/>
      <c r="D170" s="231"/>
      <c r="E170" s="157"/>
      <c r="F170" s="12"/>
      <c r="G170" s="158"/>
    </row>
    <row r="171">
      <c r="A171" s="153"/>
      <c r="B171" s="229"/>
      <c r="C171" s="230"/>
      <c r="D171" s="231"/>
      <c r="E171" s="157"/>
      <c r="F171" s="12"/>
      <c r="G171" s="158"/>
    </row>
    <row r="172">
      <c r="A172" s="153"/>
      <c r="B172" s="229"/>
      <c r="C172" s="230"/>
      <c r="D172" s="231"/>
      <c r="E172" s="157"/>
      <c r="F172" s="12"/>
      <c r="G172" s="158"/>
    </row>
    <row r="173">
      <c r="A173" s="153"/>
      <c r="B173" s="229"/>
      <c r="C173" s="230"/>
      <c r="D173" s="231"/>
      <c r="E173" s="157"/>
      <c r="F173" s="12"/>
      <c r="G173" s="158"/>
    </row>
    <row r="174">
      <c r="A174" s="153"/>
      <c r="B174" s="229"/>
      <c r="C174" s="230"/>
      <c r="D174" s="231"/>
      <c r="E174" s="157"/>
      <c r="F174" s="12"/>
      <c r="G174" s="158"/>
    </row>
    <row r="175">
      <c r="A175" s="153"/>
      <c r="B175" s="229"/>
      <c r="C175" s="230"/>
      <c r="D175" s="231"/>
      <c r="E175" s="157"/>
      <c r="F175" s="12"/>
      <c r="G175" s="158"/>
    </row>
    <row r="176">
      <c r="A176" s="153"/>
      <c r="B176" s="229"/>
      <c r="C176" s="230"/>
      <c r="D176" s="231"/>
      <c r="E176" s="157"/>
      <c r="F176" s="12"/>
      <c r="G176" s="158"/>
    </row>
    <row r="177">
      <c r="A177" s="153"/>
      <c r="B177" s="229"/>
      <c r="C177" s="230"/>
      <c r="D177" s="231"/>
      <c r="E177" s="157"/>
      <c r="F177" s="12"/>
      <c r="G177" s="158"/>
    </row>
    <row r="178">
      <c r="A178" s="153"/>
      <c r="B178" s="229"/>
      <c r="C178" s="230"/>
      <c r="D178" s="231"/>
      <c r="E178" s="157"/>
      <c r="F178" s="12"/>
      <c r="G178" s="158"/>
    </row>
    <row r="179">
      <c r="A179" s="153"/>
      <c r="B179" s="229"/>
      <c r="C179" s="230"/>
      <c r="D179" s="231"/>
      <c r="E179" s="157"/>
      <c r="F179" s="12"/>
      <c r="G179" s="158"/>
    </row>
    <row r="180">
      <c r="A180" s="153"/>
      <c r="B180" s="229"/>
      <c r="C180" s="230"/>
      <c r="D180" s="231"/>
      <c r="E180" s="157"/>
      <c r="F180" s="12"/>
      <c r="G180" s="158"/>
    </row>
    <row r="181">
      <c r="A181" s="153"/>
      <c r="B181" s="229"/>
      <c r="C181" s="230"/>
      <c r="D181" s="231"/>
      <c r="E181" s="157"/>
      <c r="F181" s="12"/>
      <c r="G181" s="158"/>
    </row>
    <row r="182">
      <c r="A182" s="153"/>
      <c r="B182" s="229"/>
      <c r="C182" s="230"/>
      <c r="D182" s="231"/>
      <c r="E182" s="157"/>
      <c r="F182" s="12"/>
      <c r="G182" s="158"/>
    </row>
    <row r="183">
      <c r="A183" s="153"/>
      <c r="B183" s="229"/>
      <c r="C183" s="230"/>
      <c r="D183" s="231"/>
      <c r="E183" s="157"/>
      <c r="F183" s="12"/>
      <c r="G183" s="158"/>
    </row>
    <row r="184">
      <c r="A184" s="153"/>
      <c r="B184" s="229"/>
      <c r="C184" s="230"/>
      <c r="D184" s="231"/>
      <c r="E184" s="157"/>
      <c r="F184" s="12"/>
      <c r="G184" s="158"/>
    </row>
    <row r="185">
      <c r="A185" s="153"/>
      <c r="B185" s="229"/>
      <c r="C185" s="230"/>
      <c r="D185" s="231"/>
      <c r="E185" s="157"/>
      <c r="F185" s="12"/>
      <c r="G185" s="158"/>
    </row>
    <row r="186">
      <c r="A186" s="153"/>
      <c r="B186" s="229"/>
      <c r="C186" s="230"/>
      <c r="D186" s="231"/>
      <c r="E186" s="157"/>
      <c r="F186" s="12"/>
      <c r="G186" s="158"/>
    </row>
    <row r="187">
      <c r="A187" s="153"/>
      <c r="B187" s="229"/>
      <c r="C187" s="230"/>
      <c r="D187" s="231"/>
      <c r="E187" s="157"/>
      <c r="F187" s="12"/>
      <c r="G187" s="158"/>
    </row>
    <row r="188">
      <c r="A188" s="153"/>
      <c r="B188" s="229"/>
      <c r="C188" s="230"/>
      <c r="D188" s="231"/>
      <c r="E188" s="157"/>
      <c r="F188" s="12"/>
      <c r="G188" s="158"/>
    </row>
    <row r="189">
      <c r="A189" s="153"/>
      <c r="B189" s="229"/>
      <c r="C189" s="230"/>
      <c r="D189" s="231"/>
      <c r="E189" s="157"/>
      <c r="F189" s="12"/>
      <c r="G189" s="158"/>
    </row>
    <row r="190">
      <c r="A190" s="153"/>
      <c r="B190" s="229"/>
      <c r="C190" s="230"/>
      <c r="D190" s="231"/>
      <c r="E190" s="157"/>
      <c r="F190" s="12"/>
      <c r="G190" s="158"/>
    </row>
    <row r="191">
      <c r="A191" s="153"/>
      <c r="B191" s="229"/>
      <c r="C191" s="230"/>
      <c r="D191" s="231"/>
      <c r="E191" s="157"/>
      <c r="F191" s="12"/>
      <c r="G191" s="158"/>
    </row>
    <row r="192">
      <c r="A192" s="153"/>
      <c r="B192" s="229"/>
      <c r="C192" s="230"/>
      <c r="D192" s="231"/>
      <c r="E192" s="157"/>
      <c r="F192" s="12"/>
      <c r="G192" s="158"/>
    </row>
    <row r="193">
      <c r="A193" s="153"/>
      <c r="B193" s="229"/>
      <c r="C193" s="230"/>
      <c r="D193" s="231"/>
      <c r="E193" s="157"/>
      <c r="F193" s="12"/>
      <c r="G193" s="158"/>
    </row>
    <row r="194">
      <c r="A194" s="153"/>
      <c r="B194" s="229"/>
      <c r="C194" s="230"/>
      <c r="D194" s="231"/>
      <c r="E194" s="157"/>
      <c r="F194" s="12"/>
      <c r="G194" s="158"/>
    </row>
    <row r="195">
      <c r="A195" s="153"/>
      <c r="B195" s="229"/>
      <c r="C195" s="230"/>
      <c r="D195" s="231"/>
      <c r="E195" s="157"/>
      <c r="F195" s="12"/>
      <c r="G195" s="158"/>
    </row>
    <row r="196">
      <c r="A196" s="153"/>
      <c r="B196" s="229"/>
      <c r="C196" s="230"/>
      <c r="D196" s="231"/>
      <c r="E196" s="157"/>
      <c r="F196" s="12"/>
      <c r="G196" s="158"/>
    </row>
    <row r="197">
      <c r="A197" s="153"/>
      <c r="B197" s="229"/>
      <c r="C197" s="230"/>
      <c r="D197" s="231"/>
      <c r="E197" s="157"/>
      <c r="F197" s="12"/>
      <c r="G197" s="158"/>
    </row>
    <row r="198">
      <c r="A198" s="153"/>
      <c r="B198" s="229"/>
      <c r="C198" s="230"/>
      <c r="D198" s="231"/>
      <c r="E198" s="157"/>
      <c r="F198" s="12"/>
      <c r="G198" s="158"/>
    </row>
    <row r="199">
      <c r="A199" s="153"/>
      <c r="B199" s="229"/>
      <c r="C199" s="230"/>
      <c r="D199" s="231"/>
      <c r="E199" s="157"/>
      <c r="F199" s="12"/>
      <c r="G199" s="158"/>
    </row>
    <row r="200">
      <c r="A200" s="153"/>
      <c r="B200" s="229"/>
      <c r="C200" s="230"/>
      <c r="D200" s="231"/>
      <c r="E200" s="157"/>
      <c r="F200" s="12"/>
      <c r="G200" s="158"/>
    </row>
    <row r="201">
      <c r="A201" s="153"/>
      <c r="B201" s="229"/>
      <c r="C201" s="230"/>
      <c r="D201" s="231"/>
      <c r="E201" s="157"/>
      <c r="F201" s="12"/>
      <c r="G201" s="158"/>
    </row>
    <row r="202">
      <c r="A202" s="153"/>
      <c r="B202" s="229"/>
      <c r="C202" s="230"/>
      <c r="D202" s="231"/>
      <c r="E202" s="157"/>
      <c r="F202" s="12"/>
      <c r="G202" s="158"/>
    </row>
    <row r="203">
      <c r="A203" s="153"/>
      <c r="B203" s="229"/>
      <c r="C203" s="230"/>
      <c r="D203" s="231"/>
      <c r="E203" s="157"/>
      <c r="F203" s="12"/>
      <c r="G203" s="158"/>
    </row>
    <row r="204">
      <c r="A204" s="153"/>
      <c r="B204" s="229"/>
      <c r="C204" s="230"/>
      <c r="D204" s="231"/>
      <c r="E204" s="157"/>
      <c r="F204" s="12"/>
      <c r="G204" s="158"/>
    </row>
    <row r="205">
      <c r="A205" s="153"/>
      <c r="B205" s="229"/>
      <c r="C205" s="230"/>
      <c r="D205" s="231"/>
      <c r="E205" s="157"/>
      <c r="F205" s="12"/>
      <c r="G205" s="158"/>
    </row>
    <row r="206">
      <c r="A206" s="153"/>
      <c r="B206" s="229"/>
      <c r="C206" s="230"/>
      <c r="D206" s="231"/>
      <c r="E206" s="157"/>
      <c r="F206" s="12"/>
      <c r="G206" s="158"/>
    </row>
    <row r="207">
      <c r="A207" s="153"/>
      <c r="B207" s="229"/>
      <c r="C207" s="230"/>
      <c r="D207" s="231"/>
      <c r="E207" s="157"/>
      <c r="F207" s="12"/>
      <c r="G207" s="158"/>
    </row>
    <row r="208">
      <c r="A208" s="153"/>
      <c r="B208" s="229"/>
      <c r="C208" s="230"/>
      <c r="D208" s="231"/>
      <c r="E208" s="157"/>
      <c r="F208" s="12"/>
      <c r="G208" s="158"/>
    </row>
    <row r="209">
      <c r="A209" s="153"/>
      <c r="B209" s="229"/>
      <c r="C209" s="230"/>
      <c r="D209" s="231"/>
      <c r="E209" s="157"/>
      <c r="F209" s="12"/>
      <c r="G209" s="158"/>
    </row>
    <row r="210">
      <c r="A210" s="153"/>
      <c r="B210" s="229"/>
      <c r="C210" s="230"/>
      <c r="D210" s="231"/>
      <c r="E210" s="157"/>
      <c r="F210" s="12"/>
      <c r="G210" s="158"/>
    </row>
    <row r="211">
      <c r="A211" s="153"/>
      <c r="B211" s="229"/>
      <c r="C211" s="230"/>
      <c r="D211" s="231"/>
      <c r="E211" s="157"/>
      <c r="F211" s="12"/>
      <c r="G211" s="158"/>
    </row>
    <row r="212">
      <c r="A212" s="153"/>
      <c r="B212" s="229"/>
      <c r="C212" s="230"/>
      <c r="D212" s="231"/>
      <c r="E212" s="157"/>
      <c r="F212" s="12"/>
      <c r="G212" s="158"/>
    </row>
    <row r="213">
      <c r="A213" s="153"/>
      <c r="B213" s="229"/>
      <c r="C213" s="230"/>
      <c r="D213" s="231"/>
      <c r="E213" s="157"/>
      <c r="F213" s="12"/>
      <c r="G213" s="158"/>
    </row>
    <row r="214">
      <c r="A214" s="153"/>
      <c r="B214" s="229"/>
      <c r="C214" s="230"/>
      <c r="D214" s="231"/>
      <c r="E214" s="157"/>
      <c r="F214" s="12"/>
      <c r="G214" s="158"/>
    </row>
    <row r="215">
      <c r="A215" s="153"/>
      <c r="B215" s="229"/>
      <c r="C215" s="230"/>
      <c r="D215" s="231"/>
      <c r="E215" s="157"/>
      <c r="F215" s="12"/>
      <c r="G215" s="158"/>
    </row>
    <row r="216">
      <c r="A216" s="153"/>
      <c r="B216" s="229"/>
      <c r="C216" s="230"/>
      <c r="D216" s="231"/>
      <c r="E216" s="157"/>
      <c r="F216" s="12"/>
      <c r="G216" s="158"/>
    </row>
    <row r="217">
      <c r="A217" s="153"/>
      <c r="B217" s="229"/>
      <c r="C217" s="230"/>
      <c r="D217" s="231"/>
      <c r="E217" s="157"/>
      <c r="F217" s="12"/>
      <c r="G217" s="158"/>
    </row>
    <row r="218">
      <c r="A218" s="153"/>
      <c r="B218" s="229"/>
      <c r="C218" s="230"/>
      <c r="D218" s="231"/>
      <c r="E218" s="157"/>
      <c r="F218" s="12"/>
      <c r="G218" s="158"/>
    </row>
    <row r="219">
      <c r="A219" s="153"/>
      <c r="B219" s="229"/>
      <c r="C219" s="230"/>
      <c r="D219" s="231"/>
      <c r="E219" s="157"/>
      <c r="F219" s="12"/>
      <c r="G219" s="158"/>
    </row>
    <row r="220">
      <c r="A220" s="153"/>
      <c r="B220" s="229"/>
      <c r="C220" s="230"/>
      <c r="D220" s="231"/>
      <c r="E220" s="157"/>
      <c r="F220" s="12"/>
      <c r="G220" s="158"/>
    </row>
    <row r="221">
      <c r="A221" s="153"/>
      <c r="B221" s="229"/>
      <c r="C221" s="230"/>
      <c r="D221" s="231"/>
      <c r="E221" s="157"/>
      <c r="F221" s="12"/>
      <c r="G221" s="158"/>
    </row>
    <row r="222">
      <c r="A222" s="153"/>
      <c r="B222" s="229"/>
      <c r="C222" s="230"/>
      <c r="D222" s="231"/>
      <c r="E222" s="157"/>
      <c r="F222" s="12"/>
      <c r="G222" s="158"/>
    </row>
    <row r="223">
      <c r="A223" s="153"/>
      <c r="B223" s="229"/>
      <c r="C223" s="230"/>
      <c r="D223" s="231"/>
      <c r="E223" s="157"/>
      <c r="F223" s="12"/>
      <c r="G223" s="158"/>
    </row>
    <row r="224">
      <c r="A224" s="153"/>
      <c r="B224" s="229"/>
      <c r="C224" s="230"/>
      <c r="D224" s="231"/>
      <c r="E224" s="157"/>
      <c r="F224" s="12"/>
      <c r="G224" s="158"/>
    </row>
    <row r="225">
      <c r="A225" s="153"/>
      <c r="B225" s="229"/>
      <c r="C225" s="230"/>
      <c r="D225" s="231"/>
      <c r="E225" s="157"/>
      <c r="F225" s="12"/>
      <c r="G225" s="158"/>
    </row>
    <row r="226">
      <c r="A226" s="153"/>
      <c r="B226" s="229"/>
      <c r="C226" s="230"/>
      <c r="D226" s="231"/>
      <c r="E226" s="157"/>
      <c r="F226" s="12"/>
      <c r="G226" s="158"/>
    </row>
    <row r="227">
      <c r="A227" s="153"/>
      <c r="B227" s="229"/>
      <c r="C227" s="230"/>
      <c r="D227" s="231"/>
      <c r="E227" s="157"/>
      <c r="F227" s="12"/>
      <c r="G227" s="158"/>
    </row>
    <row r="228">
      <c r="A228" s="153"/>
      <c r="B228" s="229"/>
      <c r="C228" s="230"/>
      <c r="D228" s="231"/>
      <c r="E228" s="157"/>
      <c r="F228" s="12"/>
      <c r="G228" s="158"/>
    </row>
    <row r="229">
      <c r="A229" s="153"/>
      <c r="B229" s="229"/>
      <c r="C229" s="230"/>
      <c r="D229" s="231"/>
      <c r="E229" s="157"/>
      <c r="F229" s="12"/>
      <c r="G229" s="158"/>
    </row>
    <row r="230">
      <c r="A230" s="153"/>
      <c r="B230" s="229"/>
      <c r="C230" s="230"/>
      <c r="D230" s="231"/>
      <c r="E230" s="157"/>
      <c r="F230" s="12"/>
      <c r="G230" s="158"/>
    </row>
    <row r="231">
      <c r="A231" s="153"/>
      <c r="B231" s="229"/>
      <c r="C231" s="230"/>
      <c r="D231" s="231"/>
      <c r="E231" s="157"/>
      <c r="F231" s="12"/>
      <c r="G231" s="158"/>
    </row>
    <row r="232">
      <c r="A232" s="153"/>
      <c r="B232" s="229"/>
      <c r="C232" s="230"/>
      <c r="D232" s="231"/>
      <c r="E232" s="157"/>
      <c r="F232" s="12"/>
      <c r="G232" s="158"/>
    </row>
    <row r="233">
      <c r="A233" s="153"/>
      <c r="B233" s="229"/>
      <c r="C233" s="230"/>
      <c r="D233" s="231"/>
      <c r="E233" s="157"/>
      <c r="F233" s="12"/>
      <c r="G233" s="158"/>
    </row>
    <row r="234">
      <c r="A234" s="153"/>
      <c r="B234" s="229"/>
      <c r="C234" s="230"/>
      <c r="D234" s="231"/>
      <c r="E234" s="157"/>
      <c r="F234" s="12"/>
      <c r="G234" s="158"/>
    </row>
    <row r="235">
      <c r="A235" s="153"/>
      <c r="B235" s="229"/>
      <c r="C235" s="230"/>
      <c r="D235" s="231"/>
      <c r="E235" s="157"/>
      <c r="F235" s="12"/>
      <c r="G235" s="158"/>
    </row>
    <row r="236">
      <c r="A236" s="153"/>
      <c r="B236" s="229"/>
      <c r="C236" s="230"/>
      <c r="D236" s="231"/>
      <c r="E236" s="157"/>
      <c r="F236" s="12"/>
      <c r="G236" s="158"/>
    </row>
    <row r="237">
      <c r="A237" s="153"/>
      <c r="B237" s="229"/>
      <c r="C237" s="230"/>
      <c r="D237" s="231"/>
      <c r="E237" s="157"/>
      <c r="F237" s="12"/>
      <c r="G237" s="158"/>
    </row>
    <row r="238">
      <c r="A238" s="153"/>
      <c r="B238" s="229"/>
      <c r="C238" s="230"/>
      <c r="D238" s="231"/>
      <c r="E238" s="157"/>
      <c r="F238" s="12"/>
      <c r="G238" s="158"/>
    </row>
    <row r="239">
      <c r="A239" s="153"/>
      <c r="B239" s="229"/>
      <c r="C239" s="230"/>
      <c r="D239" s="231"/>
      <c r="E239" s="157"/>
      <c r="F239" s="12"/>
      <c r="G239" s="158"/>
    </row>
    <row r="240">
      <c r="A240" s="153"/>
      <c r="B240" s="229"/>
      <c r="C240" s="230"/>
      <c r="D240" s="231"/>
      <c r="E240" s="157"/>
      <c r="F240" s="12"/>
      <c r="G240" s="158"/>
    </row>
    <row r="241">
      <c r="A241" s="153"/>
      <c r="B241" s="229"/>
      <c r="C241" s="230"/>
      <c r="D241" s="231"/>
      <c r="E241" s="157"/>
      <c r="F241" s="12"/>
      <c r="G241" s="158"/>
    </row>
    <row r="242">
      <c r="A242" s="153"/>
      <c r="B242" s="229"/>
      <c r="C242" s="230"/>
      <c r="D242" s="231"/>
      <c r="E242" s="157"/>
      <c r="F242" s="12"/>
      <c r="G242" s="158"/>
    </row>
    <row r="243">
      <c r="A243" s="153"/>
      <c r="B243" s="229"/>
      <c r="C243" s="230"/>
      <c r="D243" s="231"/>
      <c r="E243" s="157"/>
      <c r="F243" s="12"/>
      <c r="G243" s="158"/>
    </row>
    <row r="244">
      <c r="A244" s="153"/>
      <c r="B244" s="229"/>
      <c r="C244" s="230"/>
      <c r="D244" s="231"/>
      <c r="E244" s="157"/>
      <c r="F244" s="12"/>
      <c r="G244" s="158"/>
    </row>
    <row r="245">
      <c r="A245" s="153"/>
      <c r="B245" s="229"/>
      <c r="C245" s="230"/>
      <c r="D245" s="231"/>
      <c r="E245" s="157"/>
      <c r="F245" s="12"/>
      <c r="G245" s="158"/>
    </row>
    <row r="246">
      <c r="A246" s="153"/>
      <c r="B246" s="229"/>
      <c r="C246" s="230"/>
      <c r="D246" s="231"/>
      <c r="E246" s="157"/>
      <c r="F246" s="12"/>
      <c r="G246" s="158"/>
    </row>
    <row r="247">
      <c r="A247" s="153"/>
      <c r="B247" s="229"/>
      <c r="C247" s="230"/>
      <c r="D247" s="231"/>
      <c r="E247" s="157"/>
      <c r="F247" s="12"/>
      <c r="G247" s="158"/>
    </row>
    <row r="248">
      <c r="A248" s="153"/>
      <c r="B248" s="229"/>
      <c r="C248" s="230"/>
      <c r="D248" s="231"/>
      <c r="E248" s="157"/>
      <c r="F248" s="12"/>
      <c r="G248" s="158"/>
    </row>
    <row r="249">
      <c r="A249" s="153"/>
      <c r="B249" s="229"/>
      <c r="C249" s="230"/>
      <c r="D249" s="231"/>
      <c r="E249" s="157"/>
      <c r="F249" s="12"/>
      <c r="G249" s="158"/>
    </row>
    <row r="250">
      <c r="A250" s="153"/>
      <c r="B250" s="229"/>
      <c r="C250" s="230"/>
      <c r="D250" s="231"/>
      <c r="E250" s="157"/>
      <c r="F250" s="12"/>
      <c r="G250" s="158"/>
    </row>
    <row r="251">
      <c r="A251" s="153"/>
      <c r="B251" s="229"/>
      <c r="C251" s="230"/>
      <c r="D251" s="231"/>
      <c r="E251" s="157"/>
      <c r="F251" s="12"/>
      <c r="G251" s="158"/>
    </row>
    <row r="252">
      <c r="A252" s="153"/>
      <c r="B252" s="229"/>
      <c r="C252" s="230"/>
      <c r="D252" s="231"/>
      <c r="E252" s="157"/>
      <c r="F252" s="12"/>
      <c r="G252" s="158"/>
    </row>
    <row r="253">
      <c r="A253" s="153"/>
      <c r="B253" s="229"/>
      <c r="C253" s="230"/>
      <c r="D253" s="231"/>
      <c r="E253" s="157"/>
      <c r="F253" s="12"/>
      <c r="G253" s="158"/>
    </row>
    <row r="254">
      <c r="A254" s="153"/>
      <c r="B254" s="229"/>
      <c r="C254" s="230"/>
      <c r="D254" s="231"/>
      <c r="E254" s="157"/>
      <c r="F254" s="12"/>
      <c r="G254" s="158"/>
    </row>
    <row r="255">
      <c r="A255" s="153"/>
      <c r="B255" s="229"/>
      <c r="C255" s="230"/>
      <c r="D255" s="231"/>
      <c r="E255" s="157"/>
      <c r="F255" s="12"/>
      <c r="G255" s="158"/>
    </row>
    <row r="256">
      <c r="A256" s="153"/>
      <c r="B256" s="229"/>
      <c r="C256" s="230"/>
      <c r="D256" s="231"/>
      <c r="E256" s="157"/>
      <c r="F256" s="12"/>
      <c r="G256" s="158"/>
    </row>
    <row r="257">
      <c r="A257" s="153"/>
      <c r="B257" s="229"/>
      <c r="C257" s="230"/>
      <c r="D257" s="231"/>
      <c r="E257" s="157"/>
      <c r="F257" s="12"/>
      <c r="G257" s="158"/>
    </row>
    <row r="258">
      <c r="A258" s="153"/>
      <c r="B258" s="229"/>
      <c r="C258" s="230"/>
      <c r="D258" s="231"/>
      <c r="E258" s="157"/>
      <c r="F258" s="12"/>
      <c r="G258" s="158"/>
    </row>
    <row r="259">
      <c r="A259" s="153"/>
      <c r="B259" s="229"/>
      <c r="C259" s="230"/>
      <c r="D259" s="231"/>
      <c r="E259" s="157"/>
      <c r="F259" s="12"/>
      <c r="G259" s="158"/>
    </row>
    <row r="260">
      <c r="A260" s="153"/>
      <c r="B260" s="229"/>
      <c r="C260" s="230"/>
      <c r="D260" s="231"/>
      <c r="E260" s="157"/>
      <c r="F260" s="12"/>
      <c r="G260" s="158"/>
    </row>
    <row r="261">
      <c r="A261" s="153"/>
      <c r="B261" s="229"/>
      <c r="C261" s="230"/>
      <c r="D261" s="231"/>
      <c r="E261" s="157"/>
      <c r="F261" s="12"/>
      <c r="G261" s="158"/>
    </row>
    <row r="262">
      <c r="A262" s="153"/>
      <c r="B262" s="229"/>
      <c r="C262" s="230"/>
      <c r="D262" s="231"/>
      <c r="E262" s="157"/>
      <c r="F262" s="12"/>
      <c r="G262" s="158"/>
    </row>
    <row r="263">
      <c r="A263" s="153"/>
      <c r="B263" s="229"/>
      <c r="C263" s="230"/>
      <c r="D263" s="231"/>
      <c r="E263" s="157"/>
      <c r="F263" s="12"/>
      <c r="G263" s="158"/>
    </row>
    <row r="264">
      <c r="A264" s="153"/>
      <c r="B264" s="229"/>
      <c r="C264" s="230"/>
      <c r="D264" s="231"/>
      <c r="E264" s="157"/>
      <c r="F264" s="12"/>
      <c r="G264" s="158"/>
    </row>
    <row r="265">
      <c r="A265" s="153"/>
      <c r="B265" s="229"/>
      <c r="C265" s="230"/>
      <c r="D265" s="231"/>
      <c r="E265" s="157"/>
      <c r="F265" s="12"/>
      <c r="G265" s="158"/>
    </row>
    <row r="266">
      <c r="A266" s="153"/>
      <c r="B266" s="229"/>
      <c r="C266" s="230"/>
      <c r="D266" s="231"/>
      <c r="E266" s="157"/>
      <c r="F266" s="12"/>
      <c r="G266" s="158"/>
    </row>
    <row r="267">
      <c r="A267" s="153"/>
      <c r="B267" s="229"/>
      <c r="C267" s="230"/>
      <c r="D267" s="231"/>
      <c r="E267" s="157"/>
      <c r="F267" s="12"/>
      <c r="G267" s="158"/>
    </row>
    <row r="268">
      <c r="A268" s="153"/>
      <c r="B268" s="229"/>
      <c r="C268" s="230"/>
      <c r="D268" s="231"/>
      <c r="E268" s="157"/>
      <c r="F268" s="12"/>
      <c r="G268" s="158"/>
    </row>
    <row r="269">
      <c r="A269" s="153"/>
      <c r="B269" s="229"/>
      <c r="C269" s="230"/>
      <c r="D269" s="231"/>
      <c r="E269" s="157"/>
      <c r="F269" s="12"/>
      <c r="G269" s="158"/>
    </row>
    <row r="270">
      <c r="A270" s="153"/>
      <c r="B270" s="229"/>
      <c r="C270" s="230"/>
      <c r="D270" s="231"/>
      <c r="E270" s="157"/>
      <c r="F270" s="12"/>
      <c r="G270" s="158"/>
    </row>
    <row r="271">
      <c r="A271" s="153"/>
      <c r="B271" s="229"/>
      <c r="C271" s="230"/>
      <c r="D271" s="231"/>
      <c r="E271" s="157"/>
      <c r="F271" s="12"/>
      <c r="G271" s="158"/>
    </row>
    <row r="272">
      <c r="A272" s="153"/>
      <c r="B272" s="229"/>
      <c r="C272" s="230"/>
      <c r="D272" s="231"/>
      <c r="E272" s="157"/>
      <c r="F272" s="12"/>
      <c r="G272" s="158"/>
    </row>
    <row r="273">
      <c r="A273" s="153"/>
      <c r="B273" s="229"/>
      <c r="C273" s="230"/>
      <c r="D273" s="231"/>
      <c r="E273" s="157"/>
      <c r="F273" s="12"/>
      <c r="G273" s="158"/>
    </row>
    <row r="274">
      <c r="A274" s="153"/>
      <c r="B274" s="229"/>
      <c r="C274" s="230"/>
      <c r="D274" s="231"/>
      <c r="E274" s="157"/>
      <c r="F274" s="12"/>
      <c r="G274" s="158"/>
    </row>
    <row r="275">
      <c r="A275" s="153"/>
      <c r="B275" s="229"/>
      <c r="C275" s="230"/>
      <c r="D275" s="231"/>
      <c r="E275" s="157"/>
      <c r="F275" s="12"/>
      <c r="G275" s="158"/>
    </row>
    <row r="276">
      <c r="A276" s="153"/>
      <c r="B276" s="229"/>
      <c r="C276" s="230"/>
      <c r="D276" s="231"/>
      <c r="E276" s="157"/>
      <c r="F276" s="12"/>
      <c r="G276" s="158"/>
    </row>
    <row r="277">
      <c r="A277" s="153"/>
      <c r="B277" s="229"/>
      <c r="C277" s="230"/>
      <c r="D277" s="231"/>
      <c r="E277" s="157"/>
      <c r="F277" s="12"/>
      <c r="G277" s="158"/>
    </row>
    <row r="278">
      <c r="A278" s="153"/>
      <c r="B278" s="229"/>
      <c r="C278" s="230"/>
      <c r="D278" s="231"/>
      <c r="E278" s="157"/>
      <c r="F278" s="12"/>
      <c r="G278" s="158"/>
    </row>
    <row r="279">
      <c r="A279" s="153"/>
      <c r="B279" s="229"/>
      <c r="C279" s="230"/>
      <c r="D279" s="231"/>
      <c r="E279" s="157"/>
      <c r="F279" s="12"/>
      <c r="G279" s="158"/>
    </row>
    <row r="280">
      <c r="A280" s="153"/>
      <c r="B280" s="229"/>
      <c r="C280" s="230"/>
      <c r="D280" s="231"/>
      <c r="E280" s="157"/>
      <c r="F280" s="12"/>
      <c r="G280" s="158"/>
    </row>
    <row r="281">
      <c r="A281" s="153"/>
      <c r="B281" s="229"/>
      <c r="C281" s="230"/>
      <c r="D281" s="231"/>
      <c r="E281" s="157"/>
      <c r="F281" s="12"/>
      <c r="G281" s="158"/>
    </row>
    <row r="282">
      <c r="A282" s="153"/>
      <c r="B282" s="229"/>
      <c r="C282" s="230"/>
      <c r="D282" s="231"/>
      <c r="E282" s="157"/>
      <c r="F282" s="12"/>
      <c r="G282" s="158"/>
    </row>
    <row r="283">
      <c r="A283" s="153"/>
      <c r="B283" s="229"/>
      <c r="C283" s="230"/>
      <c r="D283" s="231"/>
      <c r="E283" s="157"/>
      <c r="F283" s="12"/>
      <c r="G283" s="158"/>
    </row>
    <row r="284">
      <c r="A284" s="153"/>
      <c r="B284" s="229"/>
      <c r="C284" s="230"/>
      <c r="D284" s="231"/>
      <c r="E284" s="157"/>
      <c r="F284" s="12"/>
      <c r="G284" s="158"/>
    </row>
    <row r="285">
      <c r="A285" s="153"/>
      <c r="B285" s="229"/>
      <c r="C285" s="230"/>
      <c r="D285" s="231"/>
      <c r="E285" s="157"/>
      <c r="F285" s="12"/>
      <c r="G285" s="158"/>
    </row>
    <row r="286">
      <c r="A286" s="153"/>
      <c r="B286" s="229"/>
      <c r="C286" s="230"/>
      <c r="D286" s="231"/>
      <c r="E286" s="157"/>
      <c r="F286" s="12"/>
      <c r="G286" s="158"/>
    </row>
    <row r="287">
      <c r="A287" s="153"/>
      <c r="B287" s="229"/>
      <c r="C287" s="230"/>
      <c r="D287" s="231"/>
      <c r="E287" s="157"/>
      <c r="F287" s="12"/>
      <c r="G287" s="158"/>
    </row>
    <row r="288">
      <c r="A288" s="153"/>
      <c r="B288" s="229"/>
      <c r="C288" s="230"/>
      <c r="D288" s="231"/>
      <c r="E288" s="157"/>
      <c r="F288" s="12"/>
      <c r="G288" s="158"/>
    </row>
    <row r="289">
      <c r="A289" s="153"/>
      <c r="B289" s="229"/>
      <c r="C289" s="230"/>
      <c r="D289" s="231"/>
      <c r="E289" s="157"/>
      <c r="F289" s="12"/>
      <c r="G289" s="158"/>
    </row>
    <row r="290">
      <c r="A290" s="153"/>
      <c r="B290" s="229"/>
      <c r="C290" s="230"/>
      <c r="D290" s="231"/>
      <c r="E290" s="157"/>
      <c r="F290" s="12"/>
      <c r="G290" s="158"/>
    </row>
    <row r="291">
      <c r="A291" s="153"/>
      <c r="B291" s="229"/>
      <c r="C291" s="230"/>
      <c r="D291" s="231"/>
      <c r="E291" s="157"/>
      <c r="F291" s="12"/>
      <c r="G291" s="158"/>
    </row>
    <row r="292">
      <c r="A292" s="153"/>
      <c r="B292" s="229"/>
      <c r="C292" s="230"/>
      <c r="D292" s="231"/>
      <c r="E292" s="157"/>
      <c r="F292" s="12"/>
      <c r="G292" s="158"/>
    </row>
    <row r="293">
      <c r="A293" s="153"/>
      <c r="B293" s="229"/>
      <c r="C293" s="230"/>
      <c r="D293" s="231"/>
      <c r="E293" s="157"/>
      <c r="F293" s="12"/>
      <c r="G293" s="158"/>
    </row>
    <row r="294">
      <c r="A294" s="153"/>
      <c r="B294" s="229"/>
      <c r="C294" s="230"/>
      <c r="D294" s="231"/>
      <c r="E294" s="157"/>
      <c r="F294" s="12"/>
      <c r="G294" s="158"/>
    </row>
    <row r="295">
      <c r="A295" s="153"/>
      <c r="B295" s="229"/>
      <c r="C295" s="230"/>
      <c r="D295" s="231"/>
      <c r="E295" s="157"/>
      <c r="F295" s="12"/>
      <c r="G295" s="158"/>
    </row>
    <row r="296">
      <c r="A296" s="153"/>
      <c r="B296" s="229"/>
      <c r="C296" s="230"/>
      <c r="D296" s="231"/>
      <c r="E296" s="157"/>
      <c r="F296" s="12"/>
      <c r="G296" s="158"/>
    </row>
    <row r="297">
      <c r="A297" s="153"/>
      <c r="B297" s="229"/>
      <c r="C297" s="230"/>
      <c r="D297" s="231"/>
      <c r="E297" s="157"/>
      <c r="F297" s="12"/>
      <c r="G297" s="158"/>
    </row>
    <row r="298">
      <c r="A298" s="153"/>
      <c r="B298" s="229"/>
      <c r="C298" s="230"/>
      <c r="D298" s="231"/>
      <c r="E298" s="157"/>
      <c r="F298" s="12"/>
      <c r="G298" s="158"/>
    </row>
    <row r="299">
      <c r="A299" s="153"/>
      <c r="B299" s="229"/>
      <c r="C299" s="230"/>
      <c r="D299" s="231"/>
      <c r="E299" s="157"/>
      <c r="F299" s="12"/>
      <c r="G299" s="158"/>
    </row>
    <row r="300">
      <c r="A300" s="153"/>
      <c r="B300" s="229"/>
      <c r="C300" s="230"/>
      <c r="D300" s="231"/>
      <c r="E300" s="157"/>
      <c r="F300" s="12"/>
      <c r="G300" s="158"/>
    </row>
    <row r="301">
      <c r="A301" s="153"/>
      <c r="B301" s="229"/>
      <c r="C301" s="230"/>
      <c r="D301" s="231"/>
      <c r="E301" s="157"/>
      <c r="F301" s="12"/>
      <c r="G301" s="158"/>
    </row>
    <row r="302">
      <c r="A302" s="153"/>
      <c r="B302" s="229"/>
      <c r="C302" s="230"/>
      <c r="D302" s="231"/>
      <c r="E302" s="157"/>
      <c r="F302" s="12"/>
      <c r="G302" s="158"/>
    </row>
    <row r="303">
      <c r="A303" s="153"/>
      <c r="B303" s="229"/>
      <c r="C303" s="230"/>
      <c r="D303" s="231"/>
      <c r="E303" s="157"/>
      <c r="F303" s="12"/>
      <c r="G303" s="158"/>
    </row>
    <row r="304">
      <c r="A304" s="153"/>
      <c r="B304" s="229"/>
      <c r="C304" s="230"/>
      <c r="D304" s="231"/>
      <c r="E304" s="157"/>
      <c r="F304" s="12"/>
      <c r="G304" s="158"/>
    </row>
    <row r="305">
      <c r="A305" s="153"/>
      <c r="B305" s="229"/>
      <c r="C305" s="230"/>
      <c r="D305" s="231"/>
      <c r="E305" s="157"/>
      <c r="F305" s="12"/>
      <c r="G305" s="158"/>
    </row>
    <row r="306">
      <c r="A306" s="153"/>
      <c r="B306" s="229"/>
      <c r="C306" s="230"/>
      <c r="D306" s="231"/>
      <c r="E306" s="157"/>
      <c r="F306" s="12"/>
      <c r="G306" s="158"/>
    </row>
    <row r="307">
      <c r="A307" s="153"/>
      <c r="B307" s="229"/>
      <c r="C307" s="230"/>
      <c r="D307" s="231"/>
      <c r="E307" s="157"/>
      <c r="F307" s="12"/>
      <c r="G307" s="158"/>
    </row>
    <row r="308">
      <c r="A308" s="153"/>
      <c r="B308" s="229"/>
      <c r="C308" s="230"/>
      <c r="D308" s="231"/>
      <c r="E308" s="157"/>
      <c r="F308" s="12"/>
      <c r="G308" s="158"/>
    </row>
    <row r="309">
      <c r="A309" s="153"/>
      <c r="B309" s="229"/>
      <c r="C309" s="230"/>
      <c r="D309" s="231"/>
      <c r="E309" s="157"/>
      <c r="F309" s="12"/>
      <c r="G309" s="158"/>
    </row>
    <row r="310">
      <c r="A310" s="153"/>
      <c r="B310" s="229"/>
      <c r="C310" s="230"/>
      <c r="D310" s="231"/>
      <c r="E310" s="157"/>
      <c r="F310" s="12"/>
      <c r="G310" s="158"/>
    </row>
    <row r="311">
      <c r="A311" s="153"/>
      <c r="B311" s="229"/>
      <c r="C311" s="230"/>
      <c r="D311" s="231"/>
      <c r="E311" s="157"/>
      <c r="F311" s="12"/>
      <c r="G311" s="158"/>
    </row>
    <row r="312">
      <c r="A312" s="153"/>
      <c r="B312" s="229"/>
      <c r="C312" s="230"/>
      <c r="D312" s="231"/>
      <c r="E312" s="157"/>
      <c r="F312" s="12"/>
      <c r="G312" s="158"/>
    </row>
    <row r="313">
      <c r="A313" s="153"/>
      <c r="B313" s="229"/>
      <c r="C313" s="230"/>
      <c r="D313" s="231"/>
      <c r="E313" s="157"/>
      <c r="F313" s="12"/>
      <c r="G313" s="158"/>
    </row>
    <row r="314">
      <c r="A314" s="153"/>
      <c r="B314" s="229"/>
      <c r="C314" s="230"/>
      <c r="D314" s="231"/>
      <c r="E314" s="157"/>
      <c r="F314" s="12"/>
      <c r="G314" s="158"/>
    </row>
    <row r="315">
      <c r="A315" s="153"/>
      <c r="B315" s="229"/>
      <c r="C315" s="230"/>
      <c r="D315" s="231"/>
      <c r="E315" s="157"/>
      <c r="F315" s="12"/>
      <c r="G315" s="158"/>
    </row>
    <row r="316">
      <c r="A316" s="153"/>
      <c r="B316" s="229"/>
      <c r="C316" s="230"/>
      <c r="D316" s="231"/>
      <c r="E316" s="157"/>
      <c r="F316" s="12"/>
      <c r="G316" s="158"/>
    </row>
    <row r="317">
      <c r="A317" s="153"/>
      <c r="B317" s="229"/>
      <c r="C317" s="230"/>
      <c r="D317" s="231"/>
      <c r="E317" s="157"/>
      <c r="F317" s="12"/>
      <c r="G317" s="158"/>
    </row>
    <row r="318">
      <c r="A318" s="153"/>
      <c r="B318" s="229"/>
      <c r="C318" s="230"/>
      <c r="D318" s="231"/>
      <c r="E318" s="157"/>
      <c r="F318" s="12"/>
      <c r="G318" s="158"/>
    </row>
    <row r="319">
      <c r="A319" s="153"/>
      <c r="B319" s="229"/>
      <c r="C319" s="230"/>
      <c r="D319" s="231"/>
      <c r="E319" s="157"/>
      <c r="F319" s="12"/>
      <c r="G319" s="158"/>
    </row>
    <row r="320">
      <c r="A320" s="153"/>
      <c r="B320" s="229"/>
      <c r="C320" s="230"/>
      <c r="D320" s="231"/>
      <c r="E320" s="157"/>
      <c r="F320" s="12"/>
      <c r="G320" s="158"/>
    </row>
    <row r="321">
      <c r="A321" s="153"/>
      <c r="B321" s="229"/>
      <c r="C321" s="230"/>
      <c r="D321" s="231"/>
      <c r="E321" s="157"/>
      <c r="F321" s="12"/>
      <c r="G321" s="158"/>
    </row>
    <row r="322">
      <c r="A322" s="153"/>
      <c r="B322" s="229"/>
      <c r="C322" s="230"/>
      <c r="D322" s="231"/>
      <c r="E322" s="157"/>
      <c r="F322" s="12"/>
      <c r="G322" s="158"/>
    </row>
    <row r="323">
      <c r="A323" s="153"/>
      <c r="B323" s="229"/>
      <c r="C323" s="230"/>
      <c r="D323" s="231"/>
      <c r="E323" s="157"/>
      <c r="F323" s="12"/>
      <c r="G323" s="158"/>
    </row>
    <row r="324">
      <c r="A324" s="153"/>
      <c r="B324" s="229"/>
      <c r="C324" s="230"/>
      <c r="D324" s="231"/>
      <c r="E324" s="157"/>
      <c r="F324" s="12"/>
      <c r="G324" s="158"/>
    </row>
    <row r="325">
      <c r="A325" s="153"/>
      <c r="B325" s="229"/>
      <c r="C325" s="230"/>
      <c r="D325" s="231"/>
      <c r="E325" s="157"/>
      <c r="F325" s="12"/>
      <c r="G325" s="158"/>
    </row>
    <row r="326">
      <c r="A326" s="153"/>
      <c r="B326" s="229"/>
      <c r="C326" s="230"/>
      <c r="D326" s="231"/>
      <c r="E326" s="157"/>
      <c r="F326" s="12"/>
      <c r="G326" s="158"/>
    </row>
    <row r="327">
      <c r="A327" s="153"/>
      <c r="B327" s="229"/>
      <c r="C327" s="230"/>
      <c r="D327" s="231"/>
      <c r="E327" s="157"/>
      <c r="F327" s="12"/>
      <c r="G327" s="158"/>
    </row>
    <row r="328">
      <c r="A328" s="153"/>
      <c r="B328" s="229"/>
      <c r="C328" s="230"/>
      <c r="D328" s="231"/>
      <c r="E328" s="157"/>
      <c r="F328" s="12"/>
      <c r="G328" s="158"/>
    </row>
    <row r="329">
      <c r="A329" s="153"/>
      <c r="B329" s="229"/>
      <c r="C329" s="230"/>
      <c r="D329" s="231"/>
      <c r="E329" s="157"/>
      <c r="F329" s="12"/>
      <c r="G329" s="158"/>
    </row>
    <row r="330">
      <c r="A330" s="153"/>
      <c r="B330" s="229"/>
      <c r="C330" s="230"/>
      <c r="D330" s="231"/>
      <c r="E330" s="157"/>
      <c r="F330" s="12"/>
      <c r="G330" s="158"/>
    </row>
    <row r="331">
      <c r="A331" s="153"/>
      <c r="B331" s="229"/>
      <c r="C331" s="230"/>
      <c r="D331" s="231"/>
      <c r="E331" s="157"/>
      <c r="F331" s="12"/>
      <c r="G331" s="158"/>
    </row>
    <row r="332">
      <c r="A332" s="153"/>
      <c r="B332" s="229"/>
      <c r="C332" s="230"/>
      <c r="D332" s="231"/>
      <c r="E332" s="157"/>
      <c r="F332" s="12"/>
      <c r="G332" s="158"/>
    </row>
    <row r="333">
      <c r="A333" s="153"/>
      <c r="B333" s="229"/>
      <c r="C333" s="230"/>
      <c r="D333" s="231"/>
      <c r="E333" s="157"/>
      <c r="F333" s="12"/>
      <c r="G333" s="158"/>
    </row>
    <row r="334">
      <c r="A334" s="153"/>
      <c r="B334" s="229"/>
      <c r="C334" s="230"/>
      <c r="D334" s="231"/>
      <c r="E334" s="157"/>
      <c r="F334" s="12"/>
      <c r="G334" s="158"/>
    </row>
    <row r="335">
      <c r="A335" s="153"/>
      <c r="B335" s="229"/>
      <c r="C335" s="230"/>
      <c r="D335" s="231"/>
      <c r="E335" s="157"/>
      <c r="F335" s="12"/>
      <c r="G335" s="158"/>
    </row>
    <row r="336">
      <c r="A336" s="153"/>
      <c r="B336" s="229"/>
      <c r="C336" s="230"/>
      <c r="D336" s="231"/>
      <c r="E336" s="157"/>
      <c r="F336" s="12"/>
      <c r="G336" s="158"/>
    </row>
    <row r="337">
      <c r="A337" s="153"/>
      <c r="B337" s="229"/>
      <c r="C337" s="230"/>
      <c r="D337" s="231"/>
      <c r="E337" s="157"/>
      <c r="F337" s="12"/>
      <c r="G337" s="158"/>
    </row>
    <row r="338">
      <c r="A338" s="153"/>
      <c r="B338" s="229"/>
      <c r="C338" s="230"/>
      <c r="D338" s="231"/>
      <c r="E338" s="157"/>
      <c r="F338" s="12"/>
      <c r="G338" s="158"/>
    </row>
    <row r="339">
      <c r="A339" s="153"/>
      <c r="B339" s="229"/>
      <c r="C339" s="230"/>
      <c r="D339" s="231"/>
      <c r="E339" s="157"/>
      <c r="F339" s="12"/>
      <c r="G339" s="158"/>
    </row>
    <row r="340">
      <c r="A340" s="153"/>
      <c r="B340" s="229"/>
      <c r="C340" s="230"/>
      <c r="D340" s="231"/>
      <c r="E340" s="157"/>
      <c r="F340" s="12"/>
      <c r="G340" s="158"/>
    </row>
    <row r="341">
      <c r="A341" s="153"/>
      <c r="B341" s="229"/>
      <c r="C341" s="230"/>
      <c r="D341" s="231"/>
      <c r="E341" s="157"/>
      <c r="F341" s="12"/>
      <c r="G341" s="158"/>
    </row>
    <row r="342">
      <c r="A342" s="153"/>
      <c r="B342" s="229"/>
      <c r="C342" s="230"/>
      <c r="D342" s="231"/>
      <c r="E342" s="157"/>
      <c r="F342" s="12"/>
      <c r="G342" s="158"/>
    </row>
    <row r="343">
      <c r="A343" s="153"/>
      <c r="B343" s="229"/>
      <c r="C343" s="230"/>
      <c r="D343" s="231"/>
      <c r="E343" s="157"/>
      <c r="F343" s="12"/>
      <c r="G343" s="158"/>
    </row>
    <row r="344">
      <c r="A344" s="153"/>
      <c r="B344" s="229"/>
      <c r="C344" s="230"/>
      <c r="D344" s="231"/>
      <c r="E344" s="157"/>
      <c r="F344" s="12"/>
      <c r="G344" s="158"/>
    </row>
    <row r="345">
      <c r="A345" s="153"/>
      <c r="B345" s="229"/>
      <c r="C345" s="230"/>
      <c r="D345" s="231"/>
      <c r="E345" s="157"/>
      <c r="F345" s="12"/>
      <c r="G345" s="158"/>
    </row>
    <row r="346">
      <c r="A346" s="153"/>
      <c r="B346" s="229"/>
      <c r="C346" s="230"/>
      <c r="D346" s="231"/>
      <c r="E346" s="157"/>
      <c r="F346" s="12"/>
      <c r="G346" s="158"/>
    </row>
    <row r="347">
      <c r="A347" s="153"/>
      <c r="B347" s="229"/>
      <c r="C347" s="230"/>
      <c r="D347" s="231"/>
      <c r="E347" s="157"/>
      <c r="F347" s="12"/>
      <c r="G347" s="158"/>
    </row>
    <row r="348">
      <c r="A348" s="153"/>
      <c r="B348" s="229"/>
      <c r="C348" s="230"/>
      <c r="D348" s="231"/>
      <c r="E348" s="157"/>
      <c r="F348" s="12"/>
      <c r="G348" s="158"/>
    </row>
    <row r="349">
      <c r="A349" s="153"/>
      <c r="B349" s="229"/>
      <c r="C349" s="230"/>
      <c r="D349" s="231"/>
      <c r="E349" s="157"/>
      <c r="F349" s="12"/>
      <c r="G349" s="158"/>
    </row>
    <row r="350">
      <c r="A350" s="153"/>
      <c r="B350" s="229"/>
      <c r="C350" s="230"/>
      <c r="D350" s="231"/>
      <c r="E350" s="157"/>
      <c r="F350" s="12"/>
      <c r="G350" s="158"/>
    </row>
    <row r="351">
      <c r="A351" s="153"/>
      <c r="B351" s="229"/>
      <c r="C351" s="230"/>
      <c r="D351" s="231"/>
      <c r="E351" s="157"/>
      <c r="F351" s="12"/>
      <c r="G351" s="158"/>
    </row>
    <row r="352">
      <c r="A352" s="153"/>
      <c r="B352" s="229"/>
      <c r="C352" s="230"/>
      <c r="D352" s="231"/>
      <c r="E352" s="157"/>
      <c r="F352" s="12"/>
      <c r="G352" s="158"/>
    </row>
    <row r="353">
      <c r="A353" s="153"/>
      <c r="B353" s="229"/>
      <c r="C353" s="230"/>
      <c r="D353" s="231"/>
      <c r="E353" s="157"/>
      <c r="F353" s="12"/>
      <c r="G353" s="158"/>
    </row>
    <row r="354">
      <c r="A354" s="153"/>
      <c r="B354" s="229"/>
      <c r="C354" s="230"/>
      <c r="D354" s="231"/>
      <c r="E354" s="157"/>
      <c r="F354" s="12"/>
      <c r="G354" s="158"/>
    </row>
    <row r="355">
      <c r="A355" s="153"/>
      <c r="B355" s="229"/>
      <c r="C355" s="230"/>
      <c r="D355" s="231"/>
      <c r="E355" s="157"/>
      <c r="F355" s="12"/>
      <c r="G355" s="158"/>
    </row>
    <row r="356">
      <c r="A356" s="153"/>
      <c r="B356" s="229"/>
      <c r="C356" s="230"/>
      <c r="D356" s="231"/>
      <c r="E356" s="157"/>
      <c r="F356" s="12"/>
      <c r="G356" s="158"/>
    </row>
    <row r="357">
      <c r="A357" s="153"/>
      <c r="B357" s="229"/>
      <c r="C357" s="230"/>
      <c r="D357" s="231"/>
      <c r="E357" s="157"/>
      <c r="F357" s="12"/>
      <c r="G357" s="158"/>
    </row>
    <row r="358">
      <c r="A358" s="153"/>
      <c r="B358" s="229"/>
      <c r="C358" s="230"/>
      <c r="D358" s="231"/>
      <c r="E358" s="157"/>
      <c r="F358" s="12"/>
      <c r="G358" s="158"/>
    </row>
    <row r="359">
      <c r="A359" s="153"/>
      <c r="B359" s="229"/>
      <c r="C359" s="230"/>
      <c r="D359" s="231"/>
      <c r="E359" s="157"/>
      <c r="F359" s="12"/>
      <c r="G359" s="158"/>
    </row>
    <row r="360">
      <c r="A360" s="153"/>
      <c r="B360" s="229"/>
      <c r="C360" s="230"/>
      <c r="D360" s="231"/>
      <c r="E360" s="157"/>
      <c r="F360" s="12"/>
      <c r="G360" s="158"/>
    </row>
    <row r="361">
      <c r="A361" s="153"/>
      <c r="B361" s="229"/>
      <c r="C361" s="230"/>
      <c r="D361" s="231"/>
      <c r="E361" s="157"/>
      <c r="F361" s="12"/>
      <c r="G361" s="158"/>
    </row>
    <row r="362">
      <c r="A362" s="153"/>
      <c r="B362" s="229"/>
      <c r="C362" s="230"/>
      <c r="D362" s="231"/>
      <c r="E362" s="157"/>
      <c r="F362" s="12"/>
      <c r="G362" s="158"/>
    </row>
    <row r="363">
      <c r="A363" s="153"/>
      <c r="B363" s="229"/>
      <c r="C363" s="230"/>
      <c r="D363" s="231"/>
      <c r="E363" s="157"/>
      <c r="F363" s="12"/>
      <c r="G363" s="158"/>
    </row>
    <row r="364">
      <c r="A364" s="153"/>
      <c r="B364" s="229"/>
      <c r="C364" s="230"/>
      <c r="D364" s="231"/>
      <c r="E364" s="157"/>
      <c r="F364" s="12"/>
      <c r="G364" s="158"/>
    </row>
    <row r="365">
      <c r="A365" s="153"/>
      <c r="B365" s="229"/>
      <c r="C365" s="230"/>
      <c r="D365" s="231"/>
      <c r="E365" s="157"/>
      <c r="F365" s="12"/>
      <c r="G365" s="158"/>
    </row>
    <row r="366">
      <c r="A366" s="153"/>
      <c r="B366" s="229"/>
      <c r="C366" s="230"/>
      <c r="D366" s="231"/>
      <c r="E366" s="157"/>
      <c r="F366" s="12"/>
      <c r="G366" s="158"/>
    </row>
    <row r="367">
      <c r="A367" s="153"/>
      <c r="B367" s="229"/>
      <c r="C367" s="230"/>
      <c r="D367" s="231"/>
      <c r="E367" s="157"/>
      <c r="F367" s="12"/>
      <c r="G367" s="158"/>
    </row>
    <row r="368">
      <c r="A368" s="153"/>
      <c r="B368" s="229"/>
      <c r="C368" s="230"/>
      <c r="D368" s="231"/>
      <c r="E368" s="157"/>
      <c r="F368" s="12"/>
      <c r="G368" s="158"/>
    </row>
    <row r="369">
      <c r="A369" s="153"/>
      <c r="B369" s="229"/>
      <c r="C369" s="230"/>
      <c r="D369" s="231"/>
      <c r="E369" s="157"/>
      <c r="F369" s="12"/>
      <c r="G369" s="158"/>
    </row>
    <row r="370">
      <c r="A370" s="153"/>
      <c r="B370" s="229"/>
      <c r="C370" s="230"/>
      <c r="D370" s="231"/>
      <c r="E370" s="157"/>
      <c r="F370" s="12"/>
      <c r="G370" s="158"/>
    </row>
    <row r="371">
      <c r="A371" s="153"/>
      <c r="B371" s="229"/>
      <c r="C371" s="230"/>
      <c r="D371" s="231"/>
      <c r="E371" s="157"/>
      <c r="F371" s="12"/>
      <c r="G371" s="158"/>
    </row>
    <row r="372">
      <c r="A372" s="153"/>
      <c r="B372" s="229"/>
      <c r="C372" s="230"/>
      <c r="D372" s="231"/>
      <c r="E372" s="157"/>
      <c r="F372" s="12"/>
      <c r="G372" s="158"/>
    </row>
    <row r="373">
      <c r="A373" s="153"/>
      <c r="B373" s="229"/>
      <c r="C373" s="230"/>
      <c r="D373" s="231"/>
      <c r="E373" s="157"/>
      <c r="F373" s="12"/>
      <c r="G373" s="158"/>
    </row>
    <row r="374">
      <c r="A374" s="153"/>
      <c r="B374" s="229"/>
      <c r="C374" s="230"/>
      <c r="D374" s="231"/>
      <c r="E374" s="157"/>
      <c r="F374" s="12"/>
      <c r="G374" s="158"/>
    </row>
    <row r="375">
      <c r="A375" s="153"/>
      <c r="B375" s="229"/>
      <c r="C375" s="230"/>
      <c r="D375" s="231"/>
      <c r="E375" s="157"/>
      <c r="F375" s="12"/>
      <c r="G375" s="158"/>
    </row>
    <row r="376">
      <c r="A376" s="153"/>
      <c r="B376" s="229"/>
      <c r="C376" s="230"/>
      <c r="D376" s="231"/>
      <c r="E376" s="157"/>
      <c r="F376" s="12"/>
      <c r="G376" s="158"/>
    </row>
    <row r="377">
      <c r="A377" s="153"/>
      <c r="B377" s="229"/>
      <c r="C377" s="230"/>
      <c r="D377" s="231"/>
      <c r="E377" s="157"/>
      <c r="F377" s="12"/>
      <c r="G377" s="158"/>
    </row>
    <row r="378">
      <c r="A378" s="153"/>
      <c r="B378" s="229"/>
      <c r="C378" s="230"/>
      <c r="D378" s="231"/>
      <c r="E378" s="157"/>
      <c r="F378" s="12"/>
      <c r="G378" s="158"/>
    </row>
    <row r="379">
      <c r="A379" s="153"/>
      <c r="B379" s="229"/>
      <c r="C379" s="230"/>
      <c r="D379" s="231"/>
      <c r="E379" s="157"/>
      <c r="F379" s="12"/>
      <c r="G379" s="158"/>
    </row>
    <row r="380">
      <c r="A380" s="153"/>
      <c r="B380" s="229"/>
      <c r="C380" s="230"/>
      <c r="D380" s="231"/>
      <c r="E380" s="157"/>
      <c r="F380" s="12"/>
      <c r="G380" s="158"/>
    </row>
    <row r="381">
      <c r="A381" s="153"/>
      <c r="B381" s="229"/>
      <c r="C381" s="230"/>
      <c r="D381" s="231"/>
      <c r="E381" s="157"/>
      <c r="F381" s="12"/>
      <c r="G381" s="158"/>
    </row>
    <row r="382">
      <c r="A382" s="153"/>
      <c r="B382" s="229"/>
      <c r="C382" s="230"/>
      <c r="D382" s="231"/>
      <c r="E382" s="157"/>
      <c r="F382" s="12"/>
      <c r="G382" s="158"/>
    </row>
    <row r="383">
      <c r="A383" s="153"/>
      <c r="B383" s="229"/>
      <c r="C383" s="230"/>
      <c r="D383" s="231"/>
      <c r="E383" s="157"/>
      <c r="F383" s="12"/>
      <c r="G383" s="158"/>
    </row>
    <row r="384">
      <c r="A384" s="153"/>
      <c r="B384" s="229"/>
      <c r="C384" s="230"/>
      <c r="D384" s="231"/>
      <c r="E384" s="157"/>
      <c r="F384" s="12"/>
      <c r="G384" s="158"/>
    </row>
    <row r="385">
      <c r="A385" s="153"/>
      <c r="B385" s="229"/>
      <c r="C385" s="230"/>
      <c r="D385" s="231"/>
      <c r="E385" s="157"/>
      <c r="F385" s="12"/>
      <c r="G385" s="158"/>
    </row>
    <row r="386">
      <c r="A386" s="153"/>
      <c r="B386" s="229"/>
      <c r="C386" s="230"/>
      <c r="D386" s="231"/>
      <c r="E386" s="157"/>
      <c r="F386" s="12"/>
      <c r="G386" s="158"/>
    </row>
    <row r="387">
      <c r="A387" s="153"/>
      <c r="B387" s="229"/>
      <c r="C387" s="230"/>
      <c r="D387" s="231"/>
      <c r="E387" s="157"/>
      <c r="F387" s="12"/>
      <c r="G387" s="158"/>
    </row>
    <row r="388">
      <c r="A388" s="153"/>
      <c r="B388" s="229"/>
      <c r="C388" s="230"/>
      <c r="D388" s="231"/>
      <c r="E388" s="157"/>
      <c r="F388" s="12"/>
      <c r="G388" s="158"/>
    </row>
    <row r="389">
      <c r="A389" s="153"/>
      <c r="B389" s="229"/>
      <c r="C389" s="230"/>
      <c r="D389" s="231"/>
      <c r="E389" s="157"/>
      <c r="F389" s="12"/>
      <c r="G389" s="158"/>
    </row>
    <row r="390">
      <c r="A390" s="153"/>
      <c r="B390" s="229"/>
      <c r="C390" s="230"/>
      <c r="D390" s="231"/>
      <c r="E390" s="157"/>
      <c r="F390" s="12"/>
      <c r="G390" s="158"/>
    </row>
    <row r="391">
      <c r="A391" s="153"/>
      <c r="B391" s="229"/>
      <c r="C391" s="230"/>
      <c r="D391" s="231"/>
      <c r="E391" s="157"/>
      <c r="F391" s="12"/>
      <c r="G391" s="158"/>
    </row>
    <row r="392">
      <c r="A392" s="153"/>
      <c r="B392" s="229"/>
      <c r="C392" s="230"/>
      <c r="D392" s="231"/>
      <c r="E392" s="157"/>
      <c r="F392" s="12"/>
      <c r="G392" s="158"/>
    </row>
    <row r="393">
      <c r="A393" s="153"/>
      <c r="B393" s="229"/>
      <c r="C393" s="230"/>
      <c r="D393" s="231"/>
      <c r="E393" s="157"/>
      <c r="F393" s="12"/>
      <c r="G393" s="158"/>
    </row>
    <row r="394">
      <c r="A394" s="153"/>
      <c r="B394" s="229"/>
      <c r="C394" s="230"/>
      <c r="D394" s="231"/>
      <c r="E394" s="157"/>
      <c r="F394" s="12"/>
      <c r="G394" s="158"/>
    </row>
    <row r="395">
      <c r="A395" s="153"/>
      <c r="B395" s="229"/>
      <c r="C395" s="230"/>
      <c r="D395" s="231"/>
      <c r="E395" s="157"/>
      <c r="F395" s="12"/>
      <c r="G395" s="158"/>
    </row>
    <row r="396">
      <c r="A396" s="153"/>
      <c r="B396" s="229"/>
      <c r="C396" s="230"/>
      <c r="D396" s="231"/>
      <c r="E396" s="157"/>
      <c r="F396" s="12"/>
      <c r="G396" s="158"/>
    </row>
    <row r="397">
      <c r="A397" s="153"/>
      <c r="B397" s="229"/>
      <c r="C397" s="230"/>
      <c r="D397" s="231"/>
      <c r="E397" s="157"/>
      <c r="F397" s="12"/>
      <c r="G397" s="158"/>
    </row>
    <row r="398">
      <c r="A398" s="153"/>
      <c r="B398" s="229"/>
      <c r="C398" s="230"/>
      <c r="D398" s="231"/>
      <c r="E398" s="157"/>
      <c r="F398" s="12"/>
      <c r="G398" s="158"/>
    </row>
    <row r="399">
      <c r="A399" s="153"/>
      <c r="B399" s="229"/>
      <c r="C399" s="230"/>
      <c r="D399" s="231"/>
      <c r="E399" s="157"/>
      <c r="F399" s="12"/>
      <c r="G399" s="158"/>
    </row>
    <row r="400">
      <c r="A400" s="153"/>
      <c r="B400" s="229"/>
      <c r="C400" s="230"/>
      <c r="D400" s="231"/>
      <c r="E400" s="157"/>
      <c r="F400" s="12"/>
      <c r="G400" s="158"/>
    </row>
    <row r="401">
      <c r="A401" s="153"/>
      <c r="B401" s="229"/>
      <c r="C401" s="230"/>
      <c r="D401" s="231"/>
      <c r="E401" s="157"/>
      <c r="F401" s="12"/>
      <c r="G401" s="158"/>
    </row>
    <row r="402">
      <c r="A402" s="153"/>
      <c r="B402" s="229"/>
      <c r="C402" s="230"/>
      <c r="D402" s="231"/>
      <c r="E402" s="157"/>
      <c r="F402" s="12"/>
      <c r="G402" s="158"/>
    </row>
    <row r="403">
      <c r="A403" s="153"/>
      <c r="B403" s="229"/>
      <c r="C403" s="230"/>
      <c r="D403" s="231"/>
      <c r="E403" s="157"/>
      <c r="F403" s="12"/>
      <c r="G403" s="158"/>
    </row>
    <row r="404">
      <c r="A404" s="153"/>
      <c r="B404" s="229"/>
      <c r="C404" s="230"/>
      <c r="D404" s="231"/>
      <c r="E404" s="157"/>
      <c r="F404" s="12"/>
      <c r="G404" s="158"/>
    </row>
    <row r="405">
      <c r="A405" s="153"/>
      <c r="B405" s="229"/>
      <c r="C405" s="230"/>
      <c r="D405" s="231"/>
      <c r="E405" s="157"/>
      <c r="F405" s="12"/>
      <c r="G405" s="158"/>
    </row>
    <row r="406">
      <c r="A406" s="153"/>
      <c r="B406" s="229"/>
      <c r="C406" s="230"/>
      <c r="D406" s="231"/>
      <c r="E406" s="157"/>
      <c r="F406" s="12"/>
      <c r="G406" s="158"/>
    </row>
    <row r="407">
      <c r="A407" s="153"/>
      <c r="B407" s="229"/>
      <c r="C407" s="230"/>
      <c r="D407" s="231"/>
      <c r="E407" s="157"/>
      <c r="F407" s="12"/>
      <c r="G407" s="158"/>
    </row>
    <row r="408">
      <c r="A408" s="153"/>
      <c r="B408" s="229"/>
      <c r="C408" s="230"/>
      <c r="D408" s="231"/>
      <c r="E408" s="157"/>
      <c r="F408" s="12"/>
      <c r="G408" s="158"/>
    </row>
    <row r="409">
      <c r="A409" s="153"/>
      <c r="B409" s="229"/>
      <c r="C409" s="230"/>
      <c r="D409" s="231"/>
      <c r="E409" s="157"/>
      <c r="F409" s="12"/>
      <c r="G409" s="158"/>
    </row>
    <row r="410">
      <c r="A410" s="153"/>
      <c r="B410" s="229"/>
      <c r="C410" s="230"/>
      <c r="D410" s="231"/>
      <c r="E410" s="157"/>
      <c r="F410" s="12"/>
      <c r="G410" s="158"/>
    </row>
    <row r="411">
      <c r="A411" s="153"/>
      <c r="B411" s="229"/>
      <c r="C411" s="230"/>
      <c r="D411" s="231"/>
      <c r="E411" s="157"/>
      <c r="F411" s="12"/>
      <c r="G411" s="158"/>
    </row>
    <row r="412">
      <c r="A412" s="153"/>
      <c r="B412" s="229"/>
      <c r="C412" s="230"/>
      <c r="D412" s="231"/>
      <c r="E412" s="157"/>
      <c r="F412" s="12"/>
      <c r="G412" s="158"/>
    </row>
    <row r="413">
      <c r="A413" s="153"/>
      <c r="B413" s="229"/>
      <c r="C413" s="230"/>
      <c r="D413" s="231"/>
      <c r="E413" s="157"/>
      <c r="F413" s="12"/>
      <c r="G413" s="158"/>
    </row>
    <row r="414">
      <c r="A414" s="153"/>
      <c r="B414" s="229"/>
      <c r="C414" s="230"/>
      <c r="D414" s="231"/>
      <c r="E414" s="157"/>
      <c r="F414" s="12"/>
      <c r="G414" s="158"/>
    </row>
    <row r="415">
      <c r="A415" s="153"/>
      <c r="B415" s="229"/>
      <c r="C415" s="230"/>
      <c r="D415" s="231"/>
      <c r="E415" s="157"/>
      <c r="F415" s="12"/>
      <c r="G415" s="158"/>
    </row>
    <row r="416">
      <c r="A416" s="153"/>
      <c r="B416" s="229"/>
      <c r="C416" s="230"/>
      <c r="D416" s="231"/>
      <c r="E416" s="157"/>
      <c r="F416" s="12"/>
      <c r="G416" s="158"/>
    </row>
    <row r="417">
      <c r="A417" s="153"/>
      <c r="B417" s="229"/>
      <c r="C417" s="230"/>
      <c r="D417" s="231"/>
      <c r="E417" s="157"/>
      <c r="F417" s="12"/>
      <c r="G417" s="158"/>
    </row>
    <row r="418">
      <c r="A418" s="153"/>
      <c r="B418" s="229"/>
      <c r="C418" s="230"/>
      <c r="D418" s="231"/>
      <c r="E418" s="157"/>
      <c r="F418" s="12"/>
      <c r="G418" s="158"/>
    </row>
    <row r="419">
      <c r="A419" s="153"/>
      <c r="B419" s="229"/>
      <c r="C419" s="230"/>
      <c r="D419" s="231"/>
      <c r="E419" s="157"/>
      <c r="F419" s="12"/>
      <c r="G419" s="158"/>
    </row>
    <row r="420">
      <c r="A420" s="153"/>
      <c r="B420" s="229"/>
      <c r="C420" s="230"/>
      <c r="D420" s="231"/>
      <c r="E420" s="157"/>
      <c r="F420" s="12"/>
      <c r="G420" s="158"/>
    </row>
    <row r="421">
      <c r="A421" s="153"/>
      <c r="B421" s="229"/>
      <c r="C421" s="230"/>
      <c r="D421" s="231"/>
      <c r="E421" s="157"/>
      <c r="F421" s="12"/>
      <c r="G421" s="158"/>
    </row>
    <row r="422">
      <c r="A422" s="153"/>
      <c r="B422" s="229"/>
      <c r="C422" s="230"/>
      <c r="D422" s="231"/>
      <c r="E422" s="157"/>
      <c r="F422" s="12"/>
      <c r="G422" s="158"/>
    </row>
    <row r="423">
      <c r="A423" s="153"/>
      <c r="B423" s="229"/>
      <c r="C423" s="230"/>
      <c r="D423" s="231"/>
      <c r="E423" s="157"/>
      <c r="F423" s="12"/>
      <c r="G423" s="158"/>
    </row>
    <row r="424">
      <c r="A424" s="153"/>
      <c r="B424" s="229"/>
      <c r="C424" s="230"/>
      <c r="D424" s="231"/>
      <c r="E424" s="157"/>
      <c r="F424" s="12"/>
      <c r="G424" s="158"/>
    </row>
    <row r="425">
      <c r="A425" s="153"/>
      <c r="B425" s="229"/>
      <c r="C425" s="230"/>
      <c r="D425" s="231"/>
      <c r="E425" s="157"/>
      <c r="F425" s="12"/>
      <c r="G425" s="158"/>
    </row>
    <row r="426">
      <c r="A426" s="153"/>
      <c r="B426" s="229"/>
      <c r="C426" s="230"/>
      <c r="D426" s="231"/>
      <c r="E426" s="157"/>
      <c r="F426" s="12"/>
      <c r="G426" s="158"/>
    </row>
    <row r="427">
      <c r="A427" s="153"/>
      <c r="B427" s="229"/>
      <c r="C427" s="230"/>
      <c r="D427" s="231"/>
      <c r="E427" s="157"/>
      <c r="F427" s="12"/>
      <c r="G427" s="158"/>
    </row>
    <row r="428">
      <c r="A428" s="153"/>
      <c r="B428" s="229"/>
      <c r="C428" s="230"/>
      <c r="D428" s="231"/>
      <c r="E428" s="157"/>
      <c r="F428" s="12"/>
      <c r="G428" s="158"/>
    </row>
    <row r="429">
      <c r="A429" s="153"/>
      <c r="B429" s="229"/>
      <c r="C429" s="230"/>
      <c r="D429" s="231"/>
      <c r="E429" s="157"/>
      <c r="F429" s="12"/>
      <c r="G429" s="158"/>
    </row>
    <row r="430">
      <c r="A430" s="153"/>
      <c r="B430" s="229"/>
      <c r="C430" s="230"/>
      <c r="D430" s="231"/>
      <c r="E430" s="157"/>
      <c r="F430" s="12"/>
      <c r="G430" s="158"/>
    </row>
    <row r="431">
      <c r="A431" s="153"/>
      <c r="B431" s="229"/>
      <c r="C431" s="230"/>
      <c r="D431" s="231"/>
      <c r="E431" s="157"/>
      <c r="F431" s="12"/>
      <c r="G431" s="158"/>
    </row>
    <row r="432">
      <c r="A432" s="153"/>
      <c r="B432" s="229"/>
      <c r="C432" s="230"/>
      <c r="D432" s="231"/>
      <c r="E432" s="157"/>
      <c r="F432" s="12"/>
      <c r="G432" s="158"/>
    </row>
    <row r="433">
      <c r="A433" s="153"/>
      <c r="B433" s="229"/>
      <c r="C433" s="230"/>
      <c r="D433" s="231"/>
      <c r="E433" s="157"/>
      <c r="F433" s="12"/>
      <c r="G433" s="158"/>
    </row>
    <row r="434">
      <c r="A434" s="153"/>
      <c r="B434" s="229"/>
      <c r="C434" s="230"/>
      <c r="D434" s="231"/>
      <c r="E434" s="157"/>
      <c r="F434" s="12"/>
      <c r="G434" s="158"/>
    </row>
    <row r="435">
      <c r="A435" s="153"/>
      <c r="B435" s="229"/>
      <c r="C435" s="230"/>
      <c r="D435" s="231"/>
      <c r="E435" s="157"/>
      <c r="F435" s="12"/>
      <c r="G435" s="158"/>
    </row>
    <row r="436">
      <c r="A436" s="153"/>
      <c r="B436" s="229"/>
      <c r="C436" s="230"/>
      <c r="D436" s="231"/>
      <c r="E436" s="157"/>
      <c r="F436" s="12"/>
      <c r="G436" s="158"/>
    </row>
    <row r="437">
      <c r="A437" s="153"/>
      <c r="B437" s="229"/>
      <c r="C437" s="230"/>
      <c r="D437" s="231"/>
      <c r="E437" s="157"/>
      <c r="F437" s="12"/>
      <c r="G437" s="158"/>
    </row>
    <row r="438">
      <c r="A438" s="153"/>
      <c r="B438" s="229"/>
      <c r="C438" s="230"/>
      <c r="D438" s="231"/>
      <c r="E438" s="157"/>
      <c r="F438" s="12"/>
      <c r="G438" s="158"/>
    </row>
    <row r="439">
      <c r="A439" s="153"/>
      <c r="B439" s="229"/>
      <c r="C439" s="230"/>
      <c r="D439" s="231"/>
      <c r="E439" s="157"/>
      <c r="F439" s="12"/>
      <c r="G439" s="158"/>
    </row>
    <row r="440">
      <c r="A440" s="153"/>
      <c r="B440" s="229"/>
      <c r="C440" s="230"/>
      <c r="D440" s="231"/>
      <c r="E440" s="157"/>
      <c r="F440" s="12"/>
      <c r="G440" s="158"/>
    </row>
    <row r="441">
      <c r="A441" s="153"/>
      <c r="B441" s="229"/>
      <c r="C441" s="230"/>
      <c r="D441" s="231"/>
      <c r="E441" s="157"/>
      <c r="F441" s="12"/>
      <c r="G441" s="158"/>
    </row>
    <row r="442">
      <c r="A442" s="153"/>
      <c r="B442" s="229"/>
      <c r="C442" s="230"/>
      <c r="D442" s="231"/>
      <c r="E442" s="157"/>
      <c r="F442" s="12"/>
      <c r="G442" s="158"/>
    </row>
    <row r="443">
      <c r="A443" s="153"/>
      <c r="B443" s="229"/>
      <c r="C443" s="230"/>
      <c r="D443" s="231"/>
      <c r="E443" s="157"/>
      <c r="F443" s="12"/>
      <c r="G443" s="158"/>
    </row>
    <row r="444">
      <c r="A444" s="153"/>
      <c r="B444" s="229"/>
      <c r="C444" s="230"/>
      <c r="D444" s="231"/>
      <c r="E444" s="157"/>
      <c r="F444" s="12"/>
      <c r="G444" s="158"/>
    </row>
    <row r="445">
      <c r="A445" s="153"/>
      <c r="B445" s="229"/>
      <c r="C445" s="230"/>
      <c r="D445" s="231"/>
      <c r="E445" s="157"/>
      <c r="F445" s="12"/>
      <c r="G445" s="158"/>
    </row>
    <row r="446">
      <c r="A446" s="153"/>
      <c r="B446" s="229"/>
      <c r="C446" s="230"/>
      <c r="D446" s="231"/>
      <c r="E446" s="157"/>
      <c r="F446" s="12"/>
      <c r="G446" s="158"/>
    </row>
    <row r="447">
      <c r="A447" s="153"/>
      <c r="B447" s="229"/>
      <c r="C447" s="230"/>
      <c r="D447" s="231"/>
      <c r="E447" s="157"/>
      <c r="F447" s="12"/>
      <c r="G447" s="158"/>
    </row>
    <row r="448">
      <c r="A448" s="153"/>
      <c r="B448" s="229"/>
      <c r="C448" s="230"/>
      <c r="D448" s="231"/>
      <c r="E448" s="157"/>
      <c r="F448" s="12"/>
      <c r="G448" s="158"/>
    </row>
    <row r="449">
      <c r="A449" s="153"/>
      <c r="B449" s="229"/>
      <c r="C449" s="230"/>
      <c r="D449" s="231"/>
      <c r="E449" s="157"/>
      <c r="F449" s="12"/>
      <c r="G449" s="158"/>
    </row>
    <row r="450">
      <c r="A450" s="153"/>
      <c r="B450" s="229"/>
      <c r="C450" s="230"/>
      <c r="D450" s="231"/>
      <c r="E450" s="157"/>
      <c r="F450" s="12"/>
      <c r="G450" s="158"/>
    </row>
    <row r="451">
      <c r="A451" s="153"/>
      <c r="B451" s="229"/>
      <c r="C451" s="230"/>
      <c r="D451" s="231"/>
      <c r="E451" s="157"/>
      <c r="F451" s="12"/>
      <c r="G451" s="158"/>
    </row>
    <row r="452">
      <c r="A452" s="153"/>
      <c r="B452" s="229"/>
      <c r="C452" s="230"/>
      <c r="D452" s="231"/>
      <c r="E452" s="157"/>
      <c r="F452" s="12"/>
      <c r="G452" s="158"/>
    </row>
    <row r="453">
      <c r="A453" s="153"/>
      <c r="B453" s="229"/>
      <c r="C453" s="230"/>
      <c r="D453" s="231"/>
      <c r="E453" s="157"/>
      <c r="F453" s="12"/>
      <c r="G453" s="158"/>
    </row>
    <row r="454">
      <c r="A454" s="153"/>
      <c r="B454" s="229"/>
      <c r="C454" s="230"/>
      <c r="D454" s="231"/>
      <c r="E454" s="157"/>
      <c r="F454" s="12"/>
      <c r="G454" s="158"/>
    </row>
    <row r="455">
      <c r="A455" s="153"/>
      <c r="B455" s="229"/>
      <c r="C455" s="230"/>
      <c r="D455" s="231"/>
      <c r="E455" s="157"/>
      <c r="F455" s="12"/>
      <c r="G455" s="158"/>
    </row>
    <row r="456">
      <c r="A456" s="153"/>
      <c r="B456" s="229"/>
      <c r="C456" s="230"/>
      <c r="D456" s="231"/>
      <c r="E456" s="157"/>
      <c r="F456" s="12"/>
      <c r="G456" s="158"/>
    </row>
    <row r="457">
      <c r="A457" s="153"/>
      <c r="B457" s="229"/>
      <c r="C457" s="230"/>
      <c r="D457" s="231"/>
      <c r="E457" s="157"/>
      <c r="F457" s="12"/>
      <c r="G457" s="158"/>
    </row>
    <row r="458">
      <c r="A458" s="153"/>
      <c r="B458" s="229"/>
      <c r="C458" s="230"/>
      <c r="D458" s="231"/>
      <c r="E458" s="157"/>
      <c r="F458" s="12"/>
      <c r="G458" s="158"/>
    </row>
    <row r="459">
      <c r="A459" s="153"/>
      <c r="B459" s="229"/>
      <c r="C459" s="230"/>
      <c r="D459" s="231"/>
      <c r="E459" s="157"/>
      <c r="F459" s="12"/>
      <c r="G459" s="158"/>
    </row>
    <row r="460">
      <c r="A460" s="153"/>
      <c r="B460" s="229"/>
      <c r="C460" s="230"/>
      <c r="D460" s="231"/>
      <c r="E460" s="157"/>
      <c r="F460" s="12"/>
      <c r="G460" s="158"/>
    </row>
    <row r="461">
      <c r="A461" s="153"/>
      <c r="B461" s="229"/>
      <c r="C461" s="230"/>
      <c r="D461" s="231"/>
      <c r="E461" s="157"/>
      <c r="F461" s="12"/>
      <c r="G461" s="158"/>
    </row>
    <row r="462">
      <c r="A462" s="153"/>
      <c r="B462" s="229"/>
      <c r="C462" s="230"/>
      <c r="D462" s="231"/>
      <c r="E462" s="157"/>
      <c r="F462" s="12"/>
      <c r="G462" s="158"/>
    </row>
    <row r="463">
      <c r="A463" s="153"/>
      <c r="B463" s="229"/>
      <c r="C463" s="230"/>
      <c r="D463" s="231"/>
      <c r="E463" s="157"/>
      <c r="F463" s="12"/>
      <c r="G463" s="158"/>
    </row>
    <row r="464">
      <c r="A464" s="153"/>
      <c r="B464" s="229"/>
      <c r="C464" s="230"/>
      <c r="D464" s="231"/>
      <c r="E464" s="157"/>
      <c r="F464" s="12"/>
      <c r="G464" s="158"/>
    </row>
    <row r="465">
      <c r="A465" s="153"/>
      <c r="B465" s="229"/>
      <c r="C465" s="230"/>
      <c r="D465" s="231"/>
      <c r="E465" s="157"/>
      <c r="F465" s="12"/>
      <c r="G465" s="158"/>
    </row>
    <row r="466">
      <c r="A466" s="153"/>
      <c r="B466" s="229"/>
      <c r="C466" s="230"/>
      <c r="D466" s="231"/>
      <c r="E466" s="157"/>
      <c r="F466" s="12"/>
      <c r="G466" s="158"/>
    </row>
    <row r="467">
      <c r="A467" s="153"/>
      <c r="B467" s="229"/>
      <c r="C467" s="230"/>
      <c r="D467" s="231"/>
      <c r="E467" s="157"/>
      <c r="F467" s="12"/>
      <c r="G467" s="158"/>
    </row>
    <row r="468">
      <c r="A468" s="153"/>
      <c r="B468" s="229"/>
      <c r="C468" s="230"/>
      <c r="D468" s="231"/>
      <c r="E468" s="157"/>
      <c r="F468" s="12"/>
      <c r="G468" s="158"/>
    </row>
    <row r="469">
      <c r="A469" s="153"/>
      <c r="B469" s="229"/>
      <c r="C469" s="230"/>
      <c r="D469" s="231"/>
      <c r="E469" s="157"/>
      <c r="F469" s="12"/>
      <c r="G469" s="158"/>
    </row>
    <row r="470">
      <c r="A470" s="153"/>
      <c r="B470" s="229"/>
      <c r="C470" s="230"/>
      <c r="D470" s="231"/>
      <c r="E470" s="157"/>
      <c r="F470" s="12"/>
      <c r="G470" s="158"/>
    </row>
    <row r="471">
      <c r="A471" s="153"/>
      <c r="B471" s="229"/>
      <c r="C471" s="230"/>
      <c r="D471" s="231"/>
      <c r="E471" s="157"/>
      <c r="F471" s="12"/>
      <c r="G471" s="158"/>
    </row>
    <row r="472">
      <c r="A472" s="153"/>
      <c r="B472" s="229"/>
      <c r="C472" s="230"/>
      <c r="D472" s="231"/>
      <c r="E472" s="157"/>
      <c r="F472" s="12"/>
      <c r="G472" s="158"/>
    </row>
    <row r="473">
      <c r="A473" s="153"/>
      <c r="B473" s="229"/>
      <c r="C473" s="230"/>
      <c r="D473" s="231"/>
      <c r="E473" s="157"/>
      <c r="F473" s="12"/>
      <c r="G473" s="158"/>
    </row>
    <row r="474">
      <c r="A474" s="153"/>
      <c r="B474" s="229"/>
      <c r="C474" s="230"/>
      <c r="D474" s="231"/>
      <c r="E474" s="157"/>
      <c r="F474" s="12"/>
      <c r="G474" s="158"/>
    </row>
    <row r="475">
      <c r="A475" s="153"/>
      <c r="B475" s="229"/>
      <c r="C475" s="230"/>
      <c r="D475" s="231"/>
      <c r="E475" s="157"/>
      <c r="F475" s="12"/>
      <c r="G475" s="158"/>
    </row>
    <row r="476">
      <c r="A476" s="153"/>
      <c r="B476" s="229"/>
      <c r="C476" s="230"/>
      <c r="D476" s="231"/>
      <c r="E476" s="157"/>
      <c r="F476" s="12"/>
      <c r="G476" s="158"/>
    </row>
    <row r="477">
      <c r="A477" s="153"/>
      <c r="B477" s="229"/>
      <c r="C477" s="230"/>
      <c r="D477" s="231"/>
      <c r="E477" s="157"/>
      <c r="F477" s="12"/>
      <c r="G477" s="158"/>
    </row>
    <row r="478">
      <c r="A478" s="153"/>
      <c r="B478" s="229"/>
      <c r="C478" s="230"/>
      <c r="D478" s="231"/>
      <c r="E478" s="157"/>
      <c r="F478" s="12"/>
      <c r="G478" s="158"/>
    </row>
    <row r="479">
      <c r="A479" s="153"/>
      <c r="B479" s="229"/>
      <c r="C479" s="230"/>
      <c r="D479" s="231"/>
      <c r="E479" s="157"/>
      <c r="F479" s="12"/>
      <c r="G479" s="158"/>
    </row>
    <row r="480">
      <c r="A480" s="153"/>
      <c r="B480" s="229"/>
      <c r="C480" s="230"/>
      <c r="D480" s="231"/>
      <c r="E480" s="157"/>
      <c r="F480" s="12"/>
      <c r="G480" s="158"/>
    </row>
    <row r="481">
      <c r="A481" s="153"/>
      <c r="B481" s="229"/>
      <c r="C481" s="230"/>
      <c r="D481" s="231"/>
      <c r="E481" s="157"/>
      <c r="F481" s="12"/>
      <c r="G481" s="158"/>
    </row>
    <row r="482">
      <c r="A482" s="153"/>
      <c r="B482" s="229"/>
      <c r="C482" s="230"/>
      <c r="D482" s="231"/>
      <c r="E482" s="157"/>
      <c r="F482" s="12"/>
      <c r="G482" s="158"/>
    </row>
    <row r="483">
      <c r="A483" s="153"/>
      <c r="B483" s="229"/>
      <c r="C483" s="230"/>
      <c r="D483" s="231"/>
      <c r="E483" s="157"/>
      <c r="F483" s="12"/>
      <c r="G483" s="158"/>
    </row>
    <row r="484">
      <c r="A484" s="153"/>
      <c r="B484" s="229"/>
      <c r="C484" s="230"/>
      <c r="D484" s="231"/>
      <c r="E484" s="157"/>
      <c r="F484" s="12"/>
      <c r="G484" s="158"/>
    </row>
    <row r="485">
      <c r="A485" s="153"/>
      <c r="B485" s="229"/>
      <c r="C485" s="230"/>
      <c r="D485" s="231"/>
      <c r="E485" s="157"/>
      <c r="F485" s="12"/>
      <c r="G485" s="158"/>
    </row>
    <row r="486">
      <c r="A486" s="153"/>
      <c r="B486" s="229"/>
      <c r="C486" s="230"/>
      <c r="D486" s="231"/>
      <c r="E486" s="157"/>
      <c r="F486" s="12"/>
      <c r="G486" s="158"/>
    </row>
    <row r="487">
      <c r="A487" s="153"/>
      <c r="B487" s="229"/>
      <c r="C487" s="230"/>
      <c r="D487" s="231"/>
      <c r="E487" s="157"/>
      <c r="F487" s="12"/>
      <c r="G487" s="158"/>
    </row>
    <row r="488">
      <c r="A488" s="153"/>
      <c r="B488" s="229"/>
      <c r="C488" s="230"/>
      <c r="D488" s="231"/>
      <c r="E488" s="157"/>
      <c r="F488" s="12"/>
      <c r="G488" s="158"/>
    </row>
    <row r="489">
      <c r="A489" s="153"/>
      <c r="B489" s="229"/>
      <c r="C489" s="230"/>
      <c r="D489" s="231"/>
      <c r="E489" s="157"/>
      <c r="F489" s="12"/>
      <c r="G489" s="158"/>
    </row>
    <row r="490">
      <c r="A490" s="153"/>
      <c r="B490" s="229"/>
      <c r="C490" s="230"/>
      <c r="D490" s="231"/>
      <c r="E490" s="157"/>
      <c r="F490" s="12"/>
      <c r="G490" s="158"/>
    </row>
    <row r="491">
      <c r="A491" s="153"/>
      <c r="B491" s="229"/>
      <c r="C491" s="230"/>
      <c r="D491" s="231"/>
      <c r="E491" s="157"/>
      <c r="F491" s="12"/>
      <c r="G491" s="158"/>
    </row>
    <row r="492">
      <c r="A492" s="153"/>
      <c r="B492" s="229"/>
      <c r="C492" s="230"/>
      <c r="D492" s="231"/>
      <c r="E492" s="157"/>
      <c r="F492" s="12"/>
      <c r="G492" s="158"/>
    </row>
    <row r="493">
      <c r="A493" s="153"/>
      <c r="B493" s="229"/>
      <c r="C493" s="230"/>
      <c r="D493" s="231"/>
      <c r="E493" s="157"/>
      <c r="F493" s="12"/>
      <c r="G493" s="158"/>
    </row>
    <row r="494">
      <c r="A494" s="153"/>
      <c r="B494" s="229"/>
      <c r="C494" s="230"/>
      <c r="D494" s="231"/>
      <c r="E494" s="157"/>
      <c r="F494" s="12"/>
      <c r="G494" s="158"/>
    </row>
    <row r="495">
      <c r="A495" s="153"/>
      <c r="B495" s="229"/>
      <c r="C495" s="230"/>
      <c r="D495" s="231"/>
      <c r="E495" s="157"/>
      <c r="F495" s="12"/>
      <c r="G495" s="158"/>
    </row>
    <row r="496">
      <c r="A496" s="153"/>
      <c r="B496" s="229"/>
      <c r="C496" s="230"/>
      <c r="D496" s="231"/>
      <c r="E496" s="157"/>
      <c r="F496" s="12"/>
      <c r="G496" s="158"/>
    </row>
    <row r="497">
      <c r="A497" s="153"/>
      <c r="B497" s="229"/>
      <c r="C497" s="230"/>
      <c r="D497" s="231"/>
      <c r="E497" s="157"/>
      <c r="F497" s="12"/>
      <c r="G497" s="158"/>
    </row>
    <row r="498">
      <c r="A498" s="153"/>
      <c r="B498" s="229"/>
      <c r="C498" s="230"/>
      <c r="D498" s="231"/>
      <c r="E498" s="157"/>
      <c r="F498" s="12"/>
      <c r="G498" s="158"/>
    </row>
    <row r="499">
      <c r="A499" s="153"/>
      <c r="B499" s="229"/>
      <c r="C499" s="230"/>
      <c r="D499" s="231"/>
      <c r="E499" s="157"/>
      <c r="F499" s="12"/>
      <c r="G499" s="158"/>
    </row>
    <row r="500">
      <c r="A500" s="153"/>
      <c r="B500" s="229"/>
      <c r="C500" s="230"/>
      <c r="D500" s="231"/>
      <c r="E500" s="157"/>
      <c r="F500" s="12"/>
      <c r="G500" s="158"/>
    </row>
    <row r="501">
      <c r="A501" s="153"/>
      <c r="B501" s="229"/>
      <c r="C501" s="230"/>
      <c r="D501" s="231"/>
      <c r="E501" s="157"/>
      <c r="F501" s="12"/>
      <c r="G501" s="158"/>
    </row>
    <row r="502">
      <c r="A502" s="153"/>
      <c r="B502" s="229"/>
      <c r="C502" s="230"/>
      <c r="D502" s="231"/>
      <c r="E502" s="157"/>
      <c r="F502" s="12"/>
      <c r="G502" s="158"/>
    </row>
    <row r="503">
      <c r="A503" s="153"/>
      <c r="B503" s="229"/>
      <c r="C503" s="230"/>
      <c r="D503" s="231"/>
      <c r="E503" s="157"/>
      <c r="F503" s="12"/>
      <c r="G503" s="158"/>
    </row>
    <row r="504">
      <c r="A504" s="153"/>
      <c r="B504" s="229"/>
      <c r="C504" s="230"/>
      <c r="D504" s="231"/>
      <c r="E504" s="157"/>
      <c r="F504" s="12"/>
      <c r="G504" s="158"/>
    </row>
    <row r="505">
      <c r="A505" s="153"/>
      <c r="B505" s="229"/>
      <c r="C505" s="230"/>
      <c r="D505" s="231"/>
      <c r="E505" s="157"/>
      <c r="F505" s="12"/>
      <c r="G505" s="158"/>
    </row>
    <row r="506">
      <c r="A506" s="153"/>
      <c r="B506" s="229"/>
      <c r="C506" s="230"/>
      <c r="D506" s="231"/>
      <c r="E506" s="157"/>
      <c r="F506" s="12"/>
      <c r="G506" s="158"/>
    </row>
    <row r="507">
      <c r="A507" s="153"/>
      <c r="B507" s="229"/>
      <c r="C507" s="230"/>
      <c r="D507" s="231"/>
      <c r="E507" s="157"/>
      <c r="F507" s="12"/>
      <c r="G507" s="158"/>
    </row>
    <row r="508">
      <c r="A508" s="153"/>
      <c r="B508" s="229"/>
      <c r="C508" s="230"/>
      <c r="D508" s="231"/>
      <c r="E508" s="157"/>
      <c r="F508" s="12"/>
      <c r="G508" s="158"/>
    </row>
    <row r="509">
      <c r="A509" s="153"/>
      <c r="B509" s="229"/>
      <c r="C509" s="230"/>
      <c r="D509" s="231"/>
      <c r="E509" s="157"/>
      <c r="F509" s="12"/>
      <c r="G509" s="158"/>
    </row>
    <row r="510">
      <c r="A510" s="153"/>
      <c r="B510" s="229"/>
      <c r="C510" s="230"/>
      <c r="D510" s="231"/>
      <c r="E510" s="157"/>
      <c r="F510" s="12"/>
      <c r="G510" s="158"/>
    </row>
    <row r="511">
      <c r="A511" s="153"/>
      <c r="B511" s="229"/>
      <c r="C511" s="230"/>
      <c r="D511" s="231"/>
      <c r="E511" s="157"/>
      <c r="F511" s="12"/>
      <c r="G511" s="158"/>
    </row>
    <row r="512">
      <c r="A512" s="153"/>
      <c r="B512" s="229"/>
      <c r="C512" s="230"/>
      <c r="D512" s="231"/>
      <c r="E512" s="157"/>
      <c r="F512" s="12"/>
      <c r="G512" s="158"/>
    </row>
    <row r="513">
      <c r="A513" s="153"/>
      <c r="B513" s="229"/>
      <c r="C513" s="230"/>
      <c r="D513" s="231"/>
      <c r="E513" s="157"/>
      <c r="F513" s="12"/>
      <c r="G513" s="158"/>
    </row>
    <row r="514">
      <c r="A514" s="153"/>
      <c r="B514" s="229"/>
      <c r="C514" s="230"/>
      <c r="D514" s="231"/>
      <c r="E514" s="157"/>
      <c r="F514" s="12"/>
      <c r="G514" s="158"/>
    </row>
    <row r="515">
      <c r="A515" s="153"/>
      <c r="B515" s="229"/>
      <c r="C515" s="230"/>
      <c r="D515" s="231"/>
      <c r="E515" s="157"/>
      <c r="F515" s="12"/>
      <c r="G515" s="158"/>
    </row>
    <row r="516">
      <c r="A516" s="153"/>
      <c r="B516" s="229"/>
      <c r="C516" s="230"/>
      <c r="D516" s="231"/>
      <c r="E516" s="157"/>
      <c r="F516" s="12"/>
      <c r="G516" s="158"/>
    </row>
    <row r="517">
      <c r="A517" s="153"/>
      <c r="B517" s="229"/>
      <c r="C517" s="230"/>
      <c r="D517" s="231"/>
      <c r="E517" s="157"/>
      <c r="F517" s="12"/>
      <c r="G517" s="158"/>
    </row>
    <row r="518">
      <c r="A518" s="153"/>
      <c r="B518" s="229"/>
      <c r="C518" s="230"/>
      <c r="D518" s="231"/>
      <c r="E518" s="157"/>
      <c r="F518" s="12"/>
      <c r="G518" s="158"/>
    </row>
    <row r="519">
      <c r="A519" s="153"/>
      <c r="B519" s="229"/>
      <c r="C519" s="230"/>
      <c r="D519" s="231"/>
      <c r="E519" s="157"/>
      <c r="F519" s="12"/>
      <c r="G519" s="158"/>
    </row>
    <row r="520">
      <c r="A520" s="153"/>
      <c r="B520" s="229"/>
      <c r="C520" s="230"/>
      <c r="D520" s="231"/>
      <c r="E520" s="157"/>
      <c r="F520" s="12"/>
      <c r="G520" s="158"/>
    </row>
    <row r="521">
      <c r="A521" s="153"/>
      <c r="B521" s="229"/>
      <c r="C521" s="230"/>
      <c r="D521" s="231"/>
      <c r="E521" s="157"/>
      <c r="F521" s="12"/>
      <c r="G521" s="158"/>
    </row>
    <row r="522">
      <c r="A522" s="153"/>
      <c r="B522" s="229"/>
      <c r="C522" s="230"/>
      <c r="D522" s="231"/>
      <c r="E522" s="157"/>
      <c r="F522" s="12"/>
      <c r="G522" s="158"/>
    </row>
    <row r="523">
      <c r="A523" s="153"/>
      <c r="B523" s="229"/>
      <c r="C523" s="230"/>
      <c r="D523" s="231"/>
      <c r="E523" s="157"/>
      <c r="F523" s="12"/>
      <c r="G523" s="158"/>
    </row>
    <row r="524">
      <c r="A524" s="153"/>
      <c r="B524" s="229"/>
      <c r="C524" s="230"/>
      <c r="D524" s="231"/>
      <c r="E524" s="157"/>
      <c r="F524" s="12"/>
      <c r="G524" s="158"/>
    </row>
    <row r="525">
      <c r="A525" s="153"/>
      <c r="B525" s="229"/>
      <c r="C525" s="230"/>
      <c r="D525" s="231"/>
      <c r="E525" s="157"/>
      <c r="F525" s="12"/>
      <c r="G525" s="158"/>
    </row>
    <row r="526">
      <c r="A526" s="153"/>
      <c r="B526" s="229"/>
      <c r="C526" s="230"/>
      <c r="D526" s="231"/>
      <c r="E526" s="157"/>
      <c r="F526" s="12"/>
      <c r="G526" s="158"/>
    </row>
    <row r="527">
      <c r="A527" s="153"/>
      <c r="B527" s="229"/>
      <c r="C527" s="230"/>
      <c r="D527" s="231"/>
      <c r="E527" s="157"/>
      <c r="F527" s="12"/>
      <c r="G527" s="158"/>
    </row>
    <row r="528">
      <c r="A528" s="153"/>
      <c r="B528" s="229"/>
      <c r="C528" s="230"/>
      <c r="D528" s="231"/>
      <c r="E528" s="157"/>
      <c r="F528" s="12"/>
      <c r="G528" s="158"/>
    </row>
    <row r="529">
      <c r="A529" s="153"/>
      <c r="B529" s="229"/>
      <c r="C529" s="230"/>
      <c r="D529" s="231"/>
      <c r="E529" s="157"/>
      <c r="F529" s="12"/>
      <c r="G529" s="158"/>
    </row>
    <row r="530">
      <c r="A530" s="153"/>
      <c r="B530" s="229"/>
      <c r="C530" s="230"/>
      <c r="D530" s="231"/>
      <c r="E530" s="157"/>
      <c r="F530" s="12"/>
      <c r="G530" s="158"/>
    </row>
    <row r="531">
      <c r="A531" s="153"/>
      <c r="B531" s="229"/>
      <c r="C531" s="230"/>
      <c r="D531" s="231"/>
      <c r="E531" s="157"/>
      <c r="F531" s="12"/>
      <c r="G531" s="158"/>
    </row>
    <row r="532">
      <c r="A532" s="153"/>
      <c r="B532" s="229"/>
      <c r="C532" s="230"/>
      <c r="D532" s="231"/>
      <c r="E532" s="157"/>
      <c r="F532" s="12"/>
      <c r="G532" s="158"/>
    </row>
    <row r="533">
      <c r="A533" s="153"/>
      <c r="B533" s="229"/>
      <c r="C533" s="230"/>
      <c r="D533" s="231"/>
      <c r="E533" s="157"/>
      <c r="F533" s="12"/>
      <c r="G533" s="158"/>
    </row>
    <row r="534">
      <c r="A534" s="153"/>
      <c r="B534" s="229"/>
      <c r="C534" s="230"/>
      <c r="D534" s="231"/>
      <c r="E534" s="157"/>
      <c r="F534" s="12"/>
      <c r="G534" s="158"/>
    </row>
    <row r="535">
      <c r="A535" s="153"/>
      <c r="B535" s="229"/>
      <c r="C535" s="230"/>
      <c r="D535" s="231"/>
      <c r="E535" s="157"/>
      <c r="F535" s="12"/>
      <c r="G535" s="158"/>
    </row>
    <row r="536">
      <c r="A536" s="153"/>
      <c r="B536" s="229"/>
      <c r="C536" s="230"/>
      <c r="D536" s="231"/>
      <c r="E536" s="157"/>
      <c r="F536" s="12"/>
      <c r="G536" s="158"/>
    </row>
    <row r="537">
      <c r="A537" s="153"/>
      <c r="B537" s="229"/>
      <c r="C537" s="230"/>
      <c r="D537" s="231"/>
      <c r="E537" s="157"/>
      <c r="F537" s="12"/>
      <c r="G537" s="158"/>
    </row>
    <row r="538">
      <c r="A538" s="153"/>
      <c r="B538" s="229"/>
      <c r="C538" s="230"/>
      <c r="D538" s="231"/>
      <c r="E538" s="157"/>
      <c r="F538" s="12"/>
      <c r="G538" s="158"/>
    </row>
    <row r="539">
      <c r="A539" s="153"/>
      <c r="B539" s="229"/>
      <c r="C539" s="230"/>
      <c r="D539" s="231"/>
      <c r="E539" s="157"/>
      <c r="F539" s="12"/>
      <c r="G539" s="158"/>
    </row>
    <row r="540">
      <c r="A540" s="153"/>
      <c r="B540" s="229"/>
      <c r="C540" s="230"/>
      <c r="D540" s="231"/>
      <c r="E540" s="157"/>
      <c r="F540" s="12"/>
      <c r="G540" s="158"/>
    </row>
    <row r="541">
      <c r="A541" s="153"/>
      <c r="B541" s="229"/>
      <c r="C541" s="230"/>
      <c r="D541" s="231"/>
      <c r="E541" s="157"/>
      <c r="F541" s="12"/>
      <c r="G541" s="158"/>
    </row>
    <row r="542">
      <c r="A542" s="153"/>
      <c r="B542" s="229"/>
      <c r="C542" s="230"/>
      <c r="D542" s="231"/>
      <c r="E542" s="157"/>
      <c r="F542" s="12"/>
      <c r="G542" s="158"/>
    </row>
    <row r="543">
      <c r="A543" s="153"/>
      <c r="B543" s="229"/>
      <c r="C543" s="230"/>
      <c r="D543" s="231"/>
      <c r="E543" s="157"/>
      <c r="F543" s="12"/>
      <c r="G543" s="158"/>
    </row>
    <row r="544">
      <c r="A544" s="153"/>
      <c r="B544" s="229"/>
      <c r="C544" s="230"/>
      <c r="D544" s="231"/>
      <c r="E544" s="157"/>
      <c r="F544" s="12"/>
      <c r="G544" s="158"/>
    </row>
    <row r="545">
      <c r="A545" s="153"/>
      <c r="B545" s="229"/>
      <c r="C545" s="230"/>
      <c r="D545" s="231"/>
      <c r="E545" s="157"/>
      <c r="F545" s="12"/>
      <c r="G545" s="158"/>
    </row>
    <row r="546">
      <c r="A546" s="153"/>
      <c r="B546" s="229"/>
      <c r="C546" s="230"/>
      <c r="D546" s="231"/>
      <c r="E546" s="157"/>
      <c r="F546" s="12"/>
      <c r="G546" s="158"/>
    </row>
    <row r="547">
      <c r="A547" s="153"/>
      <c r="B547" s="229"/>
      <c r="C547" s="230"/>
      <c r="D547" s="231"/>
      <c r="E547" s="157"/>
      <c r="F547" s="12"/>
      <c r="G547" s="158"/>
    </row>
    <row r="548">
      <c r="A548" s="153"/>
      <c r="B548" s="229"/>
      <c r="C548" s="230"/>
      <c r="D548" s="231"/>
      <c r="E548" s="157"/>
      <c r="F548" s="12"/>
      <c r="G548" s="158"/>
    </row>
    <row r="549">
      <c r="A549" s="153"/>
      <c r="B549" s="229"/>
      <c r="C549" s="230"/>
      <c r="D549" s="231"/>
      <c r="E549" s="157"/>
      <c r="F549" s="12"/>
      <c r="G549" s="158"/>
    </row>
    <row r="550">
      <c r="A550" s="153"/>
      <c r="B550" s="229"/>
      <c r="C550" s="230"/>
      <c r="D550" s="231"/>
      <c r="E550" s="157"/>
      <c r="F550" s="12"/>
      <c r="G550" s="158"/>
    </row>
    <row r="551">
      <c r="A551" s="153"/>
      <c r="B551" s="229"/>
      <c r="C551" s="230"/>
      <c r="D551" s="231"/>
      <c r="E551" s="157"/>
      <c r="F551" s="12"/>
      <c r="G551" s="158"/>
    </row>
    <row r="552">
      <c r="A552" s="153"/>
      <c r="B552" s="229"/>
      <c r="C552" s="230"/>
      <c r="D552" s="231"/>
      <c r="E552" s="157"/>
      <c r="F552" s="12"/>
      <c r="G552" s="158"/>
    </row>
    <row r="553">
      <c r="A553" s="153"/>
      <c r="B553" s="229"/>
      <c r="C553" s="230"/>
      <c r="D553" s="231"/>
      <c r="E553" s="157"/>
      <c r="F553" s="12"/>
      <c r="G553" s="158"/>
    </row>
    <row r="554">
      <c r="A554" s="153"/>
      <c r="B554" s="229"/>
      <c r="C554" s="230"/>
      <c r="D554" s="231"/>
      <c r="E554" s="157"/>
      <c r="F554" s="12"/>
      <c r="G554" s="158"/>
    </row>
    <row r="555">
      <c r="A555" s="153"/>
      <c r="B555" s="229"/>
      <c r="C555" s="230"/>
      <c r="D555" s="231"/>
      <c r="E555" s="157"/>
      <c r="F555" s="12"/>
      <c r="G555" s="158"/>
    </row>
    <row r="556">
      <c r="A556" s="153"/>
      <c r="B556" s="229"/>
      <c r="C556" s="230"/>
      <c r="D556" s="231"/>
      <c r="E556" s="157"/>
      <c r="F556" s="12"/>
      <c r="G556" s="158"/>
    </row>
    <row r="557">
      <c r="A557" s="153"/>
      <c r="B557" s="229"/>
      <c r="C557" s="230"/>
      <c r="D557" s="231"/>
      <c r="E557" s="157"/>
      <c r="F557" s="12"/>
      <c r="G557" s="158"/>
    </row>
    <row r="558">
      <c r="A558" s="153"/>
      <c r="B558" s="229"/>
      <c r="C558" s="230"/>
      <c r="D558" s="231"/>
      <c r="E558" s="157"/>
      <c r="F558" s="12"/>
      <c r="G558" s="158"/>
    </row>
    <row r="559">
      <c r="A559" s="153"/>
      <c r="B559" s="229"/>
      <c r="C559" s="230"/>
      <c r="D559" s="231"/>
      <c r="E559" s="157"/>
      <c r="F559" s="12"/>
      <c r="G559" s="158"/>
    </row>
    <row r="560">
      <c r="A560" s="153"/>
      <c r="B560" s="229"/>
      <c r="C560" s="230"/>
      <c r="D560" s="231"/>
      <c r="E560" s="157"/>
      <c r="F560" s="12"/>
      <c r="G560" s="158"/>
    </row>
    <row r="561">
      <c r="A561" s="153"/>
      <c r="B561" s="229"/>
      <c r="C561" s="230"/>
      <c r="D561" s="231"/>
      <c r="E561" s="157"/>
      <c r="F561" s="12"/>
      <c r="G561" s="158"/>
    </row>
    <row r="562">
      <c r="A562" s="153"/>
      <c r="B562" s="229"/>
      <c r="C562" s="230"/>
      <c r="D562" s="231"/>
      <c r="E562" s="157"/>
      <c r="F562" s="12"/>
      <c r="G562" s="158"/>
    </row>
    <row r="563">
      <c r="A563" s="153"/>
      <c r="B563" s="229"/>
      <c r="C563" s="230"/>
      <c r="D563" s="231"/>
      <c r="E563" s="157"/>
      <c r="F563" s="12"/>
      <c r="G563" s="158"/>
    </row>
    <row r="564">
      <c r="A564" s="153"/>
      <c r="B564" s="229"/>
      <c r="C564" s="230"/>
      <c r="D564" s="231"/>
      <c r="E564" s="157"/>
      <c r="F564" s="12"/>
      <c r="G564" s="158"/>
    </row>
    <row r="565">
      <c r="A565" s="153"/>
      <c r="B565" s="229"/>
      <c r="C565" s="230"/>
      <c r="D565" s="231"/>
      <c r="E565" s="157"/>
      <c r="F565" s="12"/>
      <c r="G565" s="158"/>
    </row>
    <row r="566">
      <c r="A566" s="153"/>
      <c r="B566" s="229"/>
      <c r="C566" s="230"/>
      <c r="D566" s="231"/>
      <c r="E566" s="157"/>
      <c r="F566" s="12"/>
      <c r="G566" s="158"/>
    </row>
    <row r="567">
      <c r="A567" s="153"/>
      <c r="B567" s="229"/>
      <c r="C567" s="230"/>
      <c r="D567" s="231"/>
      <c r="E567" s="157"/>
      <c r="F567" s="12"/>
      <c r="G567" s="158"/>
    </row>
    <row r="568">
      <c r="A568" s="153"/>
      <c r="B568" s="229"/>
      <c r="C568" s="230"/>
      <c r="D568" s="231"/>
      <c r="E568" s="157"/>
      <c r="F568" s="12"/>
      <c r="G568" s="158"/>
    </row>
    <row r="569">
      <c r="A569" s="153"/>
      <c r="B569" s="229"/>
      <c r="C569" s="230"/>
      <c r="D569" s="231"/>
      <c r="E569" s="157"/>
      <c r="F569" s="12"/>
      <c r="G569" s="158"/>
    </row>
    <row r="570">
      <c r="A570" s="153"/>
      <c r="B570" s="229"/>
      <c r="C570" s="230"/>
      <c r="D570" s="231"/>
      <c r="E570" s="157"/>
      <c r="F570" s="12"/>
      <c r="G570" s="158"/>
    </row>
    <row r="571">
      <c r="A571" s="153"/>
      <c r="B571" s="229"/>
      <c r="C571" s="230"/>
      <c r="D571" s="231"/>
      <c r="E571" s="157"/>
      <c r="F571" s="12"/>
      <c r="G571" s="158"/>
    </row>
    <row r="572">
      <c r="A572" s="153"/>
      <c r="B572" s="229"/>
      <c r="C572" s="230"/>
      <c r="D572" s="231"/>
      <c r="E572" s="157"/>
      <c r="F572" s="12"/>
      <c r="G572" s="158"/>
    </row>
    <row r="573">
      <c r="A573" s="153"/>
      <c r="B573" s="229"/>
      <c r="C573" s="230"/>
      <c r="D573" s="231"/>
      <c r="E573" s="157"/>
      <c r="F573" s="12"/>
      <c r="G573" s="158"/>
    </row>
    <row r="574">
      <c r="A574" s="153"/>
      <c r="B574" s="229"/>
      <c r="C574" s="230"/>
      <c r="D574" s="231"/>
      <c r="E574" s="157"/>
      <c r="F574" s="12"/>
      <c r="G574" s="158"/>
    </row>
    <row r="575">
      <c r="A575" s="153"/>
      <c r="B575" s="229"/>
      <c r="C575" s="230"/>
      <c r="D575" s="231"/>
      <c r="E575" s="157"/>
      <c r="F575" s="12"/>
      <c r="G575" s="158"/>
    </row>
    <row r="576">
      <c r="A576" s="153"/>
      <c r="B576" s="229"/>
      <c r="C576" s="230"/>
      <c r="D576" s="231"/>
      <c r="E576" s="157"/>
      <c r="F576" s="12"/>
      <c r="G576" s="158"/>
    </row>
    <row r="577">
      <c r="A577" s="153"/>
      <c r="B577" s="229"/>
      <c r="C577" s="230"/>
      <c r="D577" s="231"/>
      <c r="E577" s="157"/>
      <c r="F577" s="12"/>
      <c r="G577" s="158"/>
    </row>
    <row r="578">
      <c r="A578" s="153"/>
      <c r="B578" s="229"/>
      <c r="C578" s="230"/>
      <c r="D578" s="231"/>
      <c r="E578" s="157"/>
      <c r="F578" s="12"/>
      <c r="G578" s="158"/>
    </row>
    <row r="579">
      <c r="A579" s="153"/>
      <c r="B579" s="229"/>
      <c r="C579" s="230"/>
      <c r="D579" s="231"/>
      <c r="E579" s="157"/>
      <c r="F579" s="12"/>
      <c r="G579" s="158"/>
    </row>
    <row r="580">
      <c r="A580" s="153"/>
      <c r="B580" s="229"/>
      <c r="C580" s="230"/>
      <c r="D580" s="231"/>
      <c r="E580" s="157"/>
      <c r="F580" s="12"/>
      <c r="G580" s="158"/>
    </row>
    <row r="581">
      <c r="A581" s="153"/>
      <c r="B581" s="229"/>
      <c r="C581" s="230"/>
      <c r="D581" s="231"/>
      <c r="E581" s="157"/>
      <c r="F581" s="12"/>
      <c r="G581" s="158"/>
    </row>
    <row r="582">
      <c r="A582" s="153"/>
      <c r="B582" s="229"/>
      <c r="C582" s="230"/>
      <c r="D582" s="231"/>
      <c r="E582" s="157"/>
      <c r="F582" s="12"/>
      <c r="G582" s="158"/>
    </row>
    <row r="583">
      <c r="A583" s="153"/>
      <c r="B583" s="229"/>
      <c r="C583" s="230"/>
      <c r="D583" s="231"/>
      <c r="E583" s="157"/>
      <c r="F583" s="12"/>
      <c r="G583" s="158"/>
    </row>
    <row r="584">
      <c r="A584" s="153"/>
      <c r="B584" s="229"/>
      <c r="C584" s="230"/>
      <c r="D584" s="231"/>
      <c r="E584" s="157"/>
      <c r="F584" s="12"/>
      <c r="G584" s="158"/>
    </row>
    <row r="585">
      <c r="A585" s="153"/>
      <c r="B585" s="229"/>
      <c r="C585" s="230"/>
      <c r="D585" s="231"/>
      <c r="E585" s="157"/>
      <c r="F585" s="12"/>
      <c r="G585" s="158"/>
    </row>
    <row r="586">
      <c r="A586" s="153"/>
      <c r="B586" s="229"/>
      <c r="C586" s="230"/>
      <c r="D586" s="231"/>
      <c r="E586" s="157"/>
      <c r="F586" s="12"/>
      <c r="G586" s="158"/>
    </row>
    <row r="587">
      <c r="A587" s="153"/>
      <c r="B587" s="229"/>
      <c r="C587" s="230"/>
      <c r="D587" s="231"/>
      <c r="E587" s="157"/>
      <c r="F587" s="12"/>
      <c r="G587" s="158"/>
    </row>
    <row r="588">
      <c r="A588" s="153"/>
      <c r="B588" s="229"/>
      <c r="C588" s="230"/>
      <c r="D588" s="231"/>
      <c r="E588" s="157"/>
      <c r="F588" s="12"/>
      <c r="G588" s="158"/>
    </row>
    <row r="589">
      <c r="A589" s="153"/>
      <c r="B589" s="229"/>
      <c r="C589" s="230"/>
      <c r="D589" s="231"/>
      <c r="E589" s="157"/>
      <c r="F589" s="12"/>
      <c r="G589" s="158"/>
    </row>
    <row r="590">
      <c r="A590" s="153"/>
      <c r="B590" s="229"/>
      <c r="C590" s="230"/>
      <c r="D590" s="231"/>
      <c r="E590" s="157"/>
      <c r="F590" s="12"/>
      <c r="G590" s="158"/>
    </row>
    <row r="591">
      <c r="A591" s="153"/>
      <c r="B591" s="229"/>
      <c r="C591" s="230"/>
      <c r="D591" s="231"/>
      <c r="E591" s="157"/>
      <c r="F591" s="12"/>
      <c r="G591" s="158"/>
    </row>
    <row r="592">
      <c r="A592" s="153"/>
      <c r="B592" s="229"/>
      <c r="C592" s="230"/>
      <c r="D592" s="231"/>
      <c r="E592" s="157"/>
      <c r="F592" s="12"/>
      <c r="G592" s="158"/>
    </row>
    <row r="593">
      <c r="A593" s="153"/>
      <c r="B593" s="229"/>
      <c r="C593" s="230"/>
      <c r="D593" s="231"/>
      <c r="E593" s="157"/>
      <c r="F593" s="12"/>
      <c r="G593" s="158"/>
    </row>
    <row r="594">
      <c r="A594" s="153"/>
      <c r="B594" s="229"/>
      <c r="C594" s="230"/>
      <c r="D594" s="231"/>
      <c r="E594" s="157"/>
      <c r="F594" s="12"/>
      <c r="G594" s="158"/>
    </row>
    <row r="595">
      <c r="A595" s="153"/>
      <c r="B595" s="229"/>
      <c r="C595" s="230"/>
      <c r="D595" s="231"/>
      <c r="E595" s="157"/>
      <c r="F595" s="12"/>
      <c r="G595" s="158"/>
    </row>
    <row r="596">
      <c r="A596" s="153"/>
      <c r="B596" s="229"/>
      <c r="C596" s="230"/>
      <c r="D596" s="231"/>
      <c r="E596" s="157"/>
      <c r="F596" s="12"/>
      <c r="G596" s="158"/>
    </row>
    <row r="597">
      <c r="A597" s="153"/>
      <c r="B597" s="229"/>
      <c r="C597" s="230"/>
      <c r="D597" s="231"/>
      <c r="E597" s="157"/>
      <c r="F597" s="12"/>
      <c r="G597" s="158"/>
    </row>
    <row r="598">
      <c r="A598" s="153"/>
      <c r="B598" s="229"/>
      <c r="C598" s="230"/>
      <c r="D598" s="231"/>
      <c r="E598" s="157"/>
      <c r="F598" s="12"/>
      <c r="G598" s="158"/>
    </row>
    <row r="599">
      <c r="A599" s="153"/>
      <c r="B599" s="229"/>
      <c r="C599" s="230"/>
      <c r="D599" s="231"/>
      <c r="E599" s="157"/>
      <c r="F599" s="12"/>
      <c r="G599" s="158"/>
    </row>
    <row r="600">
      <c r="A600" s="153"/>
      <c r="B600" s="229"/>
      <c r="C600" s="230"/>
      <c r="D600" s="231"/>
      <c r="E600" s="157"/>
      <c r="F600" s="12"/>
      <c r="G600" s="158"/>
    </row>
    <row r="601">
      <c r="A601" s="153"/>
      <c r="B601" s="229"/>
      <c r="C601" s="230"/>
      <c r="D601" s="231"/>
      <c r="E601" s="157"/>
      <c r="F601" s="12"/>
      <c r="G601" s="158"/>
    </row>
    <row r="602">
      <c r="A602" s="153"/>
      <c r="B602" s="229"/>
      <c r="C602" s="230"/>
      <c r="D602" s="231"/>
      <c r="E602" s="157"/>
      <c r="F602" s="12"/>
      <c r="G602" s="158"/>
    </row>
    <row r="603">
      <c r="A603" s="153"/>
      <c r="B603" s="229"/>
      <c r="C603" s="230"/>
      <c r="D603" s="231"/>
      <c r="E603" s="157"/>
      <c r="F603" s="12"/>
      <c r="G603" s="158"/>
    </row>
    <row r="604">
      <c r="A604" s="153"/>
      <c r="B604" s="229"/>
      <c r="C604" s="230"/>
      <c r="D604" s="231"/>
      <c r="E604" s="157"/>
      <c r="F604" s="12"/>
      <c r="G604" s="158"/>
    </row>
    <row r="605">
      <c r="A605" s="153"/>
      <c r="B605" s="229"/>
      <c r="C605" s="230"/>
      <c r="D605" s="231"/>
      <c r="E605" s="157"/>
      <c r="F605" s="12"/>
      <c r="G605" s="158"/>
    </row>
    <row r="606">
      <c r="A606" s="153"/>
      <c r="B606" s="229"/>
      <c r="C606" s="230"/>
      <c r="D606" s="231"/>
      <c r="E606" s="157"/>
      <c r="F606" s="12"/>
      <c r="G606" s="158"/>
    </row>
    <row r="607">
      <c r="A607" s="153"/>
      <c r="B607" s="229"/>
      <c r="C607" s="230"/>
      <c r="D607" s="231"/>
      <c r="E607" s="157"/>
      <c r="F607" s="12"/>
      <c r="G607" s="158"/>
    </row>
    <row r="608">
      <c r="A608" s="153"/>
      <c r="B608" s="229"/>
      <c r="C608" s="230"/>
      <c r="D608" s="231"/>
      <c r="E608" s="157"/>
      <c r="F608" s="12"/>
      <c r="G608" s="158"/>
    </row>
    <row r="609">
      <c r="A609" s="153"/>
      <c r="B609" s="229"/>
      <c r="C609" s="230"/>
      <c r="D609" s="231"/>
      <c r="E609" s="157"/>
      <c r="F609" s="12"/>
      <c r="G609" s="158"/>
    </row>
    <row r="610">
      <c r="A610" s="153"/>
      <c r="B610" s="229"/>
      <c r="C610" s="230"/>
      <c r="D610" s="231"/>
      <c r="E610" s="157"/>
      <c r="F610" s="12"/>
      <c r="G610" s="158"/>
    </row>
    <row r="611">
      <c r="A611" s="153"/>
      <c r="B611" s="229"/>
      <c r="C611" s="230"/>
      <c r="D611" s="231"/>
      <c r="E611" s="157"/>
      <c r="F611" s="12"/>
      <c r="G611" s="158"/>
    </row>
    <row r="612">
      <c r="A612" s="153"/>
      <c r="B612" s="229"/>
      <c r="C612" s="230"/>
      <c r="D612" s="231"/>
      <c r="E612" s="157"/>
      <c r="F612" s="12"/>
      <c r="G612" s="158"/>
    </row>
    <row r="613">
      <c r="A613" s="153"/>
      <c r="B613" s="229"/>
      <c r="C613" s="230"/>
      <c r="D613" s="231"/>
      <c r="E613" s="157"/>
      <c r="F613" s="12"/>
      <c r="G613" s="158"/>
    </row>
    <row r="614">
      <c r="A614" s="153"/>
      <c r="B614" s="229"/>
      <c r="C614" s="230"/>
      <c r="D614" s="231"/>
      <c r="E614" s="157"/>
      <c r="F614" s="12"/>
      <c r="G614" s="158"/>
    </row>
    <row r="615">
      <c r="A615" s="153"/>
      <c r="B615" s="229"/>
      <c r="C615" s="230"/>
      <c r="D615" s="231"/>
      <c r="E615" s="157"/>
      <c r="F615" s="12"/>
      <c r="G615" s="158"/>
    </row>
    <row r="616">
      <c r="A616" s="153"/>
      <c r="B616" s="229"/>
      <c r="C616" s="230"/>
      <c r="D616" s="231"/>
      <c r="E616" s="157"/>
      <c r="F616" s="12"/>
      <c r="G616" s="158"/>
    </row>
    <row r="617">
      <c r="A617" s="153"/>
      <c r="B617" s="229"/>
      <c r="C617" s="230"/>
      <c r="D617" s="231"/>
      <c r="E617" s="157"/>
      <c r="F617" s="12"/>
      <c r="G617" s="158"/>
    </row>
    <row r="618">
      <c r="A618" s="153"/>
      <c r="B618" s="229"/>
      <c r="C618" s="230"/>
      <c r="D618" s="231"/>
      <c r="E618" s="157"/>
      <c r="F618" s="12"/>
      <c r="G618" s="158"/>
    </row>
    <row r="619">
      <c r="A619" s="153"/>
      <c r="B619" s="229"/>
      <c r="C619" s="230"/>
      <c r="D619" s="231"/>
      <c r="E619" s="157"/>
      <c r="F619" s="12"/>
      <c r="G619" s="158"/>
    </row>
    <row r="620">
      <c r="A620" s="153"/>
      <c r="B620" s="229"/>
      <c r="C620" s="230"/>
      <c r="D620" s="231"/>
      <c r="E620" s="157"/>
      <c r="F620" s="12"/>
      <c r="G620" s="158"/>
    </row>
    <row r="621">
      <c r="A621" s="153"/>
      <c r="B621" s="229"/>
      <c r="C621" s="230"/>
      <c r="D621" s="231"/>
      <c r="E621" s="157"/>
      <c r="F621" s="12"/>
      <c r="G621" s="158"/>
    </row>
    <row r="622">
      <c r="A622" s="153"/>
      <c r="B622" s="229"/>
      <c r="C622" s="230"/>
      <c r="D622" s="231"/>
      <c r="E622" s="157"/>
      <c r="F622" s="12"/>
      <c r="G622" s="158"/>
    </row>
    <row r="623">
      <c r="A623" s="153"/>
      <c r="B623" s="229"/>
      <c r="C623" s="230"/>
      <c r="D623" s="231"/>
      <c r="E623" s="157"/>
      <c r="F623" s="12"/>
      <c r="G623" s="158"/>
    </row>
    <row r="624">
      <c r="A624" s="153"/>
      <c r="B624" s="229"/>
      <c r="C624" s="230"/>
      <c r="D624" s="231"/>
      <c r="E624" s="157"/>
      <c r="F624" s="12"/>
      <c r="G624" s="158"/>
    </row>
    <row r="625">
      <c r="A625" s="153"/>
      <c r="B625" s="229"/>
      <c r="C625" s="230"/>
      <c r="D625" s="231"/>
      <c r="E625" s="157"/>
      <c r="F625" s="12"/>
      <c r="G625" s="158"/>
    </row>
    <row r="626">
      <c r="A626" s="153"/>
      <c r="B626" s="229"/>
      <c r="C626" s="230"/>
      <c r="D626" s="231"/>
      <c r="E626" s="157"/>
      <c r="F626" s="12"/>
      <c r="G626" s="158"/>
    </row>
    <row r="627">
      <c r="A627" s="153"/>
      <c r="B627" s="229"/>
      <c r="C627" s="230"/>
      <c r="D627" s="231"/>
      <c r="E627" s="157"/>
      <c r="F627" s="12"/>
      <c r="G627" s="158"/>
    </row>
    <row r="628">
      <c r="A628" s="153"/>
      <c r="B628" s="229"/>
      <c r="C628" s="230"/>
      <c r="D628" s="231"/>
      <c r="E628" s="157"/>
      <c r="F628" s="12"/>
      <c r="G628" s="158"/>
    </row>
    <row r="629">
      <c r="A629" s="153"/>
      <c r="B629" s="229"/>
      <c r="C629" s="230"/>
      <c r="D629" s="231"/>
      <c r="E629" s="157"/>
      <c r="F629" s="12"/>
      <c r="G629" s="158"/>
    </row>
    <row r="630">
      <c r="A630" s="153"/>
      <c r="B630" s="229"/>
      <c r="C630" s="230"/>
      <c r="D630" s="231"/>
      <c r="E630" s="157"/>
      <c r="F630" s="12"/>
      <c r="G630" s="158"/>
    </row>
    <row r="631">
      <c r="A631" s="153"/>
      <c r="B631" s="229"/>
      <c r="C631" s="230"/>
      <c r="D631" s="231"/>
      <c r="E631" s="157"/>
      <c r="F631" s="12"/>
      <c r="G631" s="158"/>
    </row>
    <row r="632">
      <c r="A632" s="153"/>
      <c r="B632" s="229"/>
      <c r="C632" s="230"/>
      <c r="D632" s="231"/>
      <c r="E632" s="157"/>
      <c r="F632" s="12"/>
      <c r="G632" s="158"/>
    </row>
    <row r="633">
      <c r="A633" s="153"/>
      <c r="B633" s="229"/>
      <c r="C633" s="230"/>
      <c r="D633" s="231"/>
      <c r="E633" s="157"/>
      <c r="F633" s="12"/>
      <c r="G633" s="158"/>
    </row>
    <row r="634">
      <c r="A634" s="153"/>
      <c r="B634" s="229"/>
      <c r="C634" s="230"/>
      <c r="D634" s="231"/>
      <c r="E634" s="157"/>
      <c r="F634" s="12"/>
      <c r="G634" s="158"/>
    </row>
    <row r="635">
      <c r="A635" s="153"/>
      <c r="B635" s="229"/>
      <c r="C635" s="230"/>
      <c r="D635" s="231"/>
      <c r="E635" s="157"/>
      <c r="F635" s="12"/>
      <c r="G635" s="158"/>
    </row>
    <row r="636">
      <c r="A636" s="153"/>
      <c r="B636" s="229"/>
      <c r="C636" s="230"/>
      <c r="D636" s="231"/>
      <c r="E636" s="157"/>
      <c r="F636" s="12"/>
      <c r="G636" s="158"/>
    </row>
    <row r="637">
      <c r="A637" s="153"/>
      <c r="B637" s="229"/>
      <c r="C637" s="230"/>
      <c r="D637" s="231"/>
      <c r="E637" s="157"/>
      <c r="F637" s="12"/>
      <c r="G637" s="158"/>
    </row>
    <row r="638">
      <c r="A638" s="153"/>
      <c r="B638" s="229"/>
      <c r="C638" s="230"/>
      <c r="D638" s="231"/>
      <c r="E638" s="157"/>
      <c r="F638" s="12"/>
      <c r="G638" s="158"/>
    </row>
    <row r="639">
      <c r="A639" s="153"/>
      <c r="B639" s="229"/>
      <c r="C639" s="230"/>
      <c r="D639" s="231"/>
      <c r="E639" s="157"/>
      <c r="F639" s="12"/>
      <c r="G639" s="158"/>
    </row>
    <row r="640">
      <c r="A640" s="153"/>
      <c r="B640" s="229"/>
      <c r="C640" s="230"/>
      <c r="D640" s="231"/>
      <c r="E640" s="157"/>
      <c r="F640" s="12"/>
      <c r="G640" s="158"/>
    </row>
    <row r="641">
      <c r="A641" s="153"/>
      <c r="B641" s="229"/>
      <c r="C641" s="230"/>
      <c r="D641" s="231"/>
      <c r="E641" s="157"/>
      <c r="F641" s="12"/>
      <c r="G641" s="158"/>
    </row>
    <row r="642">
      <c r="A642" s="153"/>
      <c r="B642" s="229"/>
      <c r="C642" s="230"/>
      <c r="D642" s="231"/>
      <c r="E642" s="157"/>
      <c r="F642" s="12"/>
      <c r="G642" s="158"/>
    </row>
    <row r="643">
      <c r="A643" s="153"/>
      <c r="B643" s="229"/>
      <c r="C643" s="230"/>
      <c r="D643" s="231"/>
      <c r="E643" s="157"/>
      <c r="F643" s="12"/>
      <c r="G643" s="158"/>
    </row>
    <row r="644">
      <c r="A644" s="153"/>
      <c r="B644" s="229"/>
      <c r="C644" s="230"/>
      <c r="D644" s="231"/>
      <c r="E644" s="157"/>
      <c r="F644" s="12"/>
      <c r="G644" s="158"/>
    </row>
    <row r="645">
      <c r="A645" s="153"/>
      <c r="B645" s="229"/>
      <c r="C645" s="230"/>
      <c r="D645" s="231"/>
      <c r="E645" s="157"/>
      <c r="F645" s="12"/>
      <c r="G645" s="158"/>
    </row>
    <row r="646">
      <c r="A646" s="153"/>
      <c r="B646" s="229"/>
      <c r="C646" s="230"/>
      <c r="D646" s="231"/>
      <c r="E646" s="157"/>
      <c r="F646" s="12"/>
      <c r="G646" s="158"/>
    </row>
    <row r="647">
      <c r="A647" s="153"/>
      <c r="B647" s="229"/>
      <c r="C647" s="230"/>
      <c r="D647" s="231"/>
      <c r="E647" s="157"/>
      <c r="F647" s="12"/>
      <c r="G647" s="158"/>
    </row>
    <row r="648">
      <c r="A648" s="153"/>
      <c r="B648" s="229"/>
      <c r="C648" s="230"/>
      <c r="D648" s="231"/>
      <c r="E648" s="157"/>
      <c r="F648" s="12"/>
      <c r="G648" s="158"/>
    </row>
    <row r="649">
      <c r="A649" s="153"/>
      <c r="B649" s="229"/>
      <c r="C649" s="230"/>
      <c r="D649" s="231"/>
      <c r="E649" s="157"/>
      <c r="F649" s="12"/>
      <c r="G649" s="158"/>
    </row>
    <row r="650">
      <c r="A650" s="153"/>
      <c r="B650" s="229"/>
      <c r="C650" s="230"/>
      <c r="D650" s="231"/>
      <c r="E650" s="157"/>
      <c r="F650" s="12"/>
      <c r="G650" s="158"/>
    </row>
    <row r="651">
      <c r="A651" s="153"/>
      <c r="B651" s="229"/>
      <c r="C651" s="230"/>
      <c r="D651" s="231"/>
      <c r="E651" s="157"/>
      <c r="F651" s="12"/>
      <c r="G651" s="158"/>
    </row>
    <row r="652">
      <c r="A652" s="153"/>
      <c r="B652" s="229"/>
      <c r="C652" s="230"/>
      <c r="D652" s="231"/>
      <c r="E652" s="157"/>
      <c r="F652" s="12"/>
      <c r="G652" s="158"/>
    </row>
    <row r="653">
      <c r="A653" s="153"/>
      <c r="B653" s="229"/>
      <c r="C653" s="230"/>
      <c r="D653" s="231"/>
      <c r="E653" s="157"/>
      <c r="F653" s="12"/>
      <c r="G653" s="158"/>
    </row>
    <row r="654">
      <c r="A654" s="153"/>
      <c r="B654" s="229"/>
      <c r="C654" s="230"/>
      <c r="D654" s="231"/>
      <c r="E654" s="157"/>
      <c r="F654" s="12"/>
      <c r="G654" s="158"/>
    </row>
    <row r="655">
      <c r="A655" s="153"/>
      <c r="B655" s="229"/>
      <c r="C655" s="230"/>
      <c r="D655" s="231"/>
      <c r="E655" s="157"/>
      <c r="F655" s="12"/>
      <c r="G655" s="158"/>
    </row>
    <row r="656">
      <c r="A656" s="153"/>
      <c r="B656" s="229"/>
      <c r="C656" s="230"/>
      <c r="D656" s="231"/>
      <c r="E656" s="157"/>
      <c r="F656" s="12"/>
      <c r="G656" s="158"/>
    </row>
    <row r="657">
      <c r="A657" s="153"/>
      <c r="B657" s="229"/>
      <c r="C657" s="230"/>
      <c r="D657" s="231"/>
      <c r="E657" s="157"/>
      <c r="F657" s="12"/>
      <c r="G657" s="158"/>
    </row>
    <row r="658">
      <c r="A658" s="153"/>
      <c r="B658" s="229"/>
      <c r="C658" s="230"/>
      <c r="D658" s="231"/>
      <c r="E658" s="157"/>
      <c r="F658" s="12"/>
      <c r="G658" s="158"/>
    </row>
    <row r="659">
      <c r="A659" s="153"/>
      <c r="B659" s="229"/>
      <c r="C659" s="230"/>
      <c r="D659" s="231"/>
      <c r="E659" s="157"/>
      <c r="F659" s="12"/>
      <c r="G659" s="158"/>
    </row>
    <row r="660">
      <c r="A660" s="153"/>
      <c r="B660" s="229"/>
      <c r="C660" s="230"/>
      <c r="D660" s="231"/>
      <c r="E660" s="157"/>
      <c r="F660" s="12"/>
      <c r="G660" s="158"/>
    </row>
    <row r="661">
      <c r="A661" s="153"/>
      <c r="B661" s="229"/>
      <c r="C661" s="230"/>
      <c r="D661" s="231"/>
      <c r="E661" s="157"/>
      <c r="F661" s="12"/>
      <c r="G661" s="158"/>
    </row>
    <row r="662">
      <c r="A662" s="153"/>
      <c r="B662" s="229"/>
      <c r="C662" s="230"/>
      <c r="D662" s="231"/>
      <c r="E662" s="157"/>
      <c r="F662" s="12"/>
      <c r="G662" s="158"/>
    </row>
    <row r="663">
      <c r="A663" s="153"/>
      <c r="B663" s="229"/>
      <c r="C663" s="230"/>
      <c r="D663" s="231"/>
      <c r="E663" s="157"/>
      <c r="F663" s="12"/>
      <c r="G663" s="158"/>
    </row>
    <row r="664">
      <c r="A664" s="153"/>
      <c r="B664" s="229"/>
      <c r="C664" s="230"/>
      <c r="D664" s="231"/>
      <c r="E664" s="157"/>
      <c r="F664" s="12"/>
      <c r="G664" s="158"/>
    </row>
    <row r="665">
      <c r="A665" s="153"/>
      <c r="B665" s="229"/>
      <c r="C665" s="230"/>
      <c r="D665" s="231"/>
      <c r="E665" s="157"/>
      <c r="F665" s="12"/>
      <c r="G665" s="158"/>
    </row>
    <row r="666">
      <c r="A666" s="153"/>
      <c r="B666" s="229"/>
      <c r="C666" s="230"/>
      <c r="D666" s="231"/>
      <c r="E666" s="157"/>
      <c r="F666" s="12"/>
      <c r="G666" s="158"/>
    </row>
    <row r="667">
      <c r="A667" s="153"/>
      <c r="B667" s="229"/>
      <c r="C667" s="230"/>
      <c r="D667" s="231"/>
      <c r="E667" s="157"/>
      <c r="F667" s="12"/>
      <c r="G667" s="158"/>
    </row>
    <row r="668">
      <c r="A668" s="153"/>
      <c r="B668" s="229"/>
      <c r="C668" s="230"/>
      <c r="D668" s="231"/>
      <c r="E668" s="157"/>
      <c r="F668" s="12"/>
      <c r="G668" s="158"/>
    </row>
    <row r="669">
      <c r="A669" s="153"/>
      <c r="B669" s="229"/>
      <c r="C669" s="230"/>
      <c r="D669" s="231"/>
      <c r="E669" s="157"/>
      <c r="F669" s="12"/>
      <c r="G669" s="158"/>
    </row>
    <row r="670">
      <c r="A670" s="153"/>
      <c r="B670" s="229"/>
      <c r="C670" s="230"/>
      <c r="D670" s="231"/>
      <c r="E670" s="157"/>
      <c r="F670" s="12"/>
      <c r="G670" s="158"/>
    </row>
    <row r="671">
      <c r="A671" s="153"/>
      <c r="B671" s="229"/>
      <c r="C671" s="230"/>
      <c r="D671" s="231"/>
      <c r="E671" s="157"/>
      <c r="F671" s="12"/>
      <c r="G671" s="158"/>
    </row>
    <row r="672">
      <c r="A672" s="153"/>
      <c r="B672" s="229"/>
      <c r="C672" s="230"/>
      <c r="D672" s="231"/>
      <c r="E672" s="157"/>
      <c r="F672" s="12"/>
      <c r="G672" s="158"/>
    </row>
    <row r="673">
      <c r="A673" s="153"/>
      <c r="B673" s="229"/>
      <c r="C673" s="230"/>
      <c r="D673" s="231"/>
      <c r="E673" s="157"/>
      <c r="F673" s="12"/>
      <c r="G673" s="158"/>
    </row>
    <row r="674">
      <c r="A674" s="153"/>
      <c r="B674" s="229"/>
      <c r="C674" s="230"/>
      <c r="D674" s="231"/>
      <c r="E674" s="157"/>
      <c r="F674" s="12"/>
      <c r="G674" s="158"/>
    </row>
    <row r="675">
      <c r="A675" s="153"/>
      <c r="B675" s="229"/>
      <c r="C675" s="230"/>
      <c r="D675" s="231"/>
      <c r="E675" s="157"/>
      <c r="F675" s="12"/>
      <c r="G675" s="158"/>
    </row>
    <row r="676">
      <c r="A676" s="153"/>
      <c r="B676" s="229"/>
      <c r="C676" s="230"/>
      <c r="D676" s="231"/>
      <c r="E676" s="157"/>
      <c r="F676" s="12"/>
      <c r="G676" s="158"/>
    </row>
    <row r="677">
      <c r="A677" s="153"/>
      <c r="B677" s="229"/>
      <c r="C677" s="230"/>
      <c r="D677" s="231"/>
      <c r="E677" s="157"/>
      <c r="F677" s="12"/>
      <c r="G677" s="158"/>
    </row>
    <row r="678">
      <c r="A678" s="153"/>
      <c r="B678" s="229"/>
      <c r="C678" s="230"/>
      <c r="D678" s="231"/>
      <c r="E678" s="157"/>
      <c r="F678" s="12"/>
      <c r="G678" s="158"/>
    </row>
    <row r="679">
      <c r="A679" s="153"/>
      <c r="B679" s="229"/>
      <c r="C679" s="230"/>
      <c r="D679" s="231"/>
      <c r="E679" s="157"/>
      <c r="F679" s="12"/>
      <c r="G679" s="158"/>
    </row>
    <row r="680">
      <c r="A680" s="153"/>
      <c r="B680" s="229"/>
      <c r="C680" s="230"/>
      <c r="D680" s="231"/>
      <c r="E680" s="157"/>
      <c r="F680" s="12"/>
      <c r="G680" s="158"/>
    </row>
    <row r="681">
      <c r="A681" s="153"/>
      <c r="B681" s="229"/>
      <c r="C681" s="230"/>
      <c r="D681" s="231"/>
      <c r="E681" s="157"/>
      <c r="F681" s="12"/>
      <c r="G681" s="158"/>
    </row>
    <row r="682">
      <c r="A682" s="153"/>
      <c r="B682" s="229"/>
      <c r="C682" s="230"/>
      <c r="D682" s="231"/>
      <c r="E682" s="157"/>
      <c r="F682" s="12"/>
      <c r="G682" s="158"/>
    </row>
    <row r="683">
      <c r="A683" s="153"/>
      <c r="B683" s="229"/>
      <c r="C683" s="230"/>
      <c r="D683" s="231"/>
      <c r="E683" s="157"/>
      <c r="F683" s="12"/>
      <c r="G683" s="158"/>
    </row>
    <row r="684">
      <c r="A684" s="153"/>
      <c r="B684" s="229"/>
      <c r="C684" s="230"/>
      <c r="D684" s="231"/>
      <c r="E684" s="157"/>
      <c r="F684" s="12"/>
      <c r="G684" s="158"/>
    </row>
    <row r="685">
      <c r="A685" s="153"/>
      <c r="B685" s="229"/>
      <c r="C685" s="230"/>
      <c r="D685" s="231"/>
      <c r="E685" s="157"/>
      <c r="F685" s="12"/>
      <c r="G685" s="158"/>
    </row>
    <row r="686">
      <c r="A686" s="153"/>
      <c r="B686" s="229"/>
      <c r="C686" s="230"/>
      <c r="D686" s="231"/>
      <c r="E686" s="157"/>
      <c r="F686" s="12"/>
      <c r="G686" s="158"/>
    </row>
    <row r="687">
      <c r="A687" s="153"/>
      <c r="B687" s="229"/>
      <c r="C687" s="230"/>
      <c r="D687" s="231"/>
      <c r="E687" s="157"/>
      <c r="F687" s="12"/>
      <c r="G687" s="158"/>
    </row>
    <row r="688">
      <c r="A688" s="153"/>
      <c r="B688" s="229"/>
      <c r="C688" s="230"/>
      <c r="D688" s="231"/>
      <c r="E688" s="157"/>
      <c r="F688" s="12"/>
      <c r="G688" s="158"/>
    </row>
    <row r="689">
      <c r="A689" s="153"/>
      <c r="B689" s="229"/>
      <c r="C689" s="230"/>
      <c r="D689" s="231"/>
      <c r="E689" s="157"/>
      <c r="F689" s="12"/>
      <c r="G689" s="158"/>
    </row>
    <row r="690">
      <c r="A690" s="153"/>
      <c r="B690" s="229"/>
      <c r="C690" s="230"/>
      <c r="D690" s="231"/>
      <c r="E690" s="157"/>
      <c r="F690" s="12"/>
      <c r="G690" s="158"/>
    </row>
    <row r="691">
      <c r="A691" s="153"/>
      <c r="B691" s="229"/>
      <c r="C691" s="230"/>
      <c r="D691" s="231"/>
      <c r="E691" s="157"/>
      <c r="F691" s="12"/>
      <c r="G691" s="158"/>
    </row>
    <row r="692">
      <c r="A692" s="153"/>
      <c r="B692" s="229"/>
      <c r="C692" s="230"/>
      <c r="D692" s="231"/>
      <c r="E692" s="157"/>
      <c r="F692" s="12"/>
      <c r="G692" s="158"/>
    </row>
    <row r="693">
      <c r="A693" s="153"/>
      <c r="B693" s="229"/>
      <c r="C693" s="230"/>
      <c r="D693" s="231"/>
      <c r="E693" s="157"/>
      <c r="F693" s="12"/>
      <c r="G693" s="158"/>
    </row>
    <row r="694">
      <c r="A694" s="153"/>
      <c r="B694" s="229"/>
      <c r="C694" s="230"/>
      <c r="D694" s="231"/>
      <c r="E694" s="157"/>
      <c r="F694" s="12"/>
      <c r="G694" s="158"/>
    </row>
    <row r="695">
      <c r="A695" s="153"/>
      <c r="B695" s="229"/>
      <c r="C695" s="230"/>
      <c r="D695" s="231"/>
      <c r="E695" s="157"/>
      <c r="F695" s="12"/>
      <c r="G695" s="158"/>
    </row>
    <row r="696">
      <c r="A696" s="153"/>
      <c r="B696" s="229"/>
      <c r="C696" s="230"/>
      <c r="D696" s="231"/>
      <c r="E696" s="157"/>
      <c r="F696" s="12"/>
      <c r="G696" s="158"/>
    </row>
    <row r="697">
      <c r="A697" s="153"/>
      <c r="B697" s="229"/>
      <c r="C697" s="230"/>
      <c r="D697" s="231"/>
      <c r="E697" s="157"/>
      <c r="F697" s="12"/>
      <c r="G697" s="158"/>
    </row>
    <row r="698">
      <c r="A698" s="153"/>
      <c r="B698" s="229"/>
      <c r="C698" s="230"/>
      <c r="D698" s="231"/>
      <c r="E698" s="157"/>
      <c r="F698" s="12"/>
      <c r="G698" s="158"/>
    </row>
    <row r="699">
      <c r="A699" s="153"/>
      <c r="B699" s="229"/>
      <c r="C699" s="230"/>
      <c r="D699" s="231"/>
      <c r="E699" s="157"/>
      <c r="F699" s="12"/>
      <c r="G699" s="158"/>
    </row>
    <row r="700">
      <c r="A700" s="153"/>
      <c r="B700" s="229"/>
      <c r="C700" s="230"/>
      <c r="D700" s="231"/>
      <c r="E700" s="157"/>
      <c r="F700" s="12"/>
      <c r="G700" s="158"/>
    </row>
    <row r="701">
      <c r="A701" s="153"/>
      <c r="B701" s="229"/>
      <c r="C701" s="230"/>
      <c r="D701" s="231"/>
      <c r="E701" s="157"/>
      <c r="F701" s="12"/>
      <c r="G701" s="158"/>
    </row>
    <row r="702">
      <c r="A702" s="153"/>
      <c r="B702" s="229"/>
      <c r="C702" s="230"/>
      <c r="D702" s="231"/>
      <c r="E702" s="157"/>
      <c r="F702" s="12"/>
      <c r="G702" s="158"/>
    </row>
    <row r="703">
      <c r="A703" s="153"/>
      <c r="B703" s="229"/>
      <c r="C703" s="230"/>
      <c r="D703" s="231"/>
      <c r="E703" s="157"/>
      <c r="F703" s="12"/>
      <c r="G703" s="158"/>
    </row>
    <row r="704">
      <c r="A704" s="153"/>
      <c r="B704" s="229"/>
      <c r="C704" s="230"/>
      <c r="D704" s="231"/>
      <c r="E704" s="157"/>
      <c r="F704" s="12"/>
      <c r="G704" s="158"/>
    </row>
    <row r="705">
      <c r="A705" s="153"/>
      <c r="B705" s="229"/>
      <c r="C705" s="230"/>
      <c r="D705" s="231"/>
      <c r="E705" s="157"/>
      <c r="F705" s="12"/>
      <c r="G705" s="158"/>
    </row>
    <row r="706">
      <c r="A706" s="153"/>
      <c r="B706" s="229"/>
      <c r="C706" s="230"/>
      <c r="D706" s="231"/>
      <c r="E706" s="157"/>
      <c r="F706" s="12"/>
      <c r="G706" s="158"/>
    </row>
    <row r="707">
      <c r="A707" s="153"/>
      <c r="B707" s="229"/>
      <c r="C707" s="230"/>
      <c r="D707" s="231"/>
      <c r="E707" s="157"/>
      <c r="F707" s="12"/>
      <c r="G707" s="158"/>
    </row>
    <row r="708">
      <c r="A708" s="153"/>
      <c r="B708" s="229"/>
      <c r="C708" s="230"/>
      <c r="D708" s="231"/>
      <c r="E708" s="157"/>
      <c r="F708" s="12"/>
      <c r="G708" s="158"/>
    </row>
    <row r="709">
      <c r="A709" s="153"/>
      <c r="B709" s="229"/>
      <c r="C709" s="230"/>
      <c r="D709" s="231"/>
      <c r="E709" s="157"/>
      <c r="F709" s="12"/>
      <c r="G709" s="158"/>
    </row>
    <row r="710">
      <c r="A710" s="153"/>
      <c r="B710" s="229"/>
      <c r="C710" s="230"/>
      <c r="D710" s="231"/>
      <c r="E710" s="157"/>
      <c r="F710" s="12"/>
      <c r="G710" s="158"/>
    </row>
    <row r="711">
      <c r="A711" s="153"/>
      <c r="B711" s="229"/>
      <c r="C711" s="230"/>
      <c r="D711" s="231"/>
      <c r="E711" s="157"/>
      <c r="F711" s="12"/>
      <c r="G711" s="158"/>
    </row>
    <row r="712">
      <c r="A712" s="153"/>
      <c r="B712" s="229"/>
      <c r="C712" s="230"/>
      <c r="D712" s="231"/>
      <c r="E712" s="157"/>
      <c r="F712" s="12"/>
      <c r="G712" s="158"/>
    </row>
    <row r="713">
      <c r="A713" s="153"/>
      <c r="B713" s="229"/>
      <c r="C713" s="230"/>
      <c r="D713" s="231"/>
      <c r="E713" s="157"/>
      <c r="F713" s="12"/>
      <c r="G713" s="158"/>
    </row>
    <row r="714">
      <c r="A714" s="153"/>
      <c r="B714" s="229"/>
      <c r="C714" s="230"/>
      <c r="D714" s="231"/>
      <c r="E714" s="157"/>
      <c r="F714" s="12"/>
      <c r="G714" s="158"/>
    </row>
    <row r="715">
      <c r="A715" s="153"/>
      <c r="B715" s="229"/>
      <c r="C715" s="230"/>
      <c r="D715" s="231"/>
      <c r="E715" s="157"/>
      <c r="F715" s="12"/>
      <c r="G715" s="158"/>
    </row>
    <row r="716">
      <c r="A716" s="153"/>
      <c r="B716" s="229"/>
      <c r="C716" s="230"/>
      <c r="D716" s="231"/>
      <c r="E716" s="157"/>
      <c r="F716" s="12"/>
      <c r="G716" s="158"/>
    </row>
    <row r="717">
      <c r="A717" s="153"/>
      <c r="B717" s="229"/>
      <c r="C717" s="230"/>
      <c r="D717" s="231"/>
      <c r="E717" s="157"/>
      <c r="F717" s="12"/>
      <c r="G717" s="158"/>
    </row>
    <row r="718">
      <c r="A718" s="153"/>
      <c r="B718" s="229"/>
      <c r="C718" s="230"/>
      <c r="D718" s="231"/>
      <c r="E718" s="157"/>
      <c r="F718" s="12"/>
      <c r="G718" s="158"/>
    </row>
    <row r="719">
      <c r="A719" s="153"/>
      <c r="B719" s="229"/>
      <c r="C719" s="230"/>
      <c r="D719" s="231"/>
      <c r="E719" s="157"/>
      <c r="F719" s="12"/>
      <c r="G719" s="158"/>
    </row>
    <row r="720">
      <c r="A720" s="153"/>
      <c r="B720" s="229"/>
      <c r="C720" s="230"/>
      <c r="D720" s="231"/>
      <c r="E720" s="157"/>
      <c r="F720" s="12"/>
      <c r="G720" s="158"/>
    </row>
    <row r="721">
      <c r="A721" s="153"/>
      <c r="B721" s="229"/>
      <c r="C721" s="230"/>
      <c r="D721" s="231"/>
      <c r="E721" s="157"/>
      <c r="F721" s="12"/>
      <c r="G721" s="158"/>
    </row>
    <row r="722">
      <c r="A722" s="153"/>
      <c r="B722" s="229"/>
      <c r="C722" s="230"/>
      <c r="D722" s="231"/>
      <c r="E722" s="157"/>
      <c r="F722" s="12"/>
      <c r="G722" s="158"/>
    </row>
    <row r="723">
      <c r="A723" s="153"/>
      <c r="B723" s="229"/>
      <c r="C723" s="230"/>
      <c r="D723" s="231"/>
      <c r="E723" s="157"/>
      <c r="F723" s="12"/>
      <c r="G723" s="158"/>
    </row>
    <row r="724">
      <c r="A724" s="153"/>
      <c r="B724" s="229"/>
      <c r="C724" s="230"/>
      <c r="D724" s="231"/>
      <c r="E724" s="157"/>
      <c r="F724" s="12"/>
      <c r="G724" s="158"/>
    </row>
    <row r="725">
      <c r="A725" s="153"/>
      <c r="B725" s="229"/>
      <c r="C725" s="230"/>
      <c r="D725" s="231"/>
      <c r="E725" s="157"/>
      <c r="F725" s="12"/>
      <c r="G725" s="158"/>
    </row>
    <row r="726">
      <c r="A726" s="153"/>
      <c r="B726" s="229"/>
      <c r="C726" s="230"/>
      <c r="D726" s="231"/>
      <c r="E726" s="157"/>
      <c r="F726" s="12"/>
      <c r="G726" s="158"/>
    </row>
    <row r="727">
      <c r="A727" s="153"/>
      <c r="B727" s="229"/>
      <c r="C727" s="230"/>
      <c r="D727" s="231"/>
      <c r="E727" s="157"/>
      <c r="F727" s="12"/>
      <c r="G727" s="158"/>
    </row>
    <row r="728">
      <c r="A728" s="153"/>
      <c r="B728" s="229"/>
      <c r="C728" s="230"/>
      <c r="D728" s="231"/>
      <c r="E728" s="157"/>
      <c r="F728" s="12"/>
      <c r="G728" s="158"/>
    </row>
    <row r="729">
      <c r="A729" s="153"/>
      <c r="B729" s="229"/>
      <c r="C729" s="230"/>
      <c r="D729" s="231"/>
      <c r="E729" s="157"/>
      <c r="F729" s="12"/>
      <c r="G729" s="158"/>
    </row>
    <row r="730">
      <c r="A730" s="153"/>
      <c r="B730" s="229"/>
      <c r="C730" s="230"/>
      <c r="D730" s="231"/>
      <c r="E730" s="157"/>
      <c r="F730" s="12"/>
      <c r="G730" s="158"/>
    </row>
    <row r="731">
      <c r="A731" s="153"/>
      <c r="B731" s="229"/>
      <c r="C731" s="230"/>
      <c r="D731" s="231"/>
      <c r="E731" s="157"/>
      <c r="F731" s="12"/>
      <c r="G731" s="158"/>
    </row>
    <row r="732">
      <c r="A732" s="153"/>
      <c r="B732" s="229"/>
      <c r="C732" s="230"/>
      <c r="D732" s="231"/>
      <c r="E732" s="157"/>
      <c r="F732" s="12"/>
      <c r="G732" s="158"/>
    </row>
    <row r="733">
      <c r="A733" s="153"/>
      <c r="B733" s="229"/>
      <c r="C733" s="230"/>
      <c r="D733" s="231"/>
      <c r="E733" s="157"/>
      <c r="F733" s="12"/>
      <c r="G733" s="158"/>
    </row>
    <row r="734">
      <c r="A734" s="153"/>
      <c r="B734" s="229"/>
      <c r="C734" s="230"/>
      <c r="D734" s="231"/>
      <c r="E734" s="157"/>
      <c r="F734" s="12"/>
      <c r="G734" s="158"/>
    </row>
    <row r="735">
      <c r="A735" s="153"/>
      <c r="B735" s="229"/>
      <c r="C735" s="230"/>
      <c r="D735" s="231"/>
      <c r="E735" s="157"/>
      <c r="F735" s="12"/>
      <c r="G735" s="158"/>
    </row>
    <row r="736">
      <c r="A736" s="153"/>
      <c r="B736" s="229"/>
      <c r="C736" s="230"/>
      <c r="D736" s="231"/>
      <c r="E736" s="157"/>
      <c r="F736" s="12"/>
      <c r="G736" s="158"/>
    </row>
    <row r="737">
      <c r="A737" s="153"/>
      <c r="B737" s="229"/>
      <c r="C737" s="230"/>
      <c r="D737" s="231"/>
      <c r="E737" s="157"/>
      <c r="F737" s="12"/>
      <c r="G737" s="158"/>
    </row>
    <row r="738">
      <c r="A738" s="153"/>
      <c r="B738" s="229"/>
      <c r="C738" s="230"/>
      <c r="D738" s="231"/>
      <c r="E738" s="157"/>
      <c r="F738" s="12"/>
      <c r="G738" s="158"/>
    </row>
    <row r="739">
      <c r="A739" s="153"/>
      <c r="B739" s="229"/>
      <c r="C739" s="230"/>
      <c r="D739" s="231"/>
      <c r="E739" s="157"/>
      <c r="F739" s="12"/>
      <c r="G739" s="158"/>
    </row>
    <row r="740">
      <c r="A740" s="153"/>
      <c r="B740" s="229"/>
      <c r="C740" s="230"/>
      <c r="D740" s="231"/>
      <c r="E740" s="157"/>
      <c r="F740" s="12"/>
      <c r="G740" s="158"/>
    </row>
    <row r="741">
      <c r="A741" s="153"/>
      <c r="B741" s="229"/>
      <c r="C741" s="230"/>
      <c r="D741" s="231"/>
      <c r="E741" s="157"/>
      <c r="F741" s="12"/>
      <c r="G741" s="158"/>
    </row>
    <row r="742">
      <c r="A742" s="153"/>
      <c r="B742" s="229"/>
      <c r="C742" s="230"/>
      <c r="D742" s="231"/>
      <c r="E742" s="157"/>
      <c r="F742" s="12"/>
      <c r="G742" s="158"/>
    </row>
    <row r="743">
      <c r="A743" s="153"/>
      <c r="B743" s="229"/>
      <c r="C743" s="230"/>
      <c r="D743" s="231"/>
      <c r="E743" s="157"/>
      <c r="F743" s="12"/>
      <c r="G743" s="158"/>
    </row>
    <row r="744">
      <c r="A744" s="153"/>
      <c r="B744" s="229"/>
      <c r="C744" s="230"/>
      <c r="D744" s="231"/>
      <c r="E744" s="157"/>
      <c r="F744" s="12"/>
      <c r="G744" s="158"/>
    </row>
    <row r="745">
      <c r="A745" s="153"/>
      <c r="B745" s="229"/>
      <c r="C745" s="230"/>
      <c r="D745" s="231"/>
      <c r="E745" s="157"/>
      <c r="F745" s="12"/>
      <c r="G745" s="158"/>
    </row>
    <row r="746">
      <c r="A746" s="153"/>
      <c r="B746" s="229"/>
      <c r="C746" s="230"/>
      <c r="D746" s="231"/>
      <c r="E746" s="157"/>
      <c r="F746" s="12"/>
      <c r="G746" s="158"/>
    </row>
    <row r="747">
      <c r="A747" s="153"/>
      <c r="B747" s="229"/>
      <c r="C747" s="230"/>
      <c r="D747" s="231"/>
      <c r="E747" s="157"/>
      <c r="F747" s="12"/>
      <c r="G747" s="158"/>
    </row>
    <row r="748">
      <c r="A748" s="153"/>
      <c r="B748" s="229"/>
      <c r="C748" s="230"/>
      <c r="D748" s="231"/>
      <c r="E748" s="157"/>
      <c r="F748" s="12"/>
      <c r="G748" s="158"/>
    </row>
    <row r="749">
      <c r="A749" s="153"/>
      <c r="B749" s="229"/>
      <c r="C749" s="230"/>
      <c r="D749" s="231"/>
      <c r="E749" s="157"/>
      <c r="F749" s="12"/>
      <c r="G749" s="158"/>
    </row>
    <row r="750">
      <c r="A750" s="153"/>
      <c r="B750" s="229"/>
      <c r="C750" s="230"/>
      <c r="D750" s="231"/>
      <c r="E750" s="157"/>
      <c r="F750" s="12"/>
      <c r="G750" s="158"/>
    </row>
    <row r="751">
      <c r="A751" s="153"/>
      <c r="B751" s="229"/>
      <c r="C751" s="230"/>
      <c r="D751" s="231"/>
      <c r="E751" s="157"/>
      <c r="F751" s="12"/>
      <c r="G751" s="158"/>
    </row>
    <row r="752">
      <c r="A752" s="153"/>
      <c r="B752" s="229"/>
      <c r="C752" s="230"/>
      <c r="D752" s="231"/>
      <c r="E752" s="157"/>
      <c r="F752" s="12"/>
      <c r="G752" s="158"/>
    </row>
    <row r="753">
      <c r="A753" s="153"/>
      <c r="B753" s="229"/>
      <c r="C753" s="230"/>
      <c r="D753" s="231"/>
      <c r="E753" s="157"/>
      <c r="F753" s="12"/>
      <c r="G753" s="158"/>
    </row>
    <row r="754">
      <c r="A754" s="153"/>
      <c r="B754" s="229"/>
      <c r="C754" s="230"/>
      <c r="D754" s="231"/>
      <c r="E754" s="157"/>
      <c r="F754" s="12"/>
      <c r="G754" s="158"/>
    </row>
    <row r="755">
      <c r="A755" s="153"/>
      <c r="B755" s="229"/>
      <c r="C755" s="230"/>
      <c r="D755" s="231"/>
      <c r="E755" s="157"/>
      <c r="F755" s="12"/>
      <c r="G755" s="158"/>
    </row>
    <row r="756">
      <c r="A756" s="153"/>
      <c r="B756" s="229"/>
      <c r="C756" s="230"/>
      <c r="D756" s="231"/>
      <c r="E756" s="157"/>
      <c r="F756" s="12"/>
      <c r="G756" s="158"/>
    </row>
    <row r="757">
      <c r="A757" s="153"/>
      <c r="B757" s="229"/>
      <c r="C757" s="230"/>
      <c r="D757" s="231"/>
      <c r="E757" s="157"/>
      <c r="F757" s="12"/>
      <c r="G757" s="158"/>
    </row>
    <row r="758">
      <c r="A758" s="153"/>
      <c r="B758" s="229"/>
      <c r="C758" s="230"/>
      <c r="D758" s="231"/>
      <c r="E758" s="157"/>
      <c r="F758" s="12"/>
      <c r="G758" s="158"/>
    </row>
    <row r="759">
      <c r="A759" s="153"/>
      <c r="B759" s="229"/>
      <c r="C759" s="230"/>
      <c r="D759" s="231"/>
      <c r="E759" s="157"/>
      <c r="F759" s="12"/>
      <c r="G759" s="158"/>
    </row>
    <row r="760">
      <c r="A760" s="153"/>
      <c r="B760" s="229"/>
      <c r="C760" s="230"/>
      <c r="D760" s="231"/>
      <c r="E760" s="157"/>
      <c r="F760" s="12"/>
      <c r="G760" s="158"/>
    </row>
    <row r="761">
      <c r="A761" s="153"/>
      <c r="B761" s="229"/>
      <c r="C761" s="230"/>
      <c r="D761" s="231"/>
      <c r="E761" s="157"/>
      <c r="F761" s="12"/>
      <c r="G761" s="158"/>
    </row>
    <row r="762">
      <c r="A762" s="153"/>
      <c r="B762" s="229"/>
      <c r="C762" s="230"/>
      <c r="D762" s="231"/>
      <c r="E762" s="157"/>
      <c r="F762" s="12"/>
      <c r="G762" s="158"/>
    </row>
    <row r="763">
      <c r="A763" s="153"/>
      <c r="B763" s="229"/>
      <c r="C763" s="230"/>
      <c r="D763" s="231"/>
      <c r="E763" s="157"/>
      <c r="F763" s="12"/>
      <c r="G763" s="158"/>
    </row>
    <row r="764">
      <c r="A764" s="153"/>
      <c r="B764" s="229"/>
      <c r="C764" s="230"/>
      <c r="D764" s="231"/>
      <c r="E764" s="157"/>
      <c r="F764" s="12"/>
      <c r="G764" s="158"/>
    </row>
    <row r="765">
      <c r="A765" s="153"/>
      <c r="B765" s="229"/>
      <c r="C765" s="230"/>
      <c r="D765" s="231"/>
      <c r="E765" s="157"/>
      <c r="F765" s="12"/>
      <c r="G765" s="158"/>
    </row>
    <row r="766">
      <c r="A766" s="153"/>
      <c r="B766" s="229"/>
      <c r="C766" s="230"/>
      <c r="D766" s="231"/>
      <c r="E766" s="157"/>
      <c r="F766" s="12"/>
      <c r="G766" s="158"/>
    </row>
    <row r="767">
      <c r="A767" s="153"/>
      <c r="B767" s="229"/>
      <c r="C767" s="230"/>
      <c r="D767" s="231"/>
      <c r="E767" s="157"/>
      <c r="F767" s="12"/>
      <c r="G767" s="158"/>
    </row>
    <row r="768">
      <c r="A768" s="153"/>
      <c r="B768" s="229"/>
      <c r="C768" s="230"/>
      <c r="D768" s="231"/>
      <c r="E768" s="157"/>
      <c r="F768" s="12"/>
      <c r="G768" s="158"/>
    </row>
    <row r="769">
      <c r="A769" s="153"/>
      <c r="B769" s="229"/>
      <c r="C769" s="230"/>
      <c r="D769" s="231"/>
      <c r="E769" s="157"/>
      <c r="F769" s="12"/>
      <c r="G769" s="158"/>
    </row>
    <row r="770">
      <c r="A770" s="153"/>
      <c r="B770" s="229"/>
      <c r="C770" s="230"/>
      <c r="D770" s="231"/>
      <c r="E770" s="157"/>
      <c r="F770" s="12"/>
      <c r="G770" s="158"/>
    </row>
    <row r="771">
      <c r="A771" s="153"/>
      <c r="B771" s="229"/>
      <c r="C771" s="230"/>
      <c r="D771" s="231"/>
      <c r="E771" s="157"/>
      <c r="F771" s="12"/>
      <c r="G771" s="158"/>
    </row>
    <row r="772">
      <c r="A772" s="153"/>
      <c r="B772" s="229"/>
      <c r="C772" s="230"/>
      <c r="D772" s="231"/>
      <c r="E772" s="157"/>
      <c r="F772" s="12"/>
      <c r="G772" s="158"/>
    </row>
    <row r="773">
      <c r="A773" s="153"/>
      <c r="B773" s="229"/>
      <c r="C773" s="230"/>
      <c r="D773" s="231"/>
      <c r="E773" s="157"/>
      <c r="F773" s="12"/>
      <c r="G773" s="158"/>
    </row>
    <row r="774">
      <c r="A774" s="153"/>
      <c r="B774" s="229"/>
      <c r="C774" s="230"/>
      <c r="D774" s="231"/>
      <c r="E774" s="157"/>
      <c r="F774" s="12"/>
      <c r="G774" s="158"/>
    </row>
    <row r="775">
      <c r="A775" s="153"/>
      <c r="B775" s="229"/>
      <c r="C775" s="230"/>
      <c r="D775" s="231"/>
      <c r="E775" s="157"/>
      <c r="F775" s="12"/>
      <c r="G775" s="158"/>
    </row>
    <row r="776">
      <c r="A776" s="153"/>
      <c r="B776" s="229"/>
      <c r="C776" s="230"/>
      <c r="D776" s="231"/>
      <c r="E776" s="157"/>
      <c r="F776" s="12"/>
      <c r="G776" s="158"/>
    </row>
    <row r="777">
      <c r="A777" s="153"/>
      <c r="B777" s="229"/>
      <c r="C777" s="230"/>
      <c r="D777" s="231"/>
      <c r="E777" s="157"/>
      <c r="F777" s="12"/>
      <c r="G777" s="158"/>
    </row>
    <row r="778">
      <c r="A778" s="153"/>
      <c r="B778" s="229"/>
      <c r="C778" s="230"/>
      <c r="D778" s="231"/>
      <c r="E778" s="157"/>
      <c r="F778" s="12"/>
      <c r="G778" s="158"/>
    </row>
    <row r="779">
      <c r="A779" s="153"/>
      <c r="B779" s="229"/>
      <c r="C779" s="230"/>
      <c r="D779" s="231"/>
      <c r="E779" s="157"/>
      <c r="F779" s="12"/>
      <c r="G779" s="158"/>
    </row>
    <row r="780">
      <c r="A780" s="153"/>
      <c r="B780" s="229"/>
      <c r="C780" s="230"/>
      <c r="D780" s="231"/>
      <c r="E780" s="157"/>
      <c r="F780" s="12"/>
      <c r="G780" s="158"/>
    </row>
    <row r="781">
      <c r="A781" s="153"/>
      <c r="B781" s="229"/>
      <c r="C781" s="230"/>
      <c r="D781" s="231"/>
      <c r="E781" s="157"/>
      <c r="F781" s="12"/>
      <c r="G781" s="158"/>
    </row>
    <row r="782">
      <c r="A782" s="153"/>
      <c r="B782" s="229"/>
      <c r="C782" s="230"/>
      <c r="D782" s="231"/>
      <c r="E782" s="157"/>
      <c r="F782" s="12"/>
      <c r="G782" s="158"/>
    </row>
    <row r="783">
      <c r="A783" s="153"/>
      <c r="B783" s="229"/>
      <c r="C783" s="230"/>
      <c r="D783" s="231"/>
      <c r="E783" s="157"/>
      <c r="F783" s="12"/>
      <c r="G783" s="158"/>
    </row>
    <row r="784">
      <c r="A784" s="153"/>
      <c r="B784" s="229"/>
      <c r="C784" s="230"/>
      <c r="D784" s="231"/>
      <c r="E784" s="157"/>
      <c r="F784" s="12"/>
      <c r="G784" s="158"/>
    </row>
    <row r="785">
      <c r="A785" s="153"/>
      <c r="B785" s="229"/>
      <c r="C785" s="230"/>
      <c r="D785" s="231"/>
      <c r="E785" s="157"/>
      <c r="F785" s="12"/>
      <c r="G785" s="158"/>
    </row>
    <row r="786">
      <c r="A786" s="153"/>
      <c r="B786" s="229"/>
      <c r="C786" s="230"/>
      <c r="D786" s="231"/>
      <c r="E786" s="157"/>
      <c r="F786" s="12"/>
      <c r="G786" s="158"/>
    </row>
    <row r="787">
      <c r="A787" s="153"/>
      <c r="B787" s="229"/>
      <c r="C787" s="230"/>
      <c r="D787" s="231"/>
      <c r="E787" s="157"/>
      <c r="F787" s="12"/>
      <c r="G787" s="158"/>
    </row>
    <row r="788">
      <c r="A788" s="153"/>
      <c r="B788" s="229"/>
      <c r="C788" s="230"/>
      <c r="D788" s="231"/>
      <c r="E788" s="157"/>
      <c r="F788" s="12"/>
      <c r="G788" s="158"/>
    </row>
    <row r="789">
      <c r="A789" s="153"/>
      <c r="B789" s="229"/>
      <c r="C789" s="230"/>
      <c r="D789" s="231"/>
      <c r="E789" s="157"/>
      <c r="F789" s="12"/>
      <c r="G789" s="158"/>
    </row>
    <row r="790">
      <c r="A790" s="153"/>
      <c r="B790" s="229"/>
      <c r="C790" s="230"/>
      <c r="D790" s="231"/>
      <c r="E790" s="157"/>
      <c r="F790" s="12"/>
      <c r="G790" s="158"/>
    </row>
    <row r="791">
      <c r="A791" s="153"/>
      <c r="B791" s="229"/>
      <c r="C791" s="230"/>
      <c r="D791" s="231"/>
      <c r="E791" s="157"/>
      <c r="F791" s="12"/>
      <c r="G791" s="158"/>
    </row>
    <row r="792">
      <c r="A792" s="153"/>
      <c r="B792" s="229"/>
      <c r="C792" s="230"/>
      <c r="D792" s="231"/>
      <c r="E792" s="157"/>
      <c r="F792" s="12"/>
      <c r="G792" s="158"/>
    </row>
    <row r="793">
      <c r="A793" s="153"/>
      <c r="B793" s="229"/>
      <c r="C793" s="230"/>
      <c r="D793" s="231"/>
      <c r="E793" s="157"/>
      <c r="F793" s="12"/>
      <c r="G793" s="158"/>
    </row>
    <row r="794">
      <c r="A794" s="153"/>
      <c r="B794" s="229"/>
      <c r="C794" s="230"/>
      <c r="D794" s="231"/>
      <c r="E794" s="157"/>
      <c r="F794" s="12"/>
      <c r="G794" s="158"/>
    </row>
    <row r="795">
      <c r="A795" s="153"/>
      <c r="B795" s="229"/>
      <c r="C795" s="230"/>
      <c r="D795" s="231"/>
      <c r="E795" s="157"/>
      <c r="F795" s="12"/>
      <c r="G795" s="158"/>
    </row>
    <row r="796">
      <c r="A796" s="153"/>
      <c r="B796" s="229"/>
      <c r="C796" s="230"/>
      <c r="D796" s="231"/>
      <c r="E796" s="157"/>
      <c r="F796" s="12"/>
      <c r="G796" s="158"/>
    </row>
    <row r="797">
      <c r="A797" s="153"/>
      <c r="B797" s="229"/>
      <c r="C797" s="230"/>
      <c r="D797" s="231"/>
      <c r="E797" s="157"/>
      <c r="F797" s="12"/>
      <c r="G797" s="158"/>
    </row>
    <row r="798">
      <c r="A798" s="153"/>
      <c r="B798" s="229"/>
      <c r="C798" s="230"/>
      <c r="D798" s="231"/>
      <c r="E798" s="157"/>
      <c r="F798" s="12"/>
      <c r="G798" s="158"/>
    </row>
    <row r="799">
      <c r="A799" s="153"/>
      <c r="B799" s="229"/>
      <c r="C799" s="230"/>
      <c r="D799" s="231"/>
      <c r="E799" s="157"/>
      <c r="F799" s="12"/>
      <c r="G799" s="158"/>
    </row>
    <row r="800">
      <c r="A800" s="153"/>
      <c r="B800" s="229"/>
      <c r="C800" s="230"/>
      <c r="D800" s="231"/>
      <c r="E800" s="157"/>
      <c r="F800" s="12"/>
      <c r="G800" s="158"/>
    </row>
    <row r="801">
      <c r="A801" s="153"/>
      <c r="B801" s="229"/>
      <c r="C801" s="230"/>
      <c r="D801" s="231"/>
      <c r="E801" s="157"/>
      <c r="F801" s="12"/>
      <c r="G801" s="158"/>
    </row>
    <row r="802">
      <c r="A802" s="153"/>
      <c r="B802" s="229"/>
      <c r="C802" s="230"/>
      <c r="D802" s="231"/>
      <c r="E802" s="157"/>
      <c r="F802" s="12"/>
      <c r="G802" s="158"/>
    </row>
    <row r="803">
      <c r="A803" s="153"/>
      <c r="B803" s="229"/>
      <c r="C803" s="230"/>
      <c r="D803" s="231"/>
      <c r="E803" s="157"/>
      <c r="F803" s="12"/>
      <c r="G803" s="158"/>
    </row>
    <row r="804">
      <c r="A804" s="153"/>
      <c r="B804" s="229"/>
      <c r="C804" s="230"/>
      <c r="D804" s="231"/>
      <c r="E804" s="157"/>
      <c r="F804" s="12"/>
      <c r="G804" s="158"/>
    </row>
    <row r="805">
      <c r="A805" s="153"/>
      <c r="B805" s="229"/>
      <c r="C805" s="230"/>
      <c r="D805" s="231"/>
      <c r="E805" s="157"/>
      <c r="F805" s="12"/>
      <c r="G805" s="158"/>
    </row>
    <row r="806">
      <c r="A806" s="153"/>
      <c r="B806" s="229"/>
      <c r="C806" s="230"/>
      <c r="D806" s="231"/>
      <c r="E806" s="157"/>
      <c r="F806" s="12"/>
      <c r="G806" s="158"/>
    </row>
    <row r="807">
      <c r="A807" s="153"/>
      <c r="B807" s="229"/>
      <c r="C807" s="230"/>
      <c r="D807" s="231"/>
      <c r="E807" s="157"/>
      <c r="F807" s="12"/>
      <c r="G807" s="158"/>
    </row>
    <row r="808">
      <c r="A808" s="153"/>
      <c r="B808" s="229"/>
      <c r="C808" s="230"/>
      <c r="D808" s="231"/>
      <c r="E808" s="157"/>
      <c r="F808" s="12"/>
      <c r="G808" s="158"/>
    </row>
    <row r="809">
      <c r="A809" s="153"/>
      <c r="B809" s="229"/>
      <c r="C809" s="230"/>
      <c r="D809" s="231"/>
      <c r="E809" s="157"/>
      <c r="F809" s="12"/>
      <c r="G809" s="158"/>
    </row>
    <row r="810">
      <c r="A810" s="153"/>
      <c r="B810" s="229"/>
      <c r="C810" s="230"/>
      <c r="D810" s="231"/>
      <c r="E810" s="157"/>
      <c r="F810" s="12"/>
      <c r="G810" s="158"/>
    </row>
    <row r="811">
      <c r="A811" s="153"/>
      <c r="B811" s="229"/>
      <c r="C811" s="230"/>
      <c r="D811" s="231"/>
      <c r="E811" s="157"/>
      <c r="F811" s="12"/>
      <c r="G811" s="158"/>
    </row>
    <row r="812">
      <c r="A812" s="153"/>
      <c r="B812" s="229"/>
      <c r="C812" s="230"/>
      <c r="D812" s="231"/>
      <c r="E812" s="157"/>
      <c r="F812" s="12"/>
      <c r="G812" s="158"/>
    </row>
    <row r="813">
      <c r="A813" s="153"/>
      <c r="B813" s="229"/>
      <c r="C813" s="230"/>
      <c r="D813" s="231"/>
      <c r="E813" s="157"/>
      <c r="F813" s="12"/>
      <c r="G813" s="158"/>
    </row>
    <row r="814">
      <c r="A814" s="153"/>
      <c r="B814" s="229"/>
      <c r="C814" s="230"/>
      <c r="D814" s="231"/>
      <c r="E814" s="157"/>
      <c r="F814" s="12"/>
      <c r="G814" s="158"/>
    </row>
    <row r="815">
      <c r="A815" s="153"/>
      <c r="B815" s="229"/>
      <c r="C815" s="230"/>
      <c r="D815" s="231"/>
      <c r="E815" s="157"/>
      <c r="F815" s="12"/>
      <c r="G815" s="158"/>
    </row>
    <row r="816">
      <c r="A816" s="153"/>
      <c r="B816" s="229"/>
      <c r="C816" s="230"/>
      <c r="D816" s="231"/>
      <c r="E816" s="157"/>
      <c r="F816" s="12"/>
      <c r="G816" s="158"/>
    </row>
    <row r="817">
      <c r="A817" s="153"/>
      <c r="B817" s="229"/>
      <c r="C817" s="230"/>
      <c r="D817" s="231"/>
      <c r="E817" s="157"/>
      <c r="F817" s="12"/>
      <c r="G817" s="158"/>
    </row>
    <row r="818">
      <c r="A818" s="153"/>
      <c r="B818" s="229"/>
      <c r="C818" s="230"/>
      <c r="D818" s="231"/>
      <c r="E818" s="157"/>
      <c r="F818" s="12"/>
      <c r="G818" s="158"/>
    </row>
    <row r="819">
      <c r="A819" s="153"/>
      <c r="B819" s="229"/>
      <c r="C819" s="230"/>
      <c r="D819" s="231"/>
      <c r="E819" s="157"/>
      <c r="F819" s="12"/>
      <c r="G819" s="158"/>
    </row>
    <row r="820">
      <c r="A820" s="153"/>
      <c r="B820" s="229"/>
      <c r="C820" s="230"/>
      <c r="D820" s="231"/>
      <c r="E820" s="157"/>
      <c r="F820" s="12"/>
      <c r="G820" s="158"/>
    </row>
    <row r="821">
      <c r="A821" s="153"/>
      <c r="B821" s="229"/>
      <c r="C821" s="230"/>
      <c r="D821" s="231"/>
      <c r="E821" s="157"/>
      <c r="F821" s="12"/>
      <c r="G821" s="158"/>
    </row>
    <row r="822">
      <c r="A822" s="153"/>
      <c r="B822" s="229"/>
      <c r="C822" s="230"/>
      <c r="D822" s="231"/>
      <c r="E822" s="157"/>
      <c r="F822" s="12"/>
      <c r="G822" s="158"/>
    </row>
    <row r="823">
      <c r="A823" s="153"/>
      <c r="B823" s="229"/>
      <c r="C823" s="230"/>
      <c r="D823" s="231"/>
      <c r="E823" s="157"/>
      <c r="F823" s="12"/>
      <c r="G823" s="158"/>
    </row>
    <row r="824">
      <c r="A824" s="153"/>
      <c r="B824" s="229"/>
      <c r="C824" s="230"/>
      <c r="D824" s="231"/>
      <c r="E824" s="157"/>
      <c r="F824" s="12"/>
      <c r="G824" s="158"/>
    </row>
    <row r="825">
      <c r="A825" s="153"/>
      <c r="B825" s="229"/>
      <c r="C825" s="230"/>
      <c r="D825" s="231"/>
      <c r="E825" s="157"/>
      <c r="F825" s="12"/>
      <c r="G825" s="158"/>
    </row>
    <row r="826">
      <c r="A826" s="153"/>
      <c r="B826" s="229"/>
      <c r="C826" s="230"/>
      <c r="D826" s="231"/>
      <c r="E826" s="157"/>
      <c r="F826" s="12"/>
      <c r="G826" s="158"/>
    </row>
    <row r="827">
      <c r="A827" s="153"/>
      <c r="B827" s="229"/>
      <c r="C827" s="230"/>
      <c r="D827" s="231"/>
      <c r="E827" s="157"/>
      <c r="F827" s="12"/>
      <c r="G827" s="158"/>
    </row>
    <row r="828">
      <c r="A828" s="153"/>
      <c r="B828" s="229"/>
      <c r="C828" s="230"/>
      <c r="D828" s="231"/>
      <c r="E828" s="157"/>
      <c r="F828" s="12"/>
      <c r="G828" s="158"/>
    </row>
    <row r="829">
      <c r="A829" s="153"/>
      <c r="B829" s="229"/>
      <c r="C829" s="230"/>
      <c r="D829" s="231"/>
      <c r="E829" s="157"/>
      <c r="F829" s="12"/>
      <c r="G829" s="158"/>
    </row>
    <row r="830">
      <c r="A830" s="153"/>
      <c r="B830" s="229"/>
      <c r="C830" s="230"/>
      <c r="D830" s="231"/>
      <c r="E830" s="157"/>
      <c r="F830" s="12"/>
      <c r="G830" s="158"/>
    </row>
    <row r="831">
      <c r="A831" s="153"/>
      <c r="B831" s="229"/>
      <c r="C831" s="230"/>
      <c r="D831" s="231"/>
      <c r="E831" s="157"/>
      <c r="F831" s="12"/>
      <c r="G831" s="158"/>
    </row>
    <row r="832">
      <c r="A832" s="153"/>
      <c r="B832" s="229"/>
      <c r="C832" s="230"/>
      <c r="D832" s="231"/>
      <c r="E832" s="157"/>
      <c r="F832" s="12"/>
      <c r="G832" s="158"/>
    </row>
    <row r="833">
      <c r="A833" s="153"/>
      <c r="B833" s="229"/>
      <c r="C833" s="230"/>
      <c r="D833" s="231"/>
      <c r="E833" s="157"/>
      <c r="F833" s="12"/>
      <c r="G833" s="158"/>
    </row>
    <row r="834">
      <c r="A834" s="153"/>
      <c r="B834" s="229"/>
      <c r="C834" s="230"/>
      <c r="D834" s="231"/>
      <c r="E834" s="157"/>
      <c r="F834" s="12"/>
      <c r="G834" s="158"/>
    </row>
    <row r="835">
      <c r="A835" s="153"/>
      <c r="B835" s="229"/>
      <c r="C835" s="230"/>
      <c r="D835" s="231"/>
      <c r="E835" s="157"/>
      <c r="F835" s="12"/>
      <c r="G835" s="158"/>
    </row>
    <row r="836">
      <c r="A836" s="153"/>
      <c r="B836" s="229"/>
      <c r="C836" s="230"/>
      <c r="D836" s="231"/>
      <c r="E836" s="157"/>
      <c r="F836" s="12"/>
      <c r="G836" s="158"/>
    </row>
    <row r="837">
      <c r="A837" s="153"/>
      <c r="B837" s="229"/>
      <c r="C837" s="230"/>
      <c r="D837" s="231"/>
      <c r="E837" s="157"/>
      <c r="F837" s="12"/>
      <c r="G837" s="158"/>
    </row>
    <row r="838">
      <c r="A838" s="153"/>
      <c r="B838" s="229"/>
      <c r="C838" s="230"/>
      <c r="D838" s="231"/>
      <c r="E838" s="157"/>
      <c r="F838" s="12"/>
      <c r="G838" s="158"/>
    </row>
    <row r="839">
      <c r="A839" s="153"/>
      <c r="B839" s="229"/>
      <c r="C839" s="230"/>
      <c r="D839" s="231"/>
      <c r="E839" s="157"/>
      <c r="F839" s="12"/>
      <c r="G839" s="158"/>
    </row>
    <row r="840">
      <c r="A840" s="153"/>
      <c r="B840" s="229"/>
      <c r="C840" s="230"/>
      <c r="D840" s="231"/>
      <c r="E840" s="157"/>
      <c r="F840" s="12"/>
      <c r="G840" s="158"/>
    </row>
    <row r="841">
      <c r="A841" s="153"/>
      <c r="B841" s="229"/>
      <c r="C841" s="230"/>
      <c r="D841" s="231"/>
      <c r="E841" s="157"/>
      <c r="F841" s="12"/>
      <c r="G841" s="158"/>
    </row>
    <row r="842">
      <c r="A842" s="153"/>
      <c r="B842" s="229"/>
      <c r="C842" s="230"/>
      <c r="D842" s="231"/>
      <c r="E842" s="157"/>
      <c r="F842" s="12"/>
      <c r="G842" s="158"/>
    </row>
    <row r="843">
      <c r="A843" s="153"/>
      <c r="B843" s="229"/>
      <c r="C843" s="230"/>
      <c r="D843" s="231"/>
      <c r="E843" s="157"/>
      <c r="F843" s="12"/>
      <c r="G843" s="158"/>
    </row>
    <row r="844">
      <c r="A844" s="153"/>
      <c r="B844" s="229"/>
      <c r="C844" s="230"/>
      <c r="D844" s="231"/>
      <c r="E844" s="157"/>
      <c r="F844" s="12"/>
      <c r="G844" s="158"/>
    </row>
    <row r="845">
      <c r="A845" s="153"/>
      <c r="B845" s="229"/>
      <c r="C845" s="230"/>
      <c r="D845" s="231"/>
      <c r="E845" s="157"/>
      <c r="F845" s="12"/>
      <c r="G845" s="158"/>
    </row>
    <row r="846">
      <c r="A846" s="153"/>
      <c r="B846" s="229"/>
      <c r="C846" s="230"/>
      <c r="D846" s="231"/>
      <c r="E846" s="157"/>
      <c r="F846" s="12"/>
      <c r="G846" s="158"/>
    </row>
    <row r="847">
      <c r="A847" s="153"/>
      <c r="B847" s="229"/>
      <c r="C847" s="230"/>
      <c r="D847" s="231"/>
      <c r="E847" s="157"/>
      <c r="F847" s="12"/>
      <c r="G847" s="158"/>
    </row>
    <row r="848">
      <c r="A848" s="153"/>
      <c r="B848" s="229"/>
      <c r="C848" s="230"/>
      <c r="D848" s="231"/>
      <c r="E848" s="157"/>
      <c r="F848" s="12"/>
      <c r="G848" s="158"/>
    </row>
    <row r="849">
      <c r="A849" s="153"/>
      <c r="B849" s="229"/>
      <c r="C849" s="230"/>
      <c r="D849" s="231"/>
      <c r="E849" s="157"/>
      <c r="F849" s="12"/>
      <c r="G849" s="158"/>
    </row>
    <row r="850">
      <c r="A850" s="153"/>
      <c r="B850" s="229"/>
      <c r="C850" s="230"/>
      <c r="D850" s="231"/>
      <c r="E850" s="157"/>
      <c r="F850" s="12"/>
      <c r="G850" s="158"/>
    </row>
    <row r="851">
      <c r="A851" s="153"/>
      <c r="B851" s="229"/>
      <c r="C851" s="230"/>
      <c r="D851" s="231"/>
      <c r="E851" s="157"/>
      <c r="F851" s="12"/>
      <c r="G851" s="158"/>
    </row>
    <row r="852">
      <c r="A852" s="153"/>
      <c r="B852" s="229"/>
      <c r="C852" s="230"/>
      <c r="D852" s="231"/>
      <c r="E852" s="157"/>
      <c r="F852" s="12"/>
      <c r="G852" s="158"/>
    </row>
    <row r="853">
      <c r="A853" s="153"/>
      <c r="B853" s="229"/>
      <c r="C853" s="230"/>
      <c r="D853" s="231"/>
      <c r="E853" s="157"/>
      <c r="F853" s="12"/>
      <c r="G853" s="158"/>
    </row>
    <row r="854">
      <c r="A854" s="153"/>
      <c r="B854" s="229"/>
      <c r="C854" s="230"/>
      <c r="D854" s="231"/>
      <c r="E854" s="157"/>
      <c r="F854" s="12"/>
      <c r="G854" s="158"/>
    </row>
    <row r="855">
      <c r="A855" s="153"/>
      <c r="B855" s="229"/>
      <c r="C855" s="230"/>
      <c r="D855" s="231"/>
      <c r="E855" s="157"/>
      <c r="F855" s="12"/>
      <c r="G855" s="158"/>
    </row>
    <row r="856">
      <c r="A856" s="153"/>
      <c r="B856" s="229"/>
      <c r="C856" s="230"/>
      <c r="D856" s="231"/>
      <c r="E856" s="157"/>
      <c r="F856" s="12"/>
      <c r="G856" s="158"/>
    </row>
    <row r="857">
      <c r="A857" s="153"/>
      <c r="B857" s="229"/>
      <c r="C857" s="230"/>
      <c r="D857" s="231"/>
      <c r="E857" s="157"/>
      <c r="F857" s="12"/>
      <c r="G857" s="158"/>
    </row>
    <row r="858">
      <c r="A858" s="153"/>
      <c r="B858" s="229"/>
      <c r="C858" s="230"/>
      <c r="D858" s="231"/>
      <c r="E858" s="157"/>
      <c r="F858" s="12"/>
      <c r="G858" s="158"/>
    </row>
    <row r="859">
      <c r="A859" s="153"/>
      <c r="B859" s="229"/>
      <c r="C859" s="230"/>
      <c r="D859" s="231"/>
      <c r="E859" s="157"/>
      <c r="F859" s="12"/>
      <c r="G859" s="158"/>
    </row>
    <row r="860">
      <c r="A860" s="153"/>
      <c r="B860" s="229"/>
      <c r="C860" s="230"/>
      <c r="D860" s="231"/>
      <c r="E860" s="157"/>
      <c r="F860" s="12"/>
      <c r="G860" s="158"/>
    </row>
    <row r="861">
      <c r="A861" s="153"/>
      <c r="B861" s="229"/>
      <c r="C861" s="230"/>
      <c r="D861" s="231"/>
      <c r="E861" s="157"/>
      <c r="F861" s="12"/>
      <c r="G861" s="158"/>
    </row>
    <row r="862">
      <c r="A862" s="153"/>
      <c r="B862" s="229"/>
      <c r="C862" s="230"/>
      <c r="D862" s="231"/>
      <c r="E862" s="157"/>
      <c r="F862" s="12"/>
      <c r="G862" s="158"/>
    </row>
    <row r="863">
      <c r="A863" s="153"/>
      <c r="B863" s="229"/>
      <c r="C863" s="230"/>
      <c r="D863" s="231"/>
      <c r="E863" s="157"/>
      <c r="F863" s="12"/>
      <c r="G863" s="158"/>
    </row>
    <row r="864">
      <c r="A864" s="153"/>
      <c r="B864" s="229"/>
      <c r="C864" s="230"/>
      <c r="D864" s="231"/>
      <c r="E864" s="157"/>
      <c r="F864" s="12"/>
      <c r="G864" s="158"/>
    </row>
    <row r="865">
      <c r="A865" s="153"/>
      <c r="B865" s="229"/>
      <c r="C865" s="230"/>
      <c r="D865" s="231"/>
      <c r="E865" s="157"/>
      <c r="F865" s="12"/>
      <c r="G865" s="158"/>
    </row>
    <row r="866">
      <c r="A866" s="153"/>
      <c r="B866" s="229"/>
      <c r="C866" s="230"/>
      <c r="D866" s="231"/>
      <c r="E866" s="157"/>
      <c r="F866" s="12"/>
      <c r="G866" s="158"/>
    </row>
    <row r="867">
      <c r="A867" s="153"/>
      <c r="B867" s="229"/>
      <c r="C867" s="230"/>
      <c r="D867" s="231"/>
      <c r="E867" s="157"/>
      <c r="F867" s="12"/>
      <c r="G867" s="158"/>
    </row>
    <row r="868">
      <c r="A868" s="153"/>
      <c r="B868" s="229"/>
      <c r="C868" s="230"/>
      <c r="D868" s="231"/>
      <c r="E868" s="157"/>
      <c r="F868" s="12"/>
      <c r="G868" s="158"/>
    </row>
    <row r="869">
      <c r="A869" s="153"/>
      <c r="B869" s="229"/>
      <c r="C869" s="230"/>
      <c r="D869" s="231"/>
      <c r="E869" s="157"/>
      <c r="F869" s="12"/>
      <c r="G869" s="158"/>
    </row>
    <row r="870">
      <c r="A870" s="153"/>
      <c r="B870" s="229"/>
      <c r="C870" s="230"/>
      <c r="D870" s="231"/>
      <c r="E870" s="157"/>
      <c r="F870" s="12"/>
      <c r="G870" s="158"/>
    </row>
    <row r="871">
      <c r="A871" s="153"/>
      <c r="B871" s="229"/>
      <c r="C871" s="230"/>
      <c r="D871" s="231"/>
      <c r="E871" s="157"/>
      <c r="F871" s="12"/>
      <c r="G871" s="158"/>
    </row>
    <row r="872">
      <c r="A872" s="153"/>
      <c r="B872" s="229"/>
      <c r="C872" s="230"/>
      <c r="D872" s="231"/>
      <c r="E872" s="157"/>
      <c r="F872" s="12"/>
      <c r="G872" s="158"/>
    </row>
    <row r="873">
      <c r="A873" s="153"/>
      <c r="B873" s="229"/>
      <c r="C873" s="230"/>
      <c r="D873" s="231"/>
      <c r="E873" s="157"/>
      <c r="F873" s="12"/>
      <c r="G873" s="158"/>
    </row>
    <row r="874">
      <c r="A874" s="153"/>
      <c r="B874" s="229"/>
      <c r="C874" s="230"/>
      <c r="D874" s="231"/>
      <c r="E874" s="157"/>
      <c r="F874" s="12"/>
      <c r="G874" s="158"/>
    </row>
    <row r="875">
      <c r="A875" s="153"/>
      <c r="B875" s="229"/>
      <c r="C875" s="230"/>
      <c r="D875" s="231"/>
      <c r="E875" s="157"/>
      <c r="F875" s="12"/>
      <c r="G875" s="158"/>
    </row>
    <row r="876">
      <c r="A876" s="153"/>
      <c r="B876" s="229"/>
      <c r="C876" s="230"/>
      <c r="D876" s="231"/>
      <c r="E876" s="157"/>
      <c r="F876" s="12"/>
      <c r="G876" s="158"/>
    </row>
    <row r="877">
      <c r="A877" s="153"/>
      <c r="B877" s="229"/>
      <c r="C877" s="230"/>
      <c r="D877" s="231"/>
      <c r="E877" s="157"/>
      <c r="F877" s="12"/>
      <c r="G877" s="158"/>
    </row>
    <row r="878">
      <c r="A878" s="153"/>
      <c r="B878" s="229"/>
      <c r="C878" s="230"/>
      <c r="D878" s="231"/>
      <c r="E878" s="157"/>
      <c r="F878" s="12"/>
      <c r="G878" s="158"/>
    </row>
    <row r="879">
      <c r="A879" s="153"/>
      <c r="B879" s="229"/>
      <c r="C879" s="230"/>
      <c r="D879" s="231"/>
      <c r="E879" s="157"/>
      <c r="F879" s="12"/>
      <c r="G879" s="158"/>
    </row>
    <row r="880">
      <c r="A880" s="153"/>
      <c r="B880" s="229"/>
      <c r="C880" s="230"/>
      <c r="D880" s="231"/>
      <c r="E880" s="157"/>
      <c r="F880" s="12"/>
      <c r="G880" s="158"/>
    </row>
    <row r="881">
      <c r="A881" s="153"/>
      <c r="B881" s="229"/>
      <c r="C881" s="230"/>
      <c r="D881" s="231"/>
      <c r="E881" s="157"/>
      <c r="F881" s="12"/>
      <c r="G881" s="158"/>
    </row>
    <row r="882">
      <c r="A882" s="153"/>
      <c r="B882" s="229"/>
      <c r="C882" s="230"/>
      <c r="D882" s="231"/>
      <c r="E882" s="157"/>
      <c r="F882" s="12"/>
      <c r="G882" s="158"/>
    </row>
    <row r="883">
      <c r="A883" s="153"/>
      <c r="B883" s="229"/>
      <c r="C883" s="230"/>
      <c r="D883" s="231"/>
      <c r="E883" s="157"/>
      <c r="F883" s="12"/>
      <c r="G883" s="158"/>
    </row>
    <row r="884">
      <c r="A884" s="153"/>
      <c r="B884" s="229"/>
      <c r="C884" s="230"/>
      <c r="D884" s="231"/>
      <c r="E884" s="157"/>
      <c r="F884" s="12"/>
      <c r="G884" s="158"/>
    </row>
    <row r="885">
      <c r="A885" s="153"/>
      <c r="B885" s="229"/>
      <c r="C885" s="230"/>
      <c r="D885" s="231"/>
      <c r="E885" s="157"/>
      <c r="F885" s="12"/>
      <c r="G885" s="158"/>
    </row>
    <row r="886">
      <c r="A886" s="153"/>
      <c r="B886" s="229"/>
      <c r="C886" s="230"/>
      <c r="D886" s="231"/>
      <c r="E886" s="157"/>
      <c r="F886" s="12"/>
      <c r="G886" s="158"/>
    </row>
    <row r="887">
      <c r="A887" s="153"/>
      <c r="B887" s="229"/>
      <c r="C887" s="230"/>
      <c r="D887" s="231"/>
      <c r="E887" s="157"/>
      <c r="F887" s="12"/>
      <c r="G887" s="158"/>
    </row>
    <row r="888">
      <c r="A888" s="153"/>
      <c r="B888" s="229"/>
      <c r="C888" s="230"/>
      <c r="D888" s="231"/>
      <c r="E888" s="157"/>
      <c r="F888" s="12"/>
      <c r="G888" s="158"/>
    </row>
    <row r="889">
      <c r="A889" s="153"/>
      <c r="B889" s="229"/>
      <c r="C889" s="230"/>
      <c r="D889" s="231"/>
      <c r="E889" s="157"/>
      <c r="F889" s="12"/>
      <c r="G889" s="158"/>
    </row>
    <row r="890">
      <c r="A890" s="153"/>
      <c r="B890" s="229"/>
      <c r="C890" s="230"/>
      <c r="D890" s="231"/>
      <c r="E890" s="157"/>
      <c r="F890" s="12"/>
      <c r="G890" s="158"/>
    </row>
    <row r="891">
      <c r="A891" s="153"/>
      <c r="B891" s="229"/>
      <c r="C891" s="230"/>
      <c r="D891" s="231"/>
      <c r="E891" s="157"/>
      <c r="F891" s="12"/>
      <c r="G891" s="158"/>
    </row>
    <row r="892">
      <c r="A892" s="153"/>
      <c r="B892" s="229"/>
      <c r="C892" s="230"/>
      <c r="D892" s="231"/>
      <c r="E892" s="157"/>
      <c r="F892" s="12"/>
      <c r="G892" s="158"/>
    </row>
    <row r="893">
      <c r="A893" s="153"/>
      <c r="B893" s="229"/>
      <c r="C893" s="230"/>
      <c r="D893" s="231"/>
      <c r="E893" s="157"/>
      <c r="F893" s="12"/>
      <c r="G893" s="158"/>
    </row>
    <row r="894">
      <c r="A894" s="153"/>
      <c r="B894" s="229"/>
      <c r="C894" s="230"/>
      <c r="D894" s="231"/>
      <c r="E894" s="157"/>
      <c r="F894" s="12"/>
      <c r="G894" s="158"/>
    </row>
    <row r="895">
      <c r="A895" s="153"/>
      <c r="B895" s="229"/>
      <c r="C895" s="230"/>
      <c r="D895" s="231"/>
      <c r="E895" s="157"/>
      <c r="F895" s="12"/>
      <c r="G895" s="158"/>
    </row>
    <row r="896">
      <c r="A896" s="153"/>
      <c r="B896" s="229"/>
      <c r="C896" s="230"/>
      <c r="D896" s="231"/>
      <c r="E896" s="157"/>
      <c r="F896" s="12"/>
      <c r="G896" s="158"/>
    </row>
    <row r="897">
      <c r="A897" s="153"/>
      <c r="B897" s="229"/>
      <c r="C897" s="230"/>
      <c r="D897" s="231"/>
      <c r="E897" s="157"/>
      <c r="F897" s="12"/>
      <c r="G897" s="158"/>
    </row>
    <row r="898">
      <c r="A898" s="153"/>
      <c r="B898" s="229"/>
      <c r="C898" s="230"/>
      <c r="D898" s="231"/>
      <c r="E898" s="157"/>
      <c r="F898" s="12"/>
      <c r="G898" s="158"/>
    </row>
    <row r="899">
      <c r="A899" s="153"/>
      <c r="B899" s="229"/>
      <c r="C899" s="230"/>
      <c r="D899" s="231"/>
      <c r="E899" s="157"/>
      <c r="F899" s="12"/>
      <c r="G899" s="158"/>
    </row>
    <row r="900">
      <c r="A900" s="153"/>
      <c r="B900" s="229"/>
      <c r="C900" s="230"/>
      <c r="D900" s="231"/>
      <c r="E900" s="157"/>
      <c r="F900" s="12"/>
      <c r="G900" s="158"/>
    </row>
    <row r="901">
      <c r="A901" s="153"/>
      <c r="B901" s="229"/>
      <c r="C901" s="230"/>
      <c r="D901" s="231"/>
      <c r="E901" s="157"/>
      <c r="F901" s="12"/>
      <c r="G901" s="158"/>
    </row>
    <row r="902">
      <c r="A902" s="153"/>
      <c r="B902" s="229"/>
      <c r="C902" s="230"/>
      <c r="D902" s="231"/>
      <c r="E902" s="157"/>
      <c r="F902" s="12"/>
      <c r="G902" s="158"/>
    </row>
    <row r="903">
      <c r="A903" s="153"/>
      <c r="B903" s="229"/>
      <c r="C903" s="230"/>
      <c r="D903" s="231"/>
      <c r="E903" s="157"/>
      <c r="F903" s="12"/>
      <c r="G903" s="158"/>
    </row>
    <row r="904">
      <c r="A904" s="153"/>
      <c r="B904" s="229"/>
      <c r="C904" s="230"/>
      <c r="D904" s="231"/>
      <c r="E904" s="157"/>
      <c r="F904" s="12"/>
      <c r="G904" s="158"/>
    </row>
    <row r="905">
      <c r="A905" s="153"/>
      <c r="B905" s="229"/>
      <c r="C905" s="230"/>
      <c r="D905" s="231"/>
      <c r="E905" s="157"/>
      <c r="F905" s="12"/>
      <c r="G905" s="158"/>
    </row>
    <row r="906">
      <c r="A906" s="153"/>
      <c r="B906" s="229"/>
      <c r="C906" s="230"/>
      <c r="D906" s="231"/>
      <c r="E906" s="157"/>
      <c r="F906" s="12"/>
      <c r="G906" s="158"/>
    </row>
    <row r="907">
      <c r="A907" s="153"/>
      <c r="B907" s="229"/>
      <c r="C907" s="230"/>
      <c r="D907" s="231"/>
      <c r="E907" s="157"/>
      <c r="F907" s="12"/>
      <c r="G907" s="158"/>
    </row>
    <row r="908">
      <c r="A908" s="153"/>
      <c r="B908" s="229"/>
      <c r="C908" s="230"/>
      <c r="D908" s="231"/>
      <c r="E908" s="157"/>
      <c r="F908" s="12"/>
      <c r="G908" s="158"/>
    </row>
    <row r="909">
      <c r="A909" s="153"/>
      <c r="B909" s="229"/>
      <c r="C909" s="230"/>
      <c r="D909" s="231"/>
      <c r="E909" s="157"/>
      <c r="F909" s="12"/>
      <c r="G909" s="158"/>
    </row>
    <row r="910">
      <c r="A910" s="153"/>
      <c r="B910" s="229"/>
      <c r="C910" s="230"/>
      <c r="D910" s="231"/>
      <c r="E910" s="157"/>
      <c r="F910" s="12"/>
      <c r="G910" s="158"/>
    </row>
    <row r="911">
      <c r="A911" s="153"/>
      <c r="B911" s="229"/>
      <c r="C911" s="230"/>
      <c r="D911" s="231"/>
      <c r="E911" s="157"/>
      <c r="F911" s="12"/>
      <c r="G911" s="158"/>
    </row>
    <row r="912">
      <c r="A912" s="153"/>
      <c r="B912" s="229"/>
      <c r="C912" s="230"/>
      <c r="D912" s="231"/>
      <c r="E912" s="157"/>
      <c r="F912" s="12"/>
      <c r="G912" s="158"/>
    </row>
    <row r="913">
      <c r="A913" s="153"/>
      <c r="B913" s="229"/>
      <c r="C913" s="230"/>
      <c r="D913" s="231"/>
      <c r="E913" s="157"/>
      <c r="F913" s="12"/>
      <c r="G913" s="158"/>
    </row>
    <row r="914">
      <c r="A914" s="153"/>
      <c r="B914" s="229"/>
      <c r="C914" s="230"/>
      <c r="D914" s="231"/>
      <c r="E914" s="157"/>
      <c r="F914" s="12"/>
      <c r="G914" s="158"/>
    </row>
    <row r="915">
      <c r="A915" s="153"/>
      <c r="B915" s="229"/>
      <c r="C915" s="230"/>
      <c r="D915" s="231"/>
      <c r="E915" s="157"/>
      <c r="F915" s="12"/>
      <c r="G915" s="158"/>
    </row>
    <row r="916">
      <c r="A916" s="153"/>
      <c r="B916" s="229"/>
      <c r="C916" s="230"/>
      <c r="D916" s="231"/>
      <c r="E916" s="157"/>
      <c r="F916" s="12"/>
      <c r="G916" s="158"/>
    </row>
    <row r="917">
      <c r="A917" s="153"/>
      <c r="B917" s="229"/>
      <c r="C917" s="230"/>
      <c r="D917" s="231"/>
      <c r="E917" s="157"/>
      <c r="F917" s="12"/>
      <c r="G917" s="158"/>
    </row>
    <row r="918">
      <c r="A918" s="153"/>
      <c r="B918" s="229"/>
      <c r="C918" s="230"/>
      <c r="D918" s="231"/>
      <c r="E918" s="157"/>
      <c r="F918" s="12"/>
      <c r="G918" s="158"/>
    </row>
    <row r="919">
      <c r="A919" s="153"/>
      <c r="B919" s="229"/>
      <c r="C919" s="230"/>
      <c r="D919" s="231"/>
      <c r="E919" s="157"/>
      <c r="F919" s="12"/>
      <c r="G919" s="158"/>
    </row>
    <row r="920">
      <c r="A920" s="153"/>
      <c r="B920" s="229"/>
      <c r="C920" s="230"/>
      <c r="D920" s="231"/>
      <c r="E920" s="157"/>
      <c r="F920" s="12"/>
      <c r="G920" s="158"/>
    </row>
    <row r="921">
      <c r="A921" s="153"/>
      <c r="B921" s="229"/>
      <c r="C921" s="230"/>
      <c r="D921" s="231"/>
      <c r="E921" s="157"/>
      <c r="F921" s="12"/>
      <c r="G921" s="158"/>
    </row>
    <row r="922">
      <c r="A922" s="153"/>
      <c r="B922" s="229"/>
      <c r="C922" s="230"/>
      <c r="D922" s="231"/>
      <c r="E922" s="157"/>
      <c r="F922" s="12"/>
      <c r="G922" s="158"/>
    </row>
    <row r="923">
      <c r="A923" s="153"/>
      <c r="B923" s="229"/>
      <c r="C923" s="230"/>
      <c r="D923" s="231"/>
      <c r="E923" s="157"/>
      <c r="F923" s="12"/>
      <c r="G923" s="158"/>
    </row>
    <row r="924">
      <c r="A924" s="153"/>
      <c r="B924" s="229"/>
      <c r="C924" s="230"/>
      <c r="D924" s="231"/>
      <c r="E924" s="157"/>
      <c r="F924" s="12"/>
      <c r="G924" s="158"/>
    </row>
    <row r="925">
      <c r="A925" s="153"/>
      <c r="B925" s="229"/>
      <c r="C925" s="230"/>
      <c r="D925" s="231"/>
      <c r="E925" s="157"/>
      <c r="F925" s="12"/>
      <c r="G925" s="158"/>
    </row>
    <row r="926">
      <c r="A926" s="153"/>
      <c r="B926" s="229"/>
      <c r="C926" s="230"/>
      <c r="D926" s="231"/>
      <c r="E926" s="157"/>
      <c r="F926" s="12"/>
      <c r="G926" s="158"/>
    </row>
    <row r="927">
      <c r="A927" s="153"/>
      <c r="B927" s="229"/>
      <c r="C927" s="230"/>
      <c r="D927" s="231"/>
      <c r="E927" s="157"/>
      <c r="F927" s="12"/>
      <c r="G927" s="158"/>
    </row>
    <row r="928">
      <c r="A928" s="153"/>
      <c r="B928" s="229"/>
      <c r="C928" s="230"/>
      <c r="D928" s="231"/>
      <c r="E928" s="157"/>
      <c r="F928" s="12"/>
      <c r="G928" s="158"/>
    </row>
    <row r="929">
      <c r="A929" s="153"/>
      <c r="B929" s="229"/>
      <c r="C929" s="230"/>
      <c r="D929" s="231"/>
      <c r="E929" s="157"/>
      <c r="F929" s="12"/>
      <c r="G929" s="158"/>
    </row>
    <row r="930">
      <c r="A930" s="153"/>
      <c r="B930" s="229"/>
      <c r="C930" s="230"/>
      <c r="D930" s="231"/>
      <c r="E930" s="157"/>
      <c r="F930" s="12"/>
      <c r="G930" s="158"/>
    </row>
    <row r="931">
      <c r="A931" s="153"/>
      <c r="B931" s="229"/>
      <c r="C931" s="230"/>
      <c r="D931" s="231"/>
      <c r="E931" s="157"/>
      <c r="F931" s="12"/>
      <c r="G931" s="158"/>
    </row>
    <row r="932">
      <c r="A932" s="153"/>
      <c r="B932" s="229"/>
      <c r="C932" s="230"/>
      <c r="D932" s="231"/>
      <c r="E932" s="157"/>
      <c r="F932" s="12"/>
      <c r="G932" s="158"/>
    </row>
    <row r="933">
      <c r="A933" s="153"/>
      <c r="B933" s="229"/>
      <c r="C933" s="230"/>
      <c r="D933" s="231"/>
      <c r="E933" s="157"/>
      <c r="F933" s="12"/>
      <c r="G933" s="158"/>
    </row>
    <row r="934">
      <c r="A934" s="153"/>
      <c r="B934" s="229"/>
      <c r="C934" s="230"/>
      <c r="D934" s="231"/>
      <c r="E934" s="157"/>
      <c r="F934" s="12"/>
      <c r="G934" s="158"/>
    </row>
    <row r="935">
      <c r="A935" s="153"/>
      <c r="B935" s="229"/>
      <c r="C935" s="230"/>
      <c r="D935" s="231"/>
      <c r="E935" s="157"/>
      <c r="F935" s="12"/>
      <c r="G935" s="158"/>
    </row>
    <row r="936">
      <c r="A936" s="153"/>
      <c r="B936" s="229"/>
      <c r="C936" s="230"/>
      <c r="D936" s="231"/>
      <c r="E936" s="157"/>
      <c r="F936" s="12"/>
      <c r="G936" s="158"/>
    </row>
    <row r="937">
      <c r="A937" s="153"/>
      <c r="B937" s="229"/>
      <c r="C937" s="230"/>
      <c r="D937" s="231"/>
      <c r="E937" s="157"/>
      <c r="F937" s="12"/>
      <c r="G937" s="158"/>
    </row>
    <row r="938">
      <c r="A938" s="153"/>
      <c r="B938" s="229"/>
      <c r="C938" s="230"/>
      <c r="D938" s="231"/>
      <c r="E938" s="157"/>
      <c r="F938" s="12"/>
      <c r="G938" s="158"/>
    </row>
    <row r="939">
      <c r="A939" s="153"/>
      <c r="B939" s="229"/>
      <c r="C939" s="230"/>
      <c r="D939" s="231"/>
      <c r="E939" s="157"/>
      <c r="F939" s="12"/>
      <c r="G939" s="158"/>
    </row>
    <row r="940">
      <c r="A940" s="153"/>
      <c r="B940" s="229"/>
      <c r="C940" s="230"/>
      <c r="D940" s="231"/>
      <c r="E940" s="157"/>
      <c r="F940" s="12"/>
      <c r="G940" s="158"/>
    </row>
    <row r="941">
      <c r="A941" s="153"/>
      <c r="B941" s="229"/>
      <c r="C941" s="230"/>
      <c r="D941" s="231"/>
      <c r="E941" s="157"/>
      <c r="F941" s="12"/>
      <c r="G941" s="158"/>
    </row>
    <row r="942">
      <c r="A942" s="153"/>
      <c r="B942" s="229"/>
      <c r="C942" s="230"/>
      <c r="D942" s="231"/>
      <c r="E942" s="157"/>
      <c r="F942" s="12"/>
      <c r="G942" s="158"/>
    </row>
    <row r="943">
      <c r="A943" s="153"/>
      <c r="B943" s="229"/>
      <c r="C943" s="230"/>
      <c r="D943" s="231"/>
      <c r="E943" s="157"/>
      <c r="F943" s="12"/>
      <c r="G943" s="158"/>
    </row>
    <row r="944">
      <c r="A944" s="153"/>
      <c r="B944" s="229"/>
      <c r="C944" s="230"/>
      <c r="D944" s="231"/>
      <c r="E944" s="157"/>
      <c r="F944" s="12"/>
      <c r="G944" s="158"/>
    </row>
    <row r="945">
      <c r="A945" s="153"/>
      <c r="B945" s="229"/>
      <c r="C945" s="230"/>
      <c r="D945" s="231"/>
      <c r="E945" s="157"/>
      <c r="F945" s="12"/>
      <c r="G945" s="158"/>
    </row>
    <row r="946">
      <c r="A946" s="153"/>
      <c r="B946" s="229"/>
      <c r="C946" s="230"/>
      <c r="D946" s="231"/>
      <c r="E946" s="157"/>
      <c r="F946" s="12"/>
      <c r="G946" s="158"/>
    </row>
    <row r="947">
      <c r="A947" s="153"/>
      <c r="B947" s="229"/>
      <c r="C947" s="230"/>
      <c r="D947" s="231"/>
      <c r="E947" s="157"/>
      <c r="F947" s="12"/>
      <c r="G947" s="158"/>
    </row>
    <row r="948">
      <c r="A948" s="153"/>
      <c r="B948" s="229"/>
      <c r="C948" s="230"/>
      <c r="D948" s="231"/>
      <c r="E948" s="157"/>
      <c r="F948" s="12"/>
      <c r="G948" s="158"/>
    </row>
    <row r="949">
      <c r="A949" s="153"/>
      <c r="B949" s="229"/>
      <c r="C949" s="230"/>
      <c r="D949" s="231"/>
      <c r="E949" s="157"/>
      <c r="F949" s="12"/>
      <c r="G949" s="158"/>
    </row>
    <row r="950">
      <c r="A950" s="153"/>
      <c r="B950" s="229"/>
      <c r="C950" s="230"/>
      <c r="D950" s="231"/>
      <c r="E950" s="157"/>
      <c r="F950" s="12"/>
      <c r="G950" s="158"/>
    </row>
    <row r="951">
      <c r="A951" s="153"/>
      <c r="B951" s="229"/>
      <c r="C951" s="230"/>
      <c r="D951" s="231"/>
      <c r="E951" s="157"/>
      <c r="F951" s="12"/>
      <c r="G951" s="158"/>
    </row>
    <row r="952">
      <c r="A952" s="153"/>
      <c r="B952" s="229"/>
      <c r="C952" s="230"/>
      <c r="D952" s="231"/>
      <c r="E952" s="157"/>
      <c r="F952" s="12"/>
      <c r="G952" s="158"/>
    </row>
    <row r="953">
      <c r="A953" s="153"/>
      <c r="B953" s="229"/>
      <c r="C953" s="230"/>
      <c r="D953" s="231"/>
      <c r="E953" s="157"/>
      <c r="F953" s="12"/>
      <c r="G953" s="158"/>
    </row>
    <row r="954">
      <c r="A954" s="153"/>
      <c r="B954" s="229"/>
      <c r="C954" s="230"/>
      <c r="D954" s="231"/>
      <c r="E954" s="157"/>
      <c r="F954" s="12"/>
      <c r="G954" s="158"/>
    </row>
    <row r="955">
      <c r="A955" s="153"/>
      <c r="B955" s="229"/>
      <c r="C955" s="230"/>
      <c r="D955" s="231"/>
      <c r="E955" s="157"/>
      <c r="F955" s="12"/>
      <c r="G955" s="158"/>
    </row>
    <row r="956">
      <c r="A956" s="153"/>
      <c r="B956" s="229"/>
      <c r="C956" s="230"/>
      <c r="D956" s="231"/>
      <c r="E956" s="157"/>
      <c r="F956" s="12"/>
      <c r="G956" s="158"/>
    </row>
    <row r="957">
      <c r="A957" s="153"/>
      <c r="B957" s="229"/>
      <c r="C957" s="230"/>
      <c r="D957" s="231"/>
      <c r="E957" s="157"/>
      <c r="F957" s="12"/>
      <c r="G957" s="158"/>
    </row>
    <row r="958">
      <c r="A958" s="153"/>
      <c r="B958" s="229"/>
      <c r="C958" s="230"/>
      <c r="D958" s="231"/>
      <c r="E958" s="157"/>
      <c r="F958" s="12"/>
      <c r="G958" s="158"/>
    </row>
    <row r="959">
      <c r="A959" s="153"/>
      <c r="B959" s="229"/>
      <c r="C959" s="230"/>
      <c r="D959" s="231"/>
      <c r="E959" s="157"/>
      <c r="F959" s="12"/>
      <c r="G959" s="158"/>
    </row>
    <row r="960">
      <c r="A960" s="153"/>
      <c r="B960" s="229"/>
      <c r="C960" s="230"/>
      <c r="D960" s="231"/>
      <c r="E960" s="157"/>
      <c r="F960" s="12"/>
      <c r="G960" s="158"/>
    </row>
    <row r="961">
      <c r="A961" s="153"/>
      <c r="B961" s="229"/>
      <c r="C961" s="230"/>
      <c r="D961" s="231"/>
      <c r="E961" s="157"/>
      <c r="F961" s="12"/>
      <c r="G961" s="158"/>
    </row>
    <row r="962">
      <c r="A962" s="153"/>
      <c r="B962" s="229"/>
      <c r="C962" s="230"/>
      <c r="D962" s="231"/>
      <c r="E962" s="157"/>
      <c r="F962" s="12"/>
      <c r="G962" s="158"/>
    </row>
    <row r="963">
      <c r="A963" s="153"/>
      <c r="B963" s="229"/>
      <c r="C963" s="230"/>
      <c r="D963" s="231"/>
      <c r="E963" s="157"/>
      <c r="F963" s="12"/>
      <c r="G963" s="158"/>
    </row>
    <row r="964">
      <c r="A964" s="153"/>
      <c r="B964" s="229"/>
      <c r="C964" s="230"/>
      <c r="D964" s="231"/>
      <c r="E964" s="157"/>
      <c r="F964" s="12"/>
      <c r="G964" s="158"/>
    </row>
    <row r="965">
      <c r="A965" s="153"/>
      <c r="B965" s="229"/>
      <c r="C965" s="230"/>
      <c r="D965" s="231"/>
      <c r="E965" s="157"/>
      <c r="F965" s="12"/>
      <c r="G965" s="158"/>
    </row>
    <row r="966">
      <c r="A966" s="153"/>
      <c r="B966" s="229"/>
      <c r="C966" s="230"/>
      <c r="D966" s="231"/>
      <c r="E966" s="157"/>
      <c r="F966" s="12"/>
      <c r="G966" s="158"/>
    </row>
    <row r="967">
      <c r="A967" s="153"/>
      <c r="B967" s="229"/>
      <c r="C967" s="230"/>
      <c r="D967" s="231"/>
      <c r="E967" s="157"/>
      <c r="F967" s="12"/>
      <c r="G967" s="158"/>
    </row>
    <row r="968">
      <c r="A968" s="153"/>
      <c r="B968" s="229"/>
      <c r="C968" s="230"/>
      <c r="D968" s="231"/>
      <c r="E968" s="157"/>
      <c r="F968" s="12"/>
      <c r="G968" s="158"/>
    </row>
    <row r="969">
      <c r="A969" s="153"/>
      <c r="B969" s="229"/>
      <c r="C969" s="230"/>
      <c r="D969" s="231"/>
      <c r="E969" s="157"/>
      <c r="F969" s="12"/>
      <c r="G969" s="158"/>
    </row>
    <row r="970">
      <c r="A970" s="153"/>
      <c r="B970" s="229"/>
      <c r="C970" s="230"/>
      <c r="D970" s="231"/>
      <c r="E970" s="157"/>
      <c r="F970" s="12"/>
      <c r="G970" s="158"/>
    </row>
    <row r="971">
      <c r="A971" s="153"/>
      <c r="B971" s="229"/>
      <c r="C971" s="230"/>
      <c r="D971" s="231"/>
      <c r="E971" s="157"/>
      <c r="F971" s="12"/>
      <c r="G971" s="158"/>
    </row>
    <row r="972">
      <c r="A972" s="153"/>
      <c r="B972" s="229"/>
      <c r="C972" s="230"/>
      <c r="D972" s="231"/>
      <c r="E972" s="157"/>
      <c r="F972" s="12"/>
      <c r="G972" s="158"/>
    </row>
    <row r="973">
      <c r="A973" s="153"/>
      <c r="B973" s="229"/>
      <c r="C973" s="230"/>
      <c r="D973" s="231"/>
      <c r="E973" s="157"/>
      <c r="F973" s="12"/>
      <c r="G973" s="158"/>
    </row>
    <row r="974">
      <c r="A974" s="153"/>
      <c r="B974" s="229"/>
      <c r="C974" s="230"/>
      <c r="D974" s="231"/>
      <c r="E974" s="157"/>
      <c r="F974" s="12"/>
      <c r="G974" s="158"/>
    </row>
    <row r="975">
      <c r="A975" s="153"/>
      <c r="B975" s="229"/>
      <c r="C975" s="230"/>
      <c r="D975" s="231"/>
      <c r="E975" s="157"/>
      <c r="F975" s="12"/>
      <c r="G975" s="158"/>
    </row>
    <row r="976">
      <c r="A976" s="153"/>
      <c r="B976" s="229"/>
      <c r="C976" s="230"/>
      <c r="D976" s="231"/>
      <c r="E976" s="157"/>
      <c r="F976" s="12"/>
      <c r="G976" s="158"/>
    </row>
    <row r="977">
      <c r="A977" s="153"/>
      <c r="B977" s="229"/>
      <c r="C977" s="230"/>
      <c r="D977" s="231"/>
      <c r="E977" s="157"/>
      <c r="F977" s="12"/>
      <c r="G977" s="158"/>
    </row>
    <row r="978">
      <c r="A978" s="153"/>
      <c r="B978" s="229"/>
      <c r="C978" s="230"/>
      <c r="D978" s="231"/>
      <c r="E978" s="157"/>
      <c r="F978" s="12"/>
      <c r="G978" s="158"/>
    </row>
    <row r="979">
      <c r="A979" s="153"/>
      <c r="B979" s="229"/>
      <c r="C979" s="230"/>
      <c r="D979" s="231"/>
      <c r="E979" s="157"/>
      <c r="F979" s="12"/>
      <c r="G979" s="158"/>
    </row>
    <row r="980">
      <c r="A980" s="153"/>
      <c r="B980" s="229"/>
      <c r="C980" s="230"/>
      <c r="D980" s="231"/>
      <c r="E980" s="157"/>
      <c r="F980" s="12"/>
      <c r="G980" s="158"/>
    </row>
    <row r="981">
      <c r="A981" s="153"/>
      <c r="B981" s="229"/>
      <c r="C981" s="230"/>
      <c r="D981" s="231"/>
      <c r="E981" s="157"/>
      <c r="F981" s="12"/>
      <c r="G981" s="158"/>
    </row>
    <row r="982">
      <c r="A982" s="153"/>
      <c r="B982" s="229"/>
      <c r="C982" s="230"/>
      <c r="D982" s="231"/>
      <c r="E982" s="157"/>
      <c r="F982" s="12"/>
      <c r="G982" s="158"/>
    </row>
    <row r="983">
      <c r="A983" s="153"/>
      <c r="B983" s="229"/>
      <c r="C983" s="230"/>
      <c r="D983" s="231"/>
      <c r="E983" s="157"/>
      <c r="F983" s="12"/>
      <c r="G983" s="158"/>
    </row>
    <row r="984">
      <c r="A984" s="153"/>
      <c r="B984" s="229"/>
      <c r="C984" s="230"/>
      <c r="D984" s="231"/>
      <c r="E984" s="157"/>
      <c r="F984" s="12"/>
      <c r="G984" s="158"/>
    </row>
    <row r="985">
      <c r="A985" s="153"/>
      <c r="B985" s="229"/>
      <c r="C985" s="230"/>
      <c r="D985" s="231"/>
      <c r="E985" s="157"/>
      <c r="F985" s="12"/>
      <c r="G985" s="158"/>
    </row>
    <row r="986">
      <c r="A986" s="153"/>
      <c r="B986" s="229"/>
      <c r="C986" s="230"/>
      <c r="D986" s="231"/>
      <c r="E986" s="157"/>
      <c r="F986" s="12"/>
      <c r="G986" s="158"/>
    </row>
    <row r="987">
      <c r="A987" s="153"/>
      <c r="B987" s="229"/>
      <c r="C987" s="230"/>
      <c r="D987" s="231"/>
      <c r="E987" s="157"/>
      <c r="F987" s="12"/>
      <c r="G987" s="158"/>
    </row>
    <row r="988">
      <c r="A988" s="153"/>
      <c r="B988" s="229"/>
      <c r="C988" s="230"/>
      <c r="D988" s="231"/>
      <c r="E988" s="157"/>
      <c r="F988" s="12"/>
      <c r="G988" s="158"/>
    </row>
    <row r="989">
      <c r="A989" s="153"/>
      <c r="B989" s="229"/>
      <c r="C989" s="230"/>
      <c r="D989" s="231"/>
      <c r="E989" s="157"/>
      <c r="F989" s="12"/>
      <c r="G989" s="158"/>
    </row>
    <row r="990">
      <c r="A990" s="153"/>
      <c r="B990" s="229"/>
      <c r="C990" s="230"/>
      <c r="D990" s="231"/>
      <c r="E990" s="157"/>
      <c r="F990" s="12"/>
      <c r="G990" s="158"/>
    </row>
    <row r="991">
      <c r="A991" s="153"/>
      <c r="B991" s="229"/>
      <c r="C991" s="230"/>
      <c r="D991" s="231"/>
      <c r="E991" s="157"/>
      <c r="F991" s="12"/>
      <c r="G991" s="158"/>
    </row>
    <row r="992">
      <c r="A992" s="153"/>
      <c r="B992" s="229"/>
      <c r="C992" s="230"/>
      <c r="D992" s="231"/>
      <c r="E992" s="157"/>
      <c r="F992" s="12"/>
      <c r="G992" s="158"/>
    </row>
    <row r="993">
      <c r="A993" s="153"/>
      <c r="B993" s="229"/>
      <c r="C993" s="230"/>
      <c r="D993" s="231"/>
      <c r="E993" s="157"/>
      <c r="F993" s="12"/>
      <c r="G993" s="158"/>
    </row>
    <row r="994">
      <c r="A994" s="153"/>
      <c r="B994" s="229"/>
      <c r="C994" s="230"/>
      <c r="D994" s="231"/>
      <c r="E994" s="157"/>
      <c r="F994" s="12"/>
      <c r="G994" s="158"/>
    </row>
    <row r="995">
      <c r="A995" s="153"/>
      <c r="B995" s="229"/>
      <c r="C995" s="230"/>
      <c r="D995" s="231"/>
      <c r="E995" s="157"/>
      <c r="F995" s="12"/>
      <c r="G995" s="158"/>
    </row>
    <row r="996">
      <c r="A996" s="153"/>
      <c r="B996" s="229"/>
      <c r="C996" s="230"/>
      <c r="D996" s="231"/>
      <c r="E996" s="157"/>
      <c r="F996" s="12"/>
      <c r="G996" s="158"/>
    </row>
    <row r="997">
      <c r="A997" s="153"/>
      <c r="B997" s="229"/>
      <c r="C997" s="230"/>
      <c r="D997" s="231"/>
      <c r="E997" s="157"/>
      <c r="F997" s="12"/>
      <c r="G997" s="158"/>
    </row>
    <row r="998">
      <c r="A998" s="153"/>
      <c r="B998" s="229"/>
      <c r="C998" s="230"/>
      <c r="D998" s="231"/>
      <c r="E998" s="157"/>
      <c r="F998" s="12"/>
      <c r="G998" s="158"/>
    </row>
    <row r="999">
      <c r="A999" s="153"/>
      <c r="B999" s="229"/>
      <c r="C999" s="230"/>
      <c r="D999" s="231"/>
      <c r="E999" s="157"/>
      <c r="F999" s="12"/>
      <c r="G999" s="158"/>
    </row>
    <row r="1000">
      <c r="A1000" s="153"/>
      <c r="B1000" s="229"/>
      <c r="C1000" s="230"/>
      <c r="D1000" s="231"/>
      <c r="E1000" s="157"/>
      <c r="F1000" s="12"/>
      <c r="G1000" s="158"/>
    </row>
    <row r="1001">
      <c r="A1001" s="153"/>
      <c r="B1001" s="229"/>
      <c r="C1001" s="230"/>
      <c r="D1001" s="231"/>
      <c r="E1001" s="157"/>
      <c r="F1001" s="12"/>
      <c r="G1001" s="158"/>
    </row>
    <row r="1002">
      <c r="A1002" s="153"/>
      <c r="B1002" s="229"/>
      <c r="C1002" s="230"/>
      <c r="D1002" s="231"/>
      <c r="E1002" s="157"/>
      <c r="F1002" s="12"/>
      <c r="G1002" s="158"/>
    </row>
    <row r="1003">
      <c r="A1003" s="153"/>
      <c r="B1003" s="229"/>
      <c r="C1003" s="230"/>
      <c r="D1003" s="231"/>
      <c r="E1003" s="157"/>
      <c r="F1003" s="12"/>
      <c r="G1003" s="158"/>
    </row>
    <row r="1004">
      <c r="A1004" s="153"/>
      <c r="B1004" s="229"/>
      <c r="C1004" s="230"/>
      <c r="D1004" s="231"/>
      <c r="E1004" s="157"/>
      <c r="F1004" s="12"/>
      <c r="G1004" s="158"/>
    </row>
    <row r="1005">
      <c r="A1005" s="153"/>
      <c r="B1005" s="229"/>
      <c r="C1005" s="230"/>
      <c r="D1005" s="231"/>
      <c r="E1005" s="157"/>
      <c r="F1005" s="12"/>
      <c r="G1005" s="158"/>
    </row>
    <row r="1006">
      <c r="A1006" s="153"/>
      <c r="B1006" s="229"/>
      <c r="C1006" s="230"/>
      <c r="D1006" s="231"/>
      <c r="E1006" s="157"/>
      <c r="F1006" s="12"/>
      <c r="G1006" s="158"/>
    </row>
    <row r="1007">
      <c r="A1007" s="153"/>
      <c r="B1007" s="229"/>
      <c r="C1007" s="230"/>
      <c r="D1007" s="231"/>
      <c r="E1007" s="157"/>
      <c r="F1007" s="12"/>
      <c r="G1007" s="158"/>
    </row>
    <row r="1008">
      <c r="A1008" s="153"/>
      <c r="B1008" s="229"/>
      <c r="C1008" s="230"/>
      <c r="D1008" s="231"/>
      <c r="E1008" s="157"/>
      <c r="F1008" s="12"/>
      <c r="G1008" s="158"/>
    </row>
  </sheetData>
  <mergeCells count="40">
    <mergeCell ref="I10:I12"/>
    <mergeCell ref="I13:I14"/>
    <mergeCell ref="I17:I22"/>
    <mergeCell ref="I23:I27"/>
    <mergeCell ref="A27:D27"/>
    <mergeCell ref="A28:D28"/>
    <mergeCell ref="I28:I29"/>
    <mergeCell ref="A29:D29"/>
    <mergeCell ref="A30:D30"/>
    <mergeCell ref="A31:D31"/>
    <mergeCell ref="A32:D32"/>
    <mergeCell ref="A33:D33"/>
    <mergeCell ref="A34:D34"/>
    <mergeCell ref="A35:D35"/>
    <mergeCell ref="A36:D36"/>
    <mergeCell ref="A37:D37"/>
    <mergeCell ref="A38:D38"/>
    <mergeCell ref="A39:D39"/>
    <mergeCell ref="A40:D40"/>
    <mergeCell ref="A41:D41"/>
    <mergeCell ref="A42:D42"/>
    <mergeCell ref="A43:D43"/>
    <mergeCell ref="A44:D44"/>
    <mergeCell ref="A45:D45"/>
    <mergeCell ref="A46:D46"/>
    <mergeCell ref="A47:D47"/>
    <mergeCell ref="A48:D48"/>
    <mergeCell ref="A49:D49"/>
    <mergeCell ref="A57:D57"/>
    <mergeCell ref="A58:D58"/>
    <mergeCell ref="A59:D59"/>
    <mergeCell ref="A60:D60"/>
    <mergeCell ref="A61:D61"/>
    <mergeCell ref="A50:D50"/>
    <mergeCell ref="A51:D51"/>
    <mergeCell ref="A52:D52"/>
    <mergeCell ref="A53:D53"/>
    <mergeCell ref="A54:D54"/>
    <mergeCell ref="A55:D55"/>
    <mergeCell ref="A56:D56"/>
  </mergeCells>
  <conditionalFormatting sqref="I38:I43">
    <cfRule type="expression" dxfId="15" priority="1">
      <formula>$J$32&gt;2</formula>
    </cfRule>
  </conditionalFormatting>
  <conditionalFormatting sqref="I38:I43">
    <cfRule type="expression" dxfId="15" priority="2">
      <formula>$J$37&gt;0</formula>
    </cfRule>
  </conditionalFormatting>
  <conditionalFormatting sqref="B9:D24">
    <cfRule type="expression" dxfId="13" priority="3">
      <formula>$A9="Yes!"</formula>
    </cfRule>
  </conditionalFormatting>
  <conditionalFormatting sqref="A9:A24">
    <cfRule type="containsText" dxfId="14" priority="4" operator="containsText" text="No">
      <formula>NOT(ISERROR(SEARCH(("No"),(A9))))</formula>
    </cfRule>
  </conditionalFormatting>
  <conditionalFormatting sqref="A9:A24">
    <cfRule type="containsText" dxfId="15" priority="5" operator="containsText" text="Yes">
      <formula>NOT(ISERROR(SEARCH(("Yes"),(A9))))</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0"/>
    <col customWidth="1" min="2" max="2" width="21.0"/>
    <col customWidth="1" min="3" max="3" width="18.75"/>
    <col customWidth="1" min="4" max="4" width="16.0"/>
    <col customWidth="1" min="7" max="7" width="20.5"/>
    <col customWidth="1" min="8" max="8" width="58.13"/>
    <col customWidth="1" min="9" max="9" width="16.63"/>
    <col hidden="1" min="10" max="10" width="12.63"/>
  </cols>
  <sheetData>
    <row r="1">
      <c r="A1" s="290" t="s">
        <v>499</v>
      </c>
      <c r="B1" s="291"/>
      <c r="C1" s="292"/>
      <c r="D1" s="293"/>
      <c r="E1" s="295"/>
      <c r="F1" s="296"/>
      <c r="G1" s="297"/>
      <c r="H1" s="298"/>
      <c r="I1" s="293"/>
      <c r="J1" s="293"/>
    </row>
    <row r="2">
      <c r="A2" s="152" t="s">
        <v>501</v>
      </c>
      <c r="B2" s="152"/>
      <c r="C2" s="152"/>
      <c r="D2" s="152"/>
      <c r="E2" s="152"/>
      <c r="F2" s="152"/>
      <c r="G2" s="152"/>
      <c r="H2" s="152"/>
    </row>
    <row r="3">
      <c r="A3" s="152" t="s">
        <v>504</v>
      </c>
      <c r="B3" s="152"/>
      <c r="C3" s="152"/>
      <c r="D3" s="152"/>
      <c r="E3" s="152"/>
      <c r="F3" s="152"/>
      <c r="G3" s="152"/>
      <c r="H3" s="152"/>
    </row>
    <row r="4">
      <c r="A4" s="152" t="s">
        <v>505</v>
      </c>
      <c r="B4" s="152"/>
      <c r="C4" s="152"/>
      <c r="D4" s="152"/>
      <c r="E4" s="152"/>
      <c r="F4" s="152"/>
      <c r="G4" s="152"/>
      <c r="H4" s="152"/>
    </row>
    <row r="5">
      <c r="A5" s="152" t="s">
        <v>506</v>
      </c>
      <c r="B5" s="152"/>
      <c r="C5" s="152"/>
      <c r="D5" s="152"/>
      <c r="E5" s="152"/>
      <c r="F5" s="152"/>
      <c r="G5" s="152"/>
      <c r="H5" s="152"/>
    </row>
    <row r="6">
      <c r="A6" s="152" t="s">
        <v>507</v>
      </c>
      <c r="B6" s="152"/>
      <c r="C6" s="152"/>
      <c r="D6" s="152"/>
      <c r="E6" s="152"/>
      <c r="F6" s="152"/>
      <c r="G6" s="152"/>
      <c r="H6" s="152"/>
    </row>
    <row r="7">
      <c r="A7" s="153"/>
      <c r="B7" s="154"/>
      <c r="C7" s="155"/>
      <c r="D7" s="156"/>
      <c r="E7" s="157"/>
      <c r="F7" s="12"/>
      <c r="G7" s="158"/>
    </row>
    <row r="8">
      <c r="A8" s="86" t="s">
        <v>199</v>
      </c>
      <c r="B8" s="159" t="s">
        <v>53</v>
      </c>
      <c r="C8" s="159" t="s">
        <v>200</v>
      </c>
      <c r="D8" s="159" t="s">
        <v>201</v>
      </c>
      <c r="E8" s="157"/>
      <c r="F8" s="160" t="s">
        <v>199</v>
      </c>
      <c r="G8" s="161" t="s">
        <v>53</v>
      </c>
      <c r="H8" s="162" t="s">
        <v>202</v>
      </c>
      <c r="I8" s="163" t="s">
        <v>203</v>
      </c>
    </row>
    <row r="9">
      <c r="A9" s="164" t="s">
        <v>509</v>
      </c>
      <c r="B9" s="165" t="s">
        <v>365</v>
      </c>
      <c r="C9" s="166" t="s">
        <v>205</v>
      </c>
      <c r="D9" s="167" t="s">
        <v>206</v>
      </c>
      <c r="F9" s="245" t="str">
        <f>if(Elsewhich_Import!B24=true,"Yes!","No")</f>
        <v>Yes!</v>
      </c>
      <c r="G9" s="246" t="s">
        <v>513</v>
      </c>
      <c r="H9" s="192" t="s">
        <v>514</v>
      </c>
      <c r="I9" s="193" t="s">
        <v>209</v>
      </c>
      <c r="J9" s="172">
        <f>COUNTif(F9,"Yes!")</f>
        <v>1</v>
      </c>
    </row>
    <row r="10">
      <c r="A10" s="173" t="str">
        <f>if(Elsewhich_Import!B6=true,"Yes!","No")</f>
        <v>Yes!</v>
      </c>
      <c r="B10" s="174" t="s">
        <v>382</v>
      </c>
      <c r="C10" s="175" t="s">
        <v>212</v>
      </c>
      <c r="D10" s="176" t="s">
        <v>206</v>
      </c>
      <c r="F10" s="194" t="str">
        <f>if(Elsewhich_Import!B25=true,"Yes!","No")</f>
        <v>No</v>
      </c>
      <c r="G10" s="249" t="s">
        <v>516</v>
      </c>
      <c r="H10" s="196" t="s">
        <v>517</v>
      </c>
      <c r="I10" s="197"/>
      <c r="J10" s="172"/>
    </row>
    <row r="11">
      <c r="A11" s="173" t="str">
        <f>if(Elsewhich_Import!B7=true,"Yes!","No")</f>
        <v>Yes!</v>
      </c>
      <c r="B11" s="174" t="s">
        <v>518</v>
      </c>
      <c r="C11" s="175" t="s">
        <v>217</v>
      </c>
      <c r="D11" s="176" t="s">
        <v>206</v>
      </c>
      <c r="F11" s="194" t="str">
        <f>if(Elsewhich_Import!B26=true,"Yes!","No")</f>
        <v>No</v>
      </c>
      <c r="G11" s="249" t="s">
        <v>230</v>
      </c>
      <c r="H11" s="299" t="s">
        <v>208</v>
      </c>
      <c r="I11" s="171" t="s">
        <v>267</v>
      </c>
      <c r="J11" s="172">
        <f>COUNTif(F11:F15,"Yes!")</f>
        <v>2</v>
      </c>
    </row>
    <row r="12">
      <c r="A12" s="173" t="str">
        <f>if(Elsewhich_Import!B8=true,"Yes!","No")</f>
        <v>Yes!</v>
      </c>
      <c r="B12" s="174" t="s">
        <v>519</v>
      </c>
      <c r="C12" s="175" t="s">
        <v>221</v>
      </c>
      <c r="D12" s="176" t="s">
        <v>222</v>
      </c>
      <c r="F12" s="183" t="str">
        <f>if(Elsewhich_Import!B27=true,"Yes!","No")</f>
        <v>No</v>
      </c>
      <c r="G12" s="253" t="s">
        <v>262</v>
      </c>
      <c r="H12" s="185" t="s">
        <v>520</v>
      </c>
      <c r="I12" s="182"/>
      <c r="J12" s="172"/>
    </row>
    <row r="13">
      <c r="A13" s="173" t="str">
        <f>if(Elsewhich_Import!B9=true,"Yes!","No")</f>
        <v>Yes!</v>
      </c>
      <c r="B13" s="174" t="s">
        <v>416</v>
      </c>
      <c r="C13" s="175" t="s">
        <v>226</v>
      </c>
      <c r="D13" s="176" t="s">
        <v>521</v>
      </c>
      <c r="F13" s="179" t="str">
        <f>if(Elsewhich_Import!B28=true,"Yes!","No")</f>
        <v>Yes!</v>
      </c>
      <c r="G13" s="251" t="s">
        <v>522</v>
      </c>
      <c r="H13" s="181" t="s">
        <v>523</v>
      </c>
      <c r="I13" s="182"/>
      <c r="J13" s="172"/>
    </row>
    <row r="14">
      <c r="A14" s="173" t="str">
        <f>if(Elsewhich_Import!B10=true,"Yes!","No")</f>
        <v>Yes!</v>
      </c>
      <c r="B14" s="174" t="s">
        <v>524</v>
      </c>
      <c r="C14" s="175" t="s">
        <v>525</v>
      </c>
      <c r="D14" s="176" t="s">
        <v>526</v>
      </c>
      <c r="F14" s="183" t="str">
        <f>if(Elsewhich_Import!B29=true,"Yes!","No")</f>
        <v>No</v>
      </c>
      <c r="G14" s="253" t="s">
        <v>257</v>
      </c>
      <c r="H14" s="185" t="s">
        <v>523</v>
      </c>
      <c r="I14" s="182"/>
      <c r="J14" s="172"/>
    </row>
    <row r="15">
      <c r="A15" s="173" t="str">
        <f>if(Elsewhich_Import!B11=true,"Yes!","No")</f>
        <v>Yes!</v>
      </c>
      <c r="B15" s="174" t="s">
        <v>516</v>
      </c>
      <c r="C15" s="175" t="s">
        <v>527</v>
      </c>
      <c r="D15" s="176" t="s">
        <v>232</v>
      </c>
      <c r="F15" s="179" t="str">
        <f>if(Elsewhich_Import!B30=true,"Yes!","No")</f>
        <v>Yes!</v>
      </c>
      <c r="G15" s="251" t="s">
        <v>528</v>
      </c>
      <c r="H15" s="181" t="s">
        <v>529</v>
      </c>
      <c r="I15" s="189"/>
      <c r="J15" s="172"/>
    </row>
    <row r="16">
      <c r="A16" s="173" t="str">
        <f>if(Elsewhich_Import!B12=true,"Yes!","No")</f>
        <v>Yes!</v>
      </c>
      <c r="B16" s="174" t="s">
        <v>480</v>
      </c>
      <c r="C16" s="175" t="s">
        <v>530</v>
      </c>
      <c r="D16" s="176" t="s">
        <v>531</v>
      </c>
      <c r="F16" s="177" t="str">
        <f>if(Elsewhich_Import!B31=true,"Yes!","No")</f>
        <v>Yes!</v>
      </c>
      <c r="G16" s="261" t="s">
        <v>241</v>
      </c>
      <c r="H16" s="178" t="s">
        <v>532</v>
      </c>
      <c r="I16" s="171" t="s">
        <v>533</v>
      </c>
      <c r="J16" s="172">
        <f>COUNTif(F16:F26,"Yes!")</f>
        <v>7</v>
      </c>
    </row>
    <row r="17">
      <c r="A17" s="173" t="str">
        <f>if(Elsewhich_Import!B13=true,"Yes!","No")</f>
        <v>Yes!</v>
      </c>
      <c r="B17" s="174" t="s">
        <v>481</v>
      </c>
      <c r="C17" s="175" t="s">
        <v>534</v>
      </c>
      <c r="D17" s="176" t="s">
        <v>535</v>
      </c>
      <c r="F17" s="179" t="str">
        <f>if(Elsewhich_Import!B32=true,"Yes!","No")</f>
        <v>Yes!</v>
      </c>
      <c r="G17" s="251" t="s">
        <v>536</v>
      </c>
      <c r="H17" s="181" t="s">
        <v>537</v>
      </c>
      <c r="I17" s="182"/>
      <c r="J17" s="172"/>
    </row>
    <row r="18">
      <c r="A18" s="173" t="str">
        <f>if(Elsewhich_Import!B14=true,"Yes!","No")</f>
        <v>Yes!</v>
      </c>
      <c r="B18" s="174" t="s">
        <v>290</v>
      </c>
      <c r="C18" s="175" t="s">
        <v>538</v>
      </c>
      <c r="D18" s="176" t="s">
        <v>539</v>
      </c>
      <c r="F18" s="179" t="str">
        <f>if(Elsewhich_Import!B33=true,"Yes!","No")</f>
        <v>Yes!</v>
      </c>
      <c r="G18" s="251" t="s">
        <v>265</v>
      </c>
      <c r="H18" s="181" t="s">
        <v>540</v>
      </c>
      <c r="I18" s="182"/>
      <c r="J18" s="172"/>
    </row>
    <row r="19">
      <c r="A19" s="173" t="str">
        <f>if(Elsewhich_Import!B15=true,"Yes!","No")</f>
        <v>Yes!</v>
      </c>
      <c r="B19" s="174" t="s">
        <v>294</v>
      </c>
      <c r="C19" s="175" t="s">
        <v>525</v>
      </c>
      <c r="D19" s="176" t="s">
        <v>541</v>
      </c>
      <c r="F19" s="179" t="str">
        <f>if(Elsewhich_Import!B34=true,"Yes!","No")</f>
        <v>Yes!</v>
      </c>
      <c r="G19" s="251" t="s">
        <v>353</v>
      </c>
      <c r="H19" s="181" t="s">
        <v>542</v>
      </c>
      <c r="I19" s="182"/>
      <c r="J19" s="172"/>
    </row>
    <row r="20">
      <c r="A20" s="173" t="str">
        <f>if(Elsewhich_Import!B16=true,"Yes!","No")</f>
        <v>Yes!</v>
      </c>
      <c r="B20" s="174" t="s">
        <v>234</v>
      </c>
      <c r="C20" s="175" t="s">
        <v>538</v>
      </c>
      <c r="D20" s="176" t="s">
        <v>543</v>
      </c>
      <c r="F20" s="179" t="str">
        <f>if(Elsewhich_Import!B35=true,"Yes!","No")</f>
        <v>Yes!</v>
      </c>
      <c r="G20" s="251" t="s">
        <v>211</v>
      </c>
      <c r="H20" s="181" t="s">
        <v>544</v>
      </c>
      <c r="I20" s="182"/>
      <c r="J20" s="172"/>
    </row>
    <row r="21">
      <c r="A21" s="173" t="str">
        <f>if(Elsewhich_Import!B17=true,"Yes!","No")</f>
        <v>Yes!</v>
      </c>
      <c r="B21" s="174" t="s">
        <v>545</v>
      </c>
      <c r="C21" s="175" t="s">
        <v>546</v>
      </c>
      <c r="D21" s="176" t="s">
        <v>547</v>
      </c>
      <c r="F21" s="183" t="str">
        <f>if(Elsewhich_Import!B36=true,"Yes!","No")</f>
        <v>No</v>
      </c>
      <c r="G21" s="253" t="s">
        <v>236</v>
      </c>
      <c r="H21" s="185" t="s">
        <v>548</v>
      </c>
      <c r="I21" s="182"/>
      <c r="J21" s="172"/>
    </row>
    <row r="22">
      <c r="A22" s="173" t="str">
        <f>if(Elsewhich_Import!B18=true,"Yes!","No")</f>
        <v>Yes!</v>
      </c>
      <c r="B22" s="174" t="s">
        <v>516</v>
      </c>
      <c r="C22" s="175" t="s">
        <v>549</v>
      </c>
      <c r="D22" s="176" t="s">
        <v>550</v>
      </c>
      <c r="F22" s="183" t="str">
        <f>if(Elsewhich_Import!B37=true,"Yes!","No")</f>
        <v>No</v>
      </c>
      <c r="G22" s="253" t="s">
        <v>362</v>
      </c>
      <c r="H22" s="185" t="s">
        <v>548</v>
      </c>
      <c r="I22" s="182"/>
      <c r="J22" s="172"/>
    </row>
    <row r="23">
      <c r="A23" s="173" t="str">
        <f>if(Elsewhich_Import!B19=true,"Yes!","No")</f>
        <v>No</v>
      </c>
      <c r="B23" s="174" t="s">
        <v>518</v>
      </c>
      <c r="C23" s="175" t="s">
        <v>277</v>
      </c>
      <c r="D23" s="176" t="s">
        <v>551</v>
      </c>
      <c r="F23" s="179" t="str">
        <f>if(Elsewhich_Import!B38=true,"Yes!","No")</f>
        <v>Yes!</v>
      </c>
      <c r="G23" s="251" t="s">
        <v>254</v>
      </c>
      <c r="H23" s="181" t="s">
        <v>552</v>
      </c>
      <c r="I23" s="182"/>
      <c r="J23" s="172"/>
    </row>
    <row r="24">
      <c r="A24" s="198" t="str">
        <f>If(Dashboard!$M6=TRUE,"Yes!","No")</f>
        <v>Yes!</v>
      </c>
      <c r="B24" s="199" t="s">
        <v>282</v>
      </c>
      <c r="C24" s="200" t="s">
        <v>206</v>
      </c>
      <c r="D24" s="201" t="s">
        <v>206</v>
      </c>
      <c r="F24" s="183" t="str">
        <f>if(Elsewhich_Import!B39=true,"Yes!","No")</f>
        <v>No</v>
      </c>
      <c r="G24" s="253" t="s">
        <v>553</v>
      </c>
      <c r="H24" s="185" t="s">
        <v>554</v>
      </c>
      <c r="I24" s="182"/>
      <c r="J24" s="172"/>
    </row>
    <row r="25">
      <c r="F25" s="183" t="str">
        <f>if(Elsewhich_Import!B40=true,"Yes!","No")</f>
        <v>No</v>
      </c>
      <c r="G25" s="253" t="s">
        <v>519</v>
      </c>
      <c r="H25" s="185" t="s">
        <v>555</v>
      </c>
      <c r="I25" s="182"/>
      <c r="J25" s="172"/>
    </row>
    <row r="26">
      <c r="A26" s="202" t="s">
        <v>287</v>
      </c>
      <c r="F26" s="179" t="str">
        <f>if(Elsewhich_Import!B41=true,"Yes!","No")</f>
        <v>Yes!</v>
      </c>
      <c r="G26" s="251" t="s">
        <v>556</v>
      </c>
      <c r="H26" s="181" t="s">
        <v>555</v>
      </c>
      <c r="I26" s="189"/>
      <c r="J26" s="172"/>
    </row>
    <row r="27">
      <c r="A27" s="271" t="str">
        <f>IFERROR(__xludf.DUMMYFUNCTION("IFERROR(
  FILTER(
    FLATTEN({Elsewhich_Import!C5:C20; Elsewhich_Import!C24:C52; Elsewhich_Import!A61:A90}),
    FLATTEN({Elsewhich_Import!C5:C20; Elsewhich_Import!C24:C52; Elsewhich_Import!A61:A90}) &lt;&gt; """"
  ),
  """"
)"),"Very engaged in overall plot (knows about memory gap, trial, wedding, etc). Had to remind them to ask me about the cup after 2 other concentrations so may be a little unfocused or just overwhelmed by tavern. Definitely approaching in a larp-like capacity "&amp;"(but not necessarily in a bad way) -Mirin")</f>
        <v>Very engaged in overall plot (knows about memory gap, trial, wedding, etc). Had to remind them to ask me about the cup after 2 other concentrations so may be a little unfocused or just overwhelmed by tavern. Definitely approaching in a larp-like capacity (but not necessarily in a bad way) -Mirin</v>
      </c>
      <c r="B27" s="4"/>
      <c r="C27" s="4"/>
      <c r="D27" s="5"/>
      <c r="F27" s="194" t="str">
        <f>if(Elsewhich_Import!B42=true,"Yes!","No")</f>
        <v>No</v>
      </c>
      <c r="G27" s="249" t="s">
        <v>557</v>
      </c>
      <c r="H27" s="196" t="s">
        <v>558</v>
      </c>
      <c r="I27" s="171" t="s">
        <v>367</v>
      </c>
      <c r="J27" s="172">
        <f>COUNTif(F27:F31,"Yes!")</f>
        <v>3</v>
      </c>
    </row>
    <row r="28">
      <c r="A28" s="272" t="str">
        <f>IFERROR(__xludf.DUMMYFUNCTION("""COMPUTED_VALUE"""),"Super into the Elsewich lore they concocted together in a really fun way. They're super friendly, invited Kira to visit Elsewich already, funny. They didn't immediately associate hex with Kira, so that's a win - only asked one follow up question about his"&amp;"tory of hex in Macai, so Kira will emphasize curiosity about hex during Dreadwright ritual to give them another point of reference. - Kels")</f>
        <v>Super into the Elsewich lore they concocted together in a really fun way. They're super friendly, invited Kira to visit Elsewich already, funny. They didn't immediately associate hex with Kira, so that's a win - only asked one follow up question about history of hex in Macai, so Kira will emphasize curiosity about hex during Dreadwright ritual to give them another point of reference. - Kels</v>
      </c>
      <c r="D28" s="182"/>
      <c r="F28" s="179" t="str">
        <f>if(Elsewhich_Import!B43=true,"Yes!","No")</f>
        <v>Yes!</v>
      </c>
      <c r="G28" s="251" t="s">
        <v>559</v>
      </c>
      <c r="H28" s="181" t="s">
        <v>560</v>
      </c>
      <c r="I28" s="182"/>
      <c r="J28" s="172"/>
    </row>
    <row r="29">
      <c r="A29" s="272" t="str">
        <f>IFERROR(__xludf.DUMMYFUNCTION("""COMPUTED_VALUE"""),"Very engaged group. Both in terms of being deep and insightful for the Cup ritual, but also with levity and ""buying into the bit""")</f>
        <v>Very engaged group. Both in terms of being deep and insightful for the Cup ritual, but also with levity and "buying into the bit"</v>
      </c>
      <c r="D29" s="182"/>
      <c r="F29" s="183" t="str">
        <f>if(Elsewhich_Import!B44=true,"Yes!","No")</f>
        <v>No</v>
      </c>
      <c r="G29" s="253" t="s">
        <v>561</v>
      </c>
      <c r="H29" s="185" t="s">
        <v>562</v>
      </c>
      <c r="I29" s="182"/>
      <c r="J29" s="172"/>
    </row>
    <row r="30">
      <c r="A30" s="272" t="str">
        <f>IFERROR(__xludf.DUMMYFUNCTION("""COMPUTED_VALUE"""),"very engaged, were making plans together")</f>
        <v>very engaged, were making plans together</v>
      </c>
      <c r="D30" s="182"/>
      <c r="F30" s="179" t="str">
        <f>if(Elsewhich_Import!B45=true,"Yes!","No")</f>
        <v>Yes!</v>
      </c>
      <c r="G30" s="251" t="s">
        <v>563</v>
      </c>
      <c r="H30" s="181" t="s">
        <v>564</v>
      </c>
      <c r="I30" s="182"/>
      <c r="J30" s="172"/>
    </row>
    <row r="31">
      <c r="A31" s="272" t="str">
        <f>IFERROR(__xludf.DUMMYFUNCTION("""COMPUTED_VALUE"""),"they have done the chaloenge (while Dannty was not there) but he has not seen them to give them the cup. Cup delivered (Jen P)")</f>
        <v>they have done the chaloenge (while Dannty was not there) but he has not seen them to give them the cup. Cup delivered (Jen P)</v>
      </c>
      <c r="D31" s="182"/>
      <c r="F31" s="186" t="str">
        <f>if(Elsewhich_Import!B46=true,"Yes!","No")</f>
        <v>Yes!</v>
      </c>
      <c r="G31" s="300" t="s">
        <v>249</v>
      </c>
      <c r="H31" s="188" t="s">
        <v>565</v>
      </c>
      <c r="I31" s="189"/>
      <c r="J31" s="172"/>
    </row>
    <row r="32">
      <c r="A32" s="272" t="str">
        <f>IFERROR(__xludf.DUMMYFUNCTION("""COMPUTED_VALUE"""),"After lunch I did ""What Kind of Tree Are You?"" Challenge with them, and they provided thoughtful, empathetic answers in both rounds - What kind of tree? and What month of the year? Gave them gold laceleaf pendant. ")</f>
        <v>After lunch I did "What Kind of Tree Are You?" Challenge with them, and they provided thoughtful, empathetic answers in both rounds - What kind of tree? and What month of the year? Gave them gold laceleaf pendant. </v>
      </c>
      <c r="D32" s="182"/>
      <c r="F32" s="194" t="str">
        <f>if(Elsewhich_Import!B47=true,"Yes!","No")</f>
        <v>No</v>
      </c>
      <c r="G32" s="249" t="s">
        <v>566</v>
      </c>
      <c r="H32" s="196" t="s">
        <v>567</v>
      </c>
      <c r="I32" s="250" t="s">
        <v>281</v>
      </c>
      <c r="J32" s="172">
        <f>COUNTif(F32:F33,"Yes!")</f>
        <v>0</v>
      </c>
    </row>
    <row r="33">
      <c r="A33" s="272" t="str">
        <f>IFERROR(__xludf.DUMMYFUNCTION("""COMPUTED_VALUE"""),"Really good party, had lots of fun and laughter during Perfect Square. - Eli")</f>
        <v>Really good party, had lots of fun and laughter during Perfect Square. - Eli</v>
      </c>
      <c r="D33" s="182"/>
      <c r="F33" s="207" t="str">
        <f>if(Elsewhich_Import!B48=true,"Yes!","No")</f>
        <v>No</v>
      </c>
      <c r="G33" s="264" t="s">
        <v>568</v>
      </c>
      <c r="H33" s="210" t="s">
        <v>569</v>
      </c>
      <c r="I33" s="189"/>
      <c r="J33" s="172"/>
    </row>
    <row r="34">
      <c r="A34" s="272" t="str">
        <f>IFERROR(__xludf.DUMMYFUNCTION("""COMPUTED_VALUE"""),"Given around 11:30Am already starting to solve connect bow with the path on the first read.*")</f>
        <v>Given around 11:30Am already starting to solve connect bow with the path on the first read.*</v>
      </c>
      <c r="D34" s="182"/>
      <c r="F34" s="177" t="str">
        <f>if(Elsewhich_Import!B49=true,"Yes!","No")</f>
        <v>Yes!</v>
      </c>
      <c r="G34" s="261" t="s">
        <v>570</v>
      </c>
      <c r="H34" s="178" t="s">
        <v>571</v>
      </c>
      <c r="I34" s="171" t="s">
        <v>209</v>
      </c>
      <c r="J34" s="172">
        <f>COUNTif(F34,"Yes!")</f>
        <v>1</v>
      </c>
    </row>
    <row r="35">
      <c r="A35" s="272" t="str">
        <f>IFERROR(__xludf.DUMMYFUNCTION("""COMPUTED_VALUE"""),"Asked about Doveroot Friday night at 10:30 pm.  Told them I would have it with me tomorrow. Surprised me at dinner Saturday by declaring it to be my King's Day, and gave me a card and a back of candy as well as 3 commands. I asked for a reference with the"&amp;"ir Duke/Duchess, for them to do a random act of propriety, and a random act of kindness.")</f>
        <v>Asked about Doveroot Friday night at 10:30 pm.  Told them I would have it with me tomorrow. Surprised me at dinner Saturday by declaring it to be my King's Day, and gave me a card and a back of candy as well as 3 commands. I asked for a reference with their Duke/Duchess, for them to do a random act of propriety, and a random act of kindness.</v>
      </c>
      <c r="D35" s="182"/>
      <c r="F35" s="177" t="str">
        <f>if(Elsewhich_Import!B50=true,"Yes!","No")</f>
        <v>Yes!</v>
      </c>
      <c r="G35" s="261" t="s">
        <v>572</v>
      </c>
      <c r="H35" s="178" t="s">
        <v>573</v>
      </c>
      <c r="I35" s="171" t="s">
        <v>267</v>
      </c>
      <c r="J35" s="172">
        <f>COUNTif(F35:F37,"Yes!")</f>
        <v>2</v>
      </c>
    </row>
    <row r="36">
      <c r="A36" s="272" t="str">
        <f>IFERROR(__xludf.DUMMYFUNCTION("""COMPUTED_VALUE"""),"approached MoaM very much like 4 people and 2 people. Even after we probed, they pretty much didn't get it.  (""Grapes are better in a bunch... but then you kinda just need to go it alone.""  Ah well (KLH)")</f>
        <v>approached MoaM very much like 4 people and 2 people. Even after we probed, they pretty much didn't get it.  ("Grapes are better in a bunch... but then you kinda just need to go it alone."  Ah well (KLH)</v>
      </c>
      <c r="D36" s="182"/>
      <c r="F36" s="183" t="str">
        <f>if(Elsewhich_Import!B51=true,"Yes!","No")</f>
        <v>No</v>
      </c>
      <c r="G36" s="253" t="s">
        <v>220</v>
      </c>
      <c r="H36" s="185" t="s">
        <v>574</v>
      </c>
      <c r="I36" s="182"/>
      <c r="J36" s="172"/>
    </row>
    <row r="37">
      <c r="A37" s="272" t="str">
        <f>IFERROR(__xludf.DUMMYFUNCTION("""COMPUTED_VALUE"""),"They are very pro Ember as of Fri night -Mirin")</f>
        <v>They are very pro Ember as of Fri night -Mirin</v>
      </c>
      <c r="D37" s="182"/>
      <c r="F37" s="186" t="str">
        <f>if(Elsewhich_Import!B52=true,"Yes!","No")</f>
        <v>Yes!</v>
      </c>
      <c r="G37" s="300" t="s">
        <v>575</v>
      </c>
      <c r="H37" s="188" t="s">
        <v>576</v>
      </c>
      <c r="I37" s="189"/>
      <c r="J37" s="172"/>
    </row>
    <row r="38">
      <c r="A38" s="272" t="str">
        <f>IFERROR(__xludf.DUMMYFUNCTION("""COMPUTED_VALUE"""),"Buzzkill introduced Elsewhich to me and said they would be investigating my charge.  I told them I didn't do it..  They are thinking it was an animal.")</f>
        <v>Buzzkill introduced Elsewhich to me and said they would be investigating my charge.  I told them I didn't do it..  They are thinking it was an animal.</v>
      </c>
      <c r="D38" s="182"/>
      <c r="F38" s="190" t="str">
        <f>if(Dashboard!G6=true,"Yes!","No")</f>
        <v>Yes!</v>
      </c>
      <c r="G38" s="246" t="s">
        <v>302</v>
      </c>
      <c r="H38" s="301"/>
      <c r="I38" s="193" t="s">
        <v>209</v>
      </c>
      <c r="J38" s="172">
        <f t="shared" ref="J38:J42" si="1">COUNTif(F38,"Yes!")</f>
        <v>1</v>
      </c>
    </row>
    <row r="39">
      <c r="A39" s="272" t="str">
        <f>IFERROR(__xludf.DUMMYFUNCTION("""COMPUTED_VALUE"""),"I told them about the knocked-ver merchandise in the same conversation in which Karla mentioned the ""gross mess of hair.""")</f>
        <v>I told them about the knocked-ver merchandise in the same conversation in which Karla mentioned the "gross mess of hair."</v>
      </c>
      <c r="D39" s="182"/>
      <c r="F39" s="218" t="str">
        <f>if(Elsewhich_Import!B54=true,"Yes!","No")</f>
        <v>No</v>
      </c>
      <c r="G39" s="273" t="s">
        <v>577</v>
      </c>
      <c r="H39" s="220" t="s">
        <v>578</v>
      </c>
      <c r="I39" s="221" t="s">
        <v>209</v>
      </c>
      <c r="J39" s="172">
        <f t="shared" si="1"/>
        <v>0</v>
      </c>
    </row>
    <row r="40">
      <c r="A40" s="272" t="str">
        <f>IFERROR(__xludf.DUMMYFUNCTION("""COMPUTED_VALUE"""),"Already suspect it's an animal of some kind - Sat noon")</f>
        <v>Already suspect it's an animal of some kind - Sat noon</v>
      </c>
      <c r="D40" s="182"/>
      <c r="F40" s="218" t="str">
        <f>if(Elsewhich_Import!B55=true,"Yes!","No")</f>
        <v>No</v>
      </c>
      <c r="G40" s="273" t="s">
        <v>516</v>
      </c>
      <c r="H40" s="220" t="s">
        <v>579</v>
      </c>
      <c r="I40" s="221" t="s">
        <v>209</v>
      </c>
      <c r="J40" s="172">
        <f t="shared" si="1"/>
        <v>0</v>
      </c>
    </row>
    <row r="41">
      <c r="A41" s="289" t="str">
        <f>IFERROR(__xludf.DUMMYFUNCTION("""COMPUTED_VALUE"""),"Phineas and Karmin gave full blast to one engaged oarty menber")</f>
        <v>Phineas and Karmin gave full blast to one engaged oarty menber</v>
      </c>
      <c r="D41" s="182"/>
      <c r="F41" s="303" t="str">
        <f>if(Elsewhich_Import!B56=true,"Yes!","No")</f>
        <v>No</v>
      </c>
      <c r="G41" s="273" t="s">
        <v>580</v>
      </c>
      <c r="H41" s="220" t="s">
        <v>581</v>
      </c>
      <c r="I41" s="221" t="s">
        <v>209</v>
      </c>
      <c r="J41" s="172">
        <f t="shared" si="1"/>
        <v>0</v>
      </c>
    </row>
    <row r="42">
      <c r="A42" s="211" t="str">
        <f>IFERROR(__xludf.DUMMYFUNCTION("""COMPUTED_VALUE"""),"Talked with four of them and they have already started to think about it being a large cat BT 9:30am sat")</f>
        <v>Talked with four of them and they have already started to think about it being a large cat BT 9:30am sat</v>
      </c>
      <c r="D42" s="182"/>
      <c r="F42" s="303" t="str">
        <f>if(Elsewhich_Import!B57=true,"Yes!","No")</f>
        <v>No</v>
      </c>
      <c r="G42" s="273" t="s">
        <v>230</v>
      </c>
      <c r="H42" s="220" t="s">
        <v>582</v>
      </c>
      <c r="I42" s="221" t="s">
        <v>209</v>
      </c>
      <c r="J42" s="172">
        <f t="shared" si="1"/>
        <v>0</v>
      </c>
    </row>
    <row r="43">
      <c r="A43" s="226" t="str">
        <f>IFERROR(__xludf.DUMMYFUNCTION("""COMPUTED_VALUE"""),"Entire party at breakfast very engaged with Karla when she was talking about the mean lady and the ball of hair")</f>
        <v>Entire party at breakfast very engaged with Karla when she was talking about the mean lady and the ball of hair</v>
      </c>
      <c r="D43" s="182"/>
      <c r="E43" s="157"/>
    </row>
    <row r="44">
      <c r="A44" s="226" t="str">
        <f>IFERROR(__xludf.DUMMYFUNCTION("""COMPUTED_VALUE"""),"Talked to three of them, they were interested, they were very sweet. They mentioned other info they had heard about the Smirches. -MFL")</f>
        <v>Talked to three of them, they were interested, they were very sweet. They mentioned other info they had heard about the Smirches. -MFL</v>
      </c>
      <c r="D44" s="182"/>
      <c r="E44" s="157"/>
      <c r="F44" s="12"/>
      <c r="G44" s="158"/>
    </row>
    <row r="45">
      <c r="A45" s="226" t="str">
        <f>IFERROR(__xludf.DUMMYFUNCTION("""COMPUTED_VALUE"""),"ember is cool - they think so too. Talked up how leather and fur look good on her, esp fur ER")</f>
        <v>ember is cool - they think so too. Talked up how leather and fur look good on her, esp fur ER</v>
      </c>
      <c r="D45" s="182"/>
      <c r="E45" s="157"/>
      <c r="F45" s="12"/>
      <c r="G45" s="158"/>
    </row>
    <row r="46">
      <c r="A46" s="226" t="str">
        <f>IFERROR(__xludf.DUMMYFUNCTION("""COMPUTED_VALUE"""),"They are super into Ember and very engaged.  Already gelled as a party and great fun Fri night. - BW")</f>
        <v>They are super into Ember and very engaged.  Already gelled as a party and great fun Fri night. - BW</v>
      </c>
      <c r="D46" s="182"/>
      <c r="E46" s="157"/>
      <c r="F46" s="12"/>
      <c r="G46" s="158"/>
    </row>
    <row r="47">
      <c r="A47" s="226" t="str">
        <f>IFERROR(__xludf.DUMMYFUNCTION("""COMPUTED_VALUE"""),"Asked me if I knew any cats. Seemed too much of a cluehammer to mention Ember. Saw them again, they straight up asked me if Ember was like me, I said ""she likes me""")</f>
        <v>Asked me if I knew any cats. Seemed too much of a cluehammer to mention Ember. Saw them again, they straight up asked me if Ember was like me, I said "she likes me"</v>
      </c>
      <c r="D47" s="182"/>
      <c r="E47" s="157"/>
      <c r="F47" s="12"/>
      <c r="G47" s="158"/>
    </row>
    <row r="48">
      <c r="A48" s="226" t="str">
        <f>IFERROR(__xludf.DUMMYFUNCTION("""COMPUTED_VALUE"""),"Gave the info to one party member. They seemed very interested, and Elvie confirmed that they're suspicious of Ember so it probably landed.")</f>
        <v>Gave the info to one party member. They seemed very interested, and Elvie confirmed that they're suspicious of Ember so it probably landed.</v>
      </c>
      <c r="D48" s="182"/>
      <c r="E48" s="157"/>
      <c r="F48" s="12"/>
      <c r="G48" s="158"/>
    </row>
    <row r="49">
      <c r="A49" s="226" t="str">
        <f>IFERROR(__xludf.DUMMYFUNCTION("""COMPUTED_VALUE"""),"They seem pretty clear on this being Ember ... not 100% ""she's a cat"" but close. -TR Sat. 11pm")</f>
        <v>They seem pretty clear on this being Ember ... not 100% "she's a cat" but close. -TR Sat. 11pm</v>
      </c>
      <c r="D49" s="182"/>
      <c r="E49" s="157"/>
      <c r="F49" s="12"/>
      <c r="G49" s="158"/>
    </row>
    <row r="50">
      <c r="A50" s="226" t="str">
        <f>IFERROR(__xludf.DUMMYFUNCTION("""COMPUTED_VALUE"""),"Read runes re: Lorelei sword with Kemma: lightning, mountain, candle (EC)")</f>
        <v>Read runes re: Lorelei sword with Kemma: lightning, mountain, candle (EC)</v>
      </c>
      <c r="D50" s="182"/>
      <c r="E50" s="157"/>
      <c r="F50" s="12"/>
      <c r="G50" s="158"/>
    </row>
    <row r="51">
      <c r="A51" s="226" t="str">
        <f>IFERROR(__xludf.DUMMYFUNCTION("""COMPUTED_VALUE"""),"Very friendly, said they would shout ""Kora"" and run up the hill if they were attacked (CL)")</f>
        <v>Very friendly, said they would shout "Kora" and run up the hill if they were attacked (CL)</v>
      </c>
      <c r="D51" s="182"/>
      <c r="E51" s="157"/>
      <c r="F51" s="12"/>
      <c r="G51" s="158"/>
    </row>
    <row r="52">
      <c r="A52" s="226" t="str">
        <f>IFERROR(__xludf.DUMMYFUNCTION("""COMPUTED_VALUE"""),"They gave Kira nickname ""Shadeslinger."" Kerrick was away and after talking to the traveler, I said ""oh, Kerrick is like a traveler, just really cool!"" (referring to his crown) Hilariously offended, nickname was born. (Kels)")</f>
        <v>They gave Kira nickname "Shadeslinger." Kerrick was away and after talking to the traveler, I said "oh, Kerrick is like a traveler, just really cool!" (referring to his crown) Hilariously offended, nickname was born. (Kels)</v>
      </c>
      <c r="D52" s="182"/>
      <c r="E52" s="157"/>
      <c r="F52" s="12"/>
      <c r="G52" s="158"/>
    </row>
    <row r="53">
      <c r="A53" s="226" t="str">
        <f>IFERROR(__xludf.DUMMYFUNCTION("""COMPUTED_VALUE"""),"Told full party about Golden Note for Samuelson. - Mike S")</f>
        <v>Told full party about Golden Note for Samuelson. - Mike S</v>
      </c>
      <c r="D53" s="182"/>
      <c r="E53" s="157"/>
      <c r="F53" s="12"/>
      <c r="G53" s="158"/>
    </row>
    <row r="54">
      <c r="A54" s="226" t="str">
        <f>IFERROR(__xludf.DUMMYFUNCTION("""COMPUTED_VALUE"""),".Ander #2 restored 2 free hits. Party in good spirits.")</f>
        <v>.Ander #2 restored 2 free hits. Party in good spirits.</v>
      </c>
      <c r="D54" s="182"/>
      <c r="E54" s="157"/>
      <c r="F54" s="12"/>
      <c r="G54" s="158"/>
    </row>
    <row r="55">
      <c r="A55" s="226" t="str">
        <f>IFERROR(__xludf.DUMMYFUNCTION("""COMPUTED_VALUE"""),"Party photo taken -Mirin")</f>
        <v>Party photo taken -Mirin</v>
      </c>
      <c r="D55" s="182"/>
      <c r="E55" s="157"/>
      <c r="F55" s="12"/>
      <c r="G55" s="158"/>
    </row>
    <row r="56">
      <c r="A56" s="226" t="str">
        <f>IFERROR(__xludf.DUMMYFUNCTION("""COMPUTED_VALUE"""),"They think Ember and Shadow might be a thing? -Mirin")</f>
        <v>They think Ember and Shadow might be a thing? -Mirin</v>
      </c>
      <c r="D56" s="182"/>
      <c r="E56" s="157"/>
      <c r="F56" s="12"/>
      <c r="G56" s="158"/>
    </row>
    <row r="57">
      <c r="A57" s="226" t="str">
        <f>IFERROR(__xludf.DUMMYFUNCTION("""COMPUTED_VALUE"""),"They have a beautiful woodblock card print of a drunk sheep, and they write down personal notes or information for us on the back. Very talkative group as a whole. --TR")</f>
        <v>They have a beautiful woodblock card print of a drunk sheep, and they write down personal notes or information for us on the back. Very talkative group as a whole. --TR</v>
      </c>
      <c r="D57" s="182"/>
      <c r="E57" s="157"/>
      <c r="F57" s="12"/>
      <c r="G57" s="158"/>
    </row>
    <row r="58">
      <c r="A58" s="226" t="str">
        <f>IFERROR(__xludf.DUMMYFUNCTION("""COMPUTED_VALUE"""),"They wrote down their story from Tinker Bill's challenge and left us a beautiful card with it all! - DN")</f>
        <v>They wrote down their story from Tinker Bill's challenge and left us a beautiful card with it all! - DN</v>
      </c>
      <c r="D58" s="182"/>
      <c r="E58" s="157"/>
      <c r="F58" s="12"/>
      <c r="G58" s="158"/>
    </row>
    <row r="59">
      <c r="A59" s="226" t="str">
        <f>IFERROR(__xludf.DUMMYFUNCTION("""COMPUTED_VALUE"""),"Had combat training at Valerius house and did well.  Party was having fun.  - Neal, 1pm Sat")</f>
        <v>Had combat training at Valerius house and did well.  Party was having fun.  - Neal, 1pm Sat</v>
      </c>
      <c r="D59" s="182"/>
      <c r="E59" s="157"/>
      <c r="F59" s="12"/>
      <c r="G59" s="158"/>
    </row>
    <row r="60">
      <c r="A60" s="226" t="str">
        <f>IFERROR(__xludf.DUMMYFUNCTION("""COMPUTED_VALUE"""),"Scheduled meeting for 9:45 with reporter from elsewhich - Mike Dion, 2pm Sat")</f>
        <v>Scheduled meeting for 9:45 with reporter from elsewhich - Mike Dion, 2pm Sat</v>
      </c>
      <c r="D60" s="182"/>
      <c r="E60" s="157"/>
      <c r="F60" s="12"/>
      <c r="G60" s="158"/>
    </row>
    <row r="61">
      <c r="A61" s="227" t="str">
        <f>IFERROR(__xludf.DUMMYFUNCTION("""COMPUTED_VALUE"""),"Pretty sure it's a cat, think maybe it's Buzzkill's. -Ab, Sat lunch")</f>
        <v>Pretty sure it's a cat, think maybe it's Buzzkill's. -Ab, Sat lunch</v>
      </c>
      <c r="B61" s="228"/>
      <c r="C61" s="228"/>
      <c r="D61" s="189"/>
      <c r="E61" s="157"/>
      <c r="F61" s="12"/>
      <c r="G61" s="158"/>
    </row>
    <row r="62">
      <c r="A62" s="138" t="str">
        <f>IFERROR(__xludf.DUMMYFUNCTION("""COMPUTED_VALUE"""),"Didn't really ""get it"" when we challenged them to think about their stated value for ""grapes are better as a bunch"" but did a lot of individualism in Mind of a Mad Man. - Kels")</f>
        <v>Didn't really "get it" when we challenged them to think about their stated value for "grapes are better as a bunch" but did a lot of individualism in Mind of a Mad Man. - Kels</v>
      </c>
      <c r="B62" s="138"/>
      <c r="C62" s="138"/>
      <c r="D62" s="138"/>
      <c r="E62" s="157"/>
      <c r="F62" s="12"/>
      <c r="G62" s="158"/>
    </row>
    <row r="63">
      <c r="A63" s="138" t="str">
        <f>IFERROR(__xludf.DUMMYFUNCTION("""COMPUTED_VALUE"""),"Before soul speaking last night the maker said ""Guys do you think Ember is a cat in the same way Bailey is dog?""-TB")</f>
        <v>Before soul speaking last night the maker said "Guys do you think Ember is a cat in the same way Bailey is dog?"-TB</v>
      </c>
      <c r="B63" s="138"/>
      <c r="C63" s="138"/>
      <c r="D63" s="138"/>
      <c r="E63" s="157"/>
      <c r="F63" s="12"/>
      <c r="G63" s="158"/>
    </row>
    <row r="64">
      <c r="A64" s="153"/>
      <c r="B64" s="229"/>
      <c r="C64" s="230"/>
      <c r="D64" s="231"/>
      <c r="E64" s="157"/>
      <c r="F64" s="12"/>
      <c r="G64" s="158"/>
    </row>
    <row r="65">
      <c r="A65" s="153"/>
      <c r="B65" s="229"/>
      <c r="C65" s="230"/>
      <c r="D65" s="231"/>
      <c r="E65" s="157"/>
      <c r="F65" s="12"/>
      <c r="G65" s="158"/>
    </row>
    <row r="66">
      <c r="A66" s="153"/>
      <c r="B66" s="229"/>
      <c r="C66" s="230"/>
      <c r="D66" s="231"/>
      <c r="E66" s="157"/>
      <c r="F66" s="12"/>
      <c r="G66" s="158"/>
    </row>
    <row r="67">
      <c r="A67" s="153"/>
      <c r="B67" s="229"/>
      <c r="C67" s="230"/>
      <c r="D67" s="231"/>
      <c r="E67" s="157"/>
      <c r="F67" s="12"/>
      <c r="G67" s="158"/>
    </row>
    <row r="68">
      <c r="A68" s="153"/>
      <c r="B68" s="229"/>
      <c r="C68" s="230"/>
      <c r="D68" s="231"/>
      <c r="E68" s="157"/>
      <c r="F68" s="12"/>
      <c r="G68" s="158"/>
    </row>
    <row r="69">
      <c r="A69" s="153"/>
      <c r="B69" s="229"/>
      <c r="C69" s="230"/>
      <c r="D69" s="231"/>
      <c r="E69" s="157"/>
      <c r="F69" s="12"/>
      <c r="G69" s="158"/>
    </row>
    <row r="70">
      <c r="A70" s="153"/>
      <c r="B70" s="229"/>
      <c r="C70" s="230"/>
      <c r="D70" s="231"/>
      <c r="E70" s="157"/>
      <c r="F70" s="12"/>
      <c r="G70" s="158"/>
    </row>
    <row r="71">
      <c r="A71" s="153"/>
      <c r="B71" s="229"/>
      <c r="C71" s="230"/>
      <c r="D71" s="231"/>
      <c r="E71" s="157"/>
      <c r="F71" s="12"/>
      <c r="G71" s="158"/>
    </row>
    <row r="72">
      <c r="A72" s="153"/>
      <c r="B72" s="229"/>
      <c r="C72" s="230"/>
      <c r="D72" s="231"/>
      <c r="E72" s="157"/>
      <c r="F72" s="12"/>
      <c r="G72" s="158"/>
    </row>
    <row r="73">
      <c r="A73" s="153"/>
      <c r="B73" s="229"/>
      <c r="C73" s="230"/>
      <c r="D73" s="231"/>
      <c r="E73" s="157"/>
      <c r="F73" s="12"/>
      <c r="G73" s="158"/>
    </row>
    <row r="74">
      <c r="A74" s="153"/>
      <c r="B74" s="229"/>
      <c r="C74" s="230"/>
      <c r="D74" s="231"/>
      <c r="E74" s="157"/>
      <c r="F74" s="12"/>
      <c r="G74" s="158"/>
    </row>
    <row r="75">
      <c r="A75" s="153"/>
      <c r="B75" s="229"/>
      <c r="C75" s="230"/>
      <c r="D75" s="231"/>
      <c r="E75" s="157"/>
      <c r="F75" s="12"/>
      <c r="G75" s="158"/>
    </row>
    <row r="76">
      <c r="A76" s="153"/>
      <c r="B76" s="229"/>
      <c r="C76" s="230"/>
      <c r="D76" s="231"/>
      <c r="E76" s="157"/>
      <c r="F76" s="12"/>
      <c r="G76" s="158"/>
    </row>
    <row r="77">
      <c r="A77" s="153"/>
      <c r="B77" s="229"/>
      <c r="C77" s="230"/>
      <c r="D77" s="231"/>
      <c r="E77" s="157"/>
      <c r="F77" s="12"/>
      <c r="G77" s="158"/>
    </row>
    <row r="78">
      <c r="A78" s="153"/>
      <c r="B78" s="229"/>
      <c r="C78" s="230"/>
      <c r="D78" s="231"/>
      <c r="E78" s="157"/>
      <c r="F78" s="12"/>
      <c r="G78" s="158"/>
    </row>
    <row r="79">
      <c r="A79" s="153"/>
      <c r="B79" s="229"/>
      <c r="C79" s="230"/>
      <c r="D79" s="231"/>
      <c r="E79" s="157"/>
      <c r="F79" s="12"/>
      <c r="G79" s="158"/>
    </row>
    <row r="80">
      <c r="A80" s="153"/>
      <c r="B80" s="229"/>
      <c r="C80" s="230"/>
      <c r="D80" s="231"/>
      <c r="E80" s="157"/>
      <c r="F80" s="12"/>
      <c r="G80" s="158"/>
    </row>
    <row r="81">
      <c r="A81" s="153"/>
      <c r="B81" s="229"/>
      <c r="C81" s="230"/>
      <c r="D81" s="231"/>
      <c r="E81" s="157"/>
      <c r="F81" s="12"/>
      <c r="G81" s="158"/>
    </row>
    <row r="82">
      <c r="A82" s="153"/>
      <c r="B82" s="229"/>
      <c r="C82" s="230"/>
      <c r="D82" s="231"/>
      <c r="E82" s="157"/>
      <c r="F82" s="12"/>
      <c r="G82" s="158"/>
    </row>
    <row r="83">
      <c r="A83" s="153"/>
      <c r="B83" s="229"/>
      <c r="C83" s="230"/>
      <c r="D83" s="231"/>
      <c r="E83" s="157"/>
      <c r="F83" s="12"/>
      <c r="G83" s="158"/>
    </row>
    <row r="84">
      <c r="A84" s="153"/>
      <c r="B84" s="229"/>
      <c r="C84" s="230"/>
      <c r="D84" s="231"/>
      <c r="E84" s="157"/>
      <c r="F84" s="12"/>
      <c r="G84" s="158"/>
    </row>
    <row r="85">
      <c r="A85" s="153"/>
      <c r="B85" s="229"/>
      <c r="C85" s="230"/>
      <c r="D85" s="231"/>
      <c r="E85" s="157"/>
      <c r="F85" s="12"/>
      <c r="G85" s="158"/>
    </row>
    <row r="86">
      <c r="A86" s="153"/>
      <c r="B86" s="229"/>
      <c r="C86" s="230"/>
      <c r="D86" s="231"/>
      <c r="E86" s="157"/>
      <c r="F86" s="12"/>
      <c r="G86" s="158"/>
    </row>
    <row r="87">
      <c r="A87" s="153"/>
      <c r="B87" s="229"/>
      <c r="C87" s="230"/>
      <c r="D87" s="231"/>
      <c r="E87" s="157"/>
      <c r="F87" s="12"/>
      <c r="G87" s="158"/>
    </row>
    <row r="88">
      <c r="A88" s="153"/>
      <c r="B88" s="229"/>
      <c r="C88" s="230"/>
      <c r="D88" s="231"/>
      <c r="E88" s="157"/>
      <c r="F88" s="12"/>
      <c r="G88" s="158"/>
    </row>
    <row r="89">
      <c r="A89" s="153"/>
      <c r="B89" s="229"/>
      <c r="C89" s="230"/>
      <c r="D89" s="231"/>
      <c r="E89" s="157"/>
      <c r="F89" s="12"/>
      <c r="G89" s="158"/>
    </row>
    <row r="90">
      <c r="A90" s="153"/>
      <c r="B90" s="229"/>
      <c r="C90" s="230"/>
      <c r="D90" s="231"/>
      <c r="E90" s="157"/>
      <c r="F90" s="12"/>
      <c r="G90" s="158"/>
    </row>
    <row r="91">
      <c r="A91" s="153"/>
      <c r="B91" s="229"/>
      <c r="C91" s="230"/>
      <c r="D91" s="231"/>
      <c r="E91" s="157"/>
      <c r="F91" s="12"/>
      <c r="G91" s="158"/>
    </row>
    <row r="92">
      <c r="A92" s="153"/>
      <c r="B92" s="229"/>
      <c r="C92" s="230"/>
      <c r="D92" s="231"/>
      <c r="E92" s="157"/>
      <c r="F92" s="12"/>
      <c r="G92" s="158"/>
    </row>
    <row r="93">
      <c r="A93" s="153"/>
      <c r="B93" s="229"/>
      <c r="C93" s="230"/>
      <c r="D93" s="231"/>
      <c r="E93" s="157"/>
      <c r="F93" s="12"/>
      <c r="G93" s="158"/>
    </row>
    <row r="94">
      <c r="A94" s="153"/>
      <c r="B94" s="229"/>
      <c r="C94" s="230"/>
      <c r="D94" s="231"/>
      <c r="E94" s="157"/>
      <c r="F94" s="12"/>
      <c r="G94" s="158"/>
    </row>
    <row r="95">
      <c r="A95" s="153"/>
      <c r="B95" s="229"/>
      <c r="C95" s="230"/>
      <c r="D95" s="231"/>
      <c r="E95" s="157"/>
      <c r="F95" s="12"/>
      <c r="G95" s="158"/>
    </row>
    <row r="96">
      <c r="A96" s="153"/>
      <c r="B96" s="229"/>
      <c r="C96" s="230"/>
      <c r="D96" s="231"/>
      <c r="E96" s="157"/>
      <c r="F96" s="12"/>
      <c r="G96" s="158"/>
    </row>
    <row r="97">
      <c r="A97" s="153"/>
      <c r="B97" s="229"/>
      <c r="C97" s="230"/>
      <c r="D97" s="231"/>
      <c r="E97" s="157"/>
      <c r="F97" s="12"/>
      <c r="G97" s="158"/>
    </row>
    <row r="98">
      <c r="A98" s="153"/>
      <c r="B98" s="229"/>
      <c r="C98" s="230"/>
      <c r="D98" s="231"/>
      <c r="E98" s="157"/>
      <c r="F98" s="12"/>
      <c r="G98" s="158"/>
    </row>
    <row r="99">
      <c r="A99" s="153"/>
      <c r="B99" s="229"/>
      <c r="C99" s="230"/>
      <c r="D99" s="231"/>
      <c r="E99" s="157"/>
      <c r="F99" s="12"/>
      <c r="G99" s="158"/>
    </row>
    <row r="100">
      <c r="A100" s="153"/>
      <c r="B100" s="229"/>
      <c r="C100" s="230"/>
      <c r="D100" s="231"/>
      <c r="E100" s="157"/>
      <c r="F100" s="12"/>
      <c r="G100" s="158"/>
    </row>
    <row r="101">
      <c r="A101" s="153"/>
      <c r="B101" s="229"/>
      <c r="C101" s="230"/>
      <c r="D101" s="231"/>
      <c r="E101" s="157"/>
      <c r="F101" s="12"/>
      <c r="G101" s="158"/>
    </row>
    <row r="102">
      <c r="A102" s="153"/>
      <c r="B102" s="229"/>
      <c r="C102" s="230"/>
      <c r="D102" s="231"/>
      <c r="E102" s="157"/>
      <c r="F102" s="12"/>
      <c r="G102" s="158"/>
    </row>
    <row r="103">
      <c r="A103" s="153"/>
      <c r="B103" s="229"/>
      <c r="C103" s="230"/>
      <c r="D103" s="231"/>
      <c r="E103" s="157"/>
      <c r="F103" s="12"/>
      <c r="G103" s="158"/>
    </row>
    <row r="104">
      <c r="A104" s="153"/>
      <c r="B104" s="229"/>
      <c r="C104" s="230"/>
      <c r="D104" s="231"/>
      <c r="E104" s="157"/>
      <c r="F104" s="12"/>
      <c r="G104" s="158"/>
    </row>
    <row r="105">
      <c r="A105" s="153"/>
      <c r="B105" s="229"/>
      <c r="C105" s="230"/>
      <c r="D105" s="231"/>
      <c r="E105" s="157"/>
      <c r="F105" s="12"/>
      <c r="G105" s="158"/>
    </row>
    <row r="106">
      <c r="A106" s="153"/>
      <c r="B106" s="229"/>
      <c r="C106" s="230"/>
      <c r="D106" s="231"/>
      <c r="E106" s="157"/>
      <c r="F106" s="12"/>
      <c r="G106" s="158"/>
    </row>
    <row r="107">
      <c r="A107" s="153"/>
      <c r="B107" s="229"/>
      <c r="C107" s="230"/>
      <c r="D107" s="231"/>
      <c r="E107" s="157"/>
      <c r="F107" s="12"/>
      <c r="G107" s="158"/>
    </row>
    <row r="108">
      <c r="A108" s="153"/>
      <c r="B108" s="229"/>
      <c r="C108" s="230"/>
      <c r="D108" s="231"/>
      <c r="E108" s="157"/>
      <c r="F108" s="12"/>
      <c r="G108" s="158"/>
    </row>
    <row r="109">
      <c r="A109" s="153"/>
      <c r="B109" s="229"/>
      <c r="C109" s="230"/>
      <c r="D109" s="231"/>
      <c r="E109" s="157"/>
      <c r="F109" s="12"/>
      <c r="G109" s="158"/>
    </row>
    <row r="110">
      <c r="A110" s="153"/>
      <c r="B110" s="229"/>
      <c r="C110" s="230"/>
      <c r="D110" s="231"/>
      <c r="E110" s="157"/>
      <c r="F110" s="12"/>
      <c r="G110" s="158"/>
    </row>
    <row r="111">
      <c r="A111" s="153"/>
      <c r="B111" s="229"/>
      <c r="C111" s="230"/>
      <c r="D111" s="231"/>
      <c r="E111" s="157"/>
      <c r="F111" s="12"/>
      <c r="G111" s="158"/>
    </row>
    <row r="112">
      <c r="A112" s="153"/>
      <c r="B112" s="229"/>
      <c r="C112" s="230"/>
      <c r="D112" s="231"/>
      <c r="E112" s="157"/>
      <c r="F112" s="12"/>
      <c r="G112" s="158"/>
    </row>
    <row r="113">
      <c r="A113" s="153"/>
      <c r="B113" s="229"/>
      <c r="C113" s="230"/>
      <c r="D113" s="231"/>
      <c r="E113" s="157"/>
      <c r="F113" s="12"/>
      <c r="G113" s="158"/>
    </row>
    <row r="114">
      <c r="A114" s="153"/>
      <c r="B114" s="229"/>
      <c r="C114" s="230"/>
      <c r="D114" s="231"/>
      <c r="E114" s="157"/>
      <c r="F114" s="12"/>
      <c r="G114" s="158"/>
    </row>
    <row r="115">
      <c r="A115" s="153"/>
      <c r="B115" s="229"/>
      <c r="C115" s="230"/>
      <c r="D115" s="231"/>
      <c r="E115" s="157"/>
      <c r="F115" s="12"/>
      <c r="G115" s="158"/>
    </row>
    <row r="116">
      <c r="A116" s="153"/>
      <c r="B116" s="229"/>
      <c r="C116" s="230"/>
      <c r="D116" s="231"/>
      <c r="E116" s="157"/>
      <c r="F116" s="12"/>
      <c r="G116" s="158"/>
    </row>
    <row r="117">
      <c r="A117" s="153"/>
      <c r="B117" s="229"/>
      <c r="C117" s="230"/>
      <c r="D117" s="231"/>
      <c r="E117" s="157"/>
      <c r="F117" s="12"/>
      <c r="G117" s="158"/>
    </row>
    <row r="118">
      <c r="A118" s="153"/>
      <c r="B118" s="229"/>
      <c r="C118" s="230"/>
      <c r="D118" s="231"/>
      <c r="E118" s="157"/>
      <c r="F118" s="12"/>
      <c r="G118" s="158"/>
    </row>
    <row r="119">
      <c r="A119" s="153"/>
      <c r="B119" s="229"/>
      <c r="C119" s="230"/>
      <c r="D119" s="231"/>
      <c r="E119" s="157"/>
      <c r="F119" s="12"/>
      <c r="G119" s="158"/>
    </row>
    <row r="120">
      <c r="A120" s="153"/>
      <c r="B120" s="229"/>
      <c r="C120" s="230"/>
      <c r="D120" s="231"/>
      <c r="E120" s="157"/>
      <c r="F120" s="12"/>
      <c r="G120" s="158"/>
    </row>
    <row r="121">
      <c r="A121" s="153"/>
      <c r="B121" s="229"/>
      <c r="C121" s="230"/>
      <c r="D121" s="231"/>
      <c r="E121" s="157"/>
      <c r="F121" s="12"/>
      <c r="G121" s="158"/>
    </row>
    <row r="122">
      <c r="A122" s="153"/>
      <c r="B122" s="229"/>
      <c r="C122" s="230"/>
      <c r="D122" s="231"/>
      <c r="E122" s="157"/>
      <c r="F122" s="12"/>
      <c r="G122" s="158"/>
    </row>
    <row r="123">
      <c r="A123" s="153"/>
      <c r="B123" s="229"/>
      <c r="C123" s="230"/>
      <c r="D123" s="231"/>
      <c r="E123" s="157"/>
      <c r="F123" s="12"/>
      <c r="G123" s="158"/>
    </row>
    <row r="124">
      <c r="A124" s="153"/>
      <c r="B124" s="229"/>
      <c r="C124" s="230"/>
      <c r="D124" s="231"/>
      <c r="E124" s="157"/>
      <c r="F124" s="12"/>
      <c r="G124" s="158"/>
    </row>
    <row r="125">
      <c r="A125" s="153"/>
      <c r="B125" s="229"/>
      <c r="C125" s="230"/>
      <c r="D125" s="231"/>
      <c r="E125" s="157"/>
      <c r="F125" s="12"/>
      <c r="G125" s="158"/>
    </row>
    <row r="126">
      <c r="A126" s="153"/>
      <c r="B126" s="229"/>
      <c r="C126" s="230"/>
      <c r="D126" s="231"/>
      <c r="E126" s="157"/>
      <c r="F126" s="12"/>
      <c r="G126" s="158"/>
    </row>
    <row r="127">
      <c r="A127" s="153"/>
      <c r="B127" s="229"/>
      <c r="C127" s="230"/>
      <c r="D127" s="231"/>
      <c r="E127" s="157"/>
      <c r="F127" s="12"/>
      <c r="G127" s="158"/>
    </row>
    <row r="128">
      <c r="A128" s="153"/>
      <c r="B128" s="229"/>
      <c r="C128" s="230"/>
      <c r="D128" s="231"/>
      <c r="E128" s="157"/>
      <c r="F128" s="12"/>
      <c r="G128" s="158"/>
    </row>
    <row r="129">
      <c r="A129" s="153"/>
      <c r="B129" s="229"/>
      <c r="C129" s="230"/>
      <c r="D129" s="231"/>
      <c r="E129" s="157"/>
      <c r="F129" s="12"/>
      <c r="G129" s="158"/>
    </row>
    <row r="130">
      <c r="A130" s="153"/>
      <c r="B130" s="229"/>
      <c r="C130" s="230"/>
      <c r="D130" s="231"/>
      <c r="E130" s="157"/>
      <c r="F130" s="12"/>
      <c r="G130" s="158"/>
    </row>
    <row r="131">
      <c r="A131" s="153"/>
      <c r="B131" s="229"/>
      <c r="C131" s="230"/>
      <c r="D131" s="231"/>
      <c r="E131" s="157"/>
      <c r="F131" s="12"/>
      <c r="G131" s="158"/>
    </row>
    <row r="132">
      <c r="A132" s="153"/>
      <c r="B132" s="229"/>
      <c r="C132" s="230"/>
      <c r="D132" s="231"/>
      <c r="E132" s="157"/>
      <c r="F132" s="12"/>
      <c r="G132" s="158"/>
    </row>
    <row r="133">
      <c r="A133" s="153"/>
      <c r="B133" s="229"/>
      <c r="C133" s="230"/>
      <c r="D133" s="231"/>
      <c r="E133" s="157"/>
      <c r="F133" s="12"/>
      <c r="G133" s="158"/>
    </row>
    <row r="134">
      <c r="A134" s="153"/>
      <c r="B134" s="229"/>
      <c r="C134" s="230"/>
      <c r="D134" s="231"/>
      <c r="E134" s="157"/>
      <c r="F134" s="12"/>
      <c r="G134" s="158"/>
    </row>
    <row r="135">
      <c r="A135" s="153"/>
      <c r="B135" s="229"/>
      <c r="C135" s="230"/>
      <c r="D135" s="231"/>
      <c r="E135" s="157"/>
      <c r="F135" s="12"/>
      <c r="G135" s="158"/>
    </row>
    <row r="136">
      <c r="A136" s="153"/>
      <c r="B136" s="229"/>
      <c r="C136" s="230"/>
      <c r="D136" s="231"/>
      <c r="E136" s="157"/>
      <c r="F136" s="12"/>
      <c r="G136" s="158"/>
    </row>
    <row r="137">
      <c r="A137" s="153"/>
      <c r="B137" s="229"/>
      <c r="C137" s="230"/>
      <c r="D137" s="231"/>
      <c r="E137" s="157"/>
      <c r="F137" s="12"/>
      <c r="G137" s="158"/>
    </row>
    <row r="138">
      <c r="A138" s="153"/>
      <c r="B138" s="229"/>
      <c r="C138" s="230"/>
      <c r="D138" s="231"/>
      <c r="E138" s="157"/>
      <c r="F138" s="12"/>
      <c r="G138" s="158"/>
    </row>
    <row r="139">
      <c r="A139" s="153"/>
      <c r="B139" s="229"/>
      <c r="C139" s="230"/>
      <c r="D139" s="231"/>
      <c r="E139" s="157"/>
      <c r="F139" s="12"/>
      <c r="G139" s="158"/>
    </row>
    <row r="140">
      <c r="A140" s="153"/>
      <c r="B140" s="229"/>
      <c r="C140" s="230"/>
      <c r="D140" s="231"/>
      <c r="E140" s="157"/>
      <c r="F140" s="12"/>
      <c r="G140" s="158"/>
    </row>
    <row r="141">
      <c r="A141" s="153"/>
      <c r="B141" s="229"/>
      <c r="C141" s="230"/>
      <c r="D141" s="231"/>
      <c r="E141" s="157"/>
      <c r="F141" s="12"/>
      <c r="G141" s="158"/>
    </row>
    <row r="142">
      <c r="A142" s="153"/>
      <c r="B142" s="229"/>
      <c r="C142" s="230"/>
      <c r="D142" s="231"/>
      <c r="E142" s="157"/>
      <c r="F142" s="12"/>
      <c r="G142" s="158"/>
    </row>
    <row r="143">
      <c r="A143" s="153"/>
      <c r="B143" s="229"/>
      <c r="C143" s="230"/>
      <c r="D143" s="231"/>
      <c r="E143" s="157"/>
      <c r="F143" s="12"/>
      <c r="G143" s="158"/>
    </row>
    <row r="144">
      <c r="A144" s="153"/>
      <c r="B144" s="229"/>
      <c r="C144" s="230"/>
      <c r="D144" s="231"/>
      <c r="E144" s="157"/>
      <c r="F144" s="12"/>
      <c r="G144" s="158"/>
    </row>
    <row r="145">
      <c r="A145" s="153"/>
      <c r="B145" s="229"/>
      <c r="C145" s="230"/>
      <c r="D145" s="231"/>
      <c r="E145" s="157"/>
      <c r="F145" s="12"/>
      <c r="G145" s="158"/>
    </row>
    <row r="146">
      <c r="A146" s="153"/>
      <c r="B146" s="229"/>
      <c r="C146" s="230"/>
      <c r="D146" s="231"/>
      <c r="E146" s="157"/>
      <c r="F146" s="12"/>
      <c r="G146" s="158"/>
    </row>
    <row r="147">
      <c r="A147" s="153"/>
      <c r="B147" s="229"/>
      <c r="C147" s="230"/>
      <c r="D147" s="231"/>
      <c r="E147" s="157"/>
      <c r="F147" s="12"/>
      <c r="G147" s="158"/>
    </row>
    <row r="148">
      <c r="A148" s="153"/>
      <c r="B148" s="229"/>
      <c r="C148" s="230"/>
      <c r="D148" s="231"/>
      <c r="E148" s="157"/>
      <c r="F148" s="12"/>
      <c r="G148" s="158"/>
    </row>
    <row r="149">
      <c r="A149" s="153"/>
      <c r="B149" s="229"/>
      <c r="C149" s="230"/>
      <c r="D149" s="231"/>
      <c r="E149" s="157"/>
      <c r="F149" s="12"/>
      <c r="G149" s="158"/>
    </row>
    <row r="150">
      <c r="A150" s="153"/>
      <c r="B150" s="229"/>
      <c r="C150" s="230"/>
      <c r="D150" s="231"/>
      <c r="E150" s="157"/>
      <c r="F150" s="12"/>
      <c r="G150" s="158"/>
    </row>
    <row r="151">
      <c r="A151" s="153"/>
      <c r="B151" s="229"/>
      <c r="C151" s="230"/>
      <c r="D151" s="231"/>
      <c r="E151" s="157"/>
      <c r="F151" s="12"/>
      <c r="G151" s="158"/>
    </row>
    <row r="152">
      <c r="A152" s="153"/>
      <c r="B152" s="229"/>
      <c r="C152" s="230"/>
      <c r="D152" s="231"/>
      <c r="E152" s="157"/>
      <c r="F152" s="12"/>
      <c r="G152" s="158"/>
    </row>
    <row r="153">
      <c r="A153" s="153"/>
      <c r="B153" s="229"/>
      <c r="C153" s="230"/>
      <c r="D153" s="231"/>
      <c r="E153" s="157"/>
      <c r="F153" s="12"/>
      <c r="G153" s="158"/>
    </row>
    <row r="154">
      <c r="A154" s="153"/>
      <c r="B154" s="229"/>
      <c r="C154" s="230"/>
      <c r="D154" s="231"/>
      <c r="E154" s="157"/>
      <c r="F154" s="12"/>
      <c r="G154" s="158"/>
    </row>
    <row r="155">
      <c r="A155" s="153"/>
      <c r="B155" s="229"/>
      <c r="C155" s="230"/>
      <c r="D155" s="231"/>
      <c r="E155" s="157"/>
      <c r="F155" s="12"/>
      <c r="G155" s="158"/>
    </row>
    <row r="156">
      <c r="A156" s="153"/>
      <c r="B156" s="229"/>
      <c r="C156" s="230"/>
      <c r="D156" s="231"/>
      <c r="E156" s="157"/>
      <c r="F156" s="12"/>
      <c r="G156" s="158"/>
    </row>
    <row r="157">
      <c r="A157" s="153"/>
      <c r="B157" s="229"/>
      <c r="C157" s="230"/>
      <c r="D157" s="231"/>
      <c r="E157" s="157"/>
      <c r="F157" s="12"/>
      <c r="G157" s="158"/>
    </row>
    <row r="158">
      <c r="A158" s="153"/>
      <c r="B158" s="229"/>
      <c r="C158" s="230"/>
      <c r="D158" s="231"/>
      <c r="E158" s="157"/>
      <c r="F158" s="12"/>
      <c r="G158" s="158"/>
    </row>
    <row r="159">
      <c r="A159" s="153"/>
      <c r="B159" s="229"/>
      <c r="C159" s="230"/>
      <c r="D159" s="231"/>
      <c r="E159" s="157"/>
      <c r="F159" s="12"/>
      <c r="G159" s="158"/>
    </row>
    <row r="160">
      <c r="A160" s="153"/>
      <c r="B160" s="229"/>
      <c r="C160" s="230"/>
      <c r="D160" s="231"/>
      <c r="E160" s="157"/>
      <c r="F160" s="12"/>
      <c r="G160" s="158"/>
    </row>
    <row r="161">
      <c r="A161" s="153"/>
      <c r="B161" s="229"/>
      <c r="C161" s="230"/>
      <c r="D161" s="231"/>
      <c r="E161" s="157"/>
      <c r="F161" s="12"/>
      <c r="G161" s="158"/>
    </row>
    <row r="162">
      <c r="A162" s="153"/>
      <c r="B162" s="229"/>
      <c r="C162" s="230"/>
      <c r="D162" s="231"/>
      <c r="E162" s="157"/>
      <c r="F162" s="12"/>
      <c r="G162" s="158"/>
    </row>
    <row r="163">
      <c r="A163" s="153"/>
      <c r="B163" s="229"/>
      <c r="C163" s="230"/>
      <c r="D163" s="231"/>
      <c r="E163" s="157"/>
      <c r="F163" s="12"/>
      <c r="G163" s="158"/>
    </row>
    <row r="164">
      <c r="A164" s="153"/>
      <c r="B164" s="229"/>
      <c r="C164" s="230"/>
      <c r="D164" s="231"/>
      <c r="E164" s="157"/>
      <c r="F164" s="12"/>
      <c r="G164" s="158"/>
    </row>
    <row r="165">
      <c r="A165" s="153"/>
      <c r="B165" s="229"/>
      <c r="C165" s="230"/>
      <c r="D165" s="231"/>
      <c r="E165" s="157"/>
      <c r="F165" s="12"/>
      <c r="G165" s="158"/>
    </row>
    <row r="166">
      <c r="A166" s="153"/>
      <c r="B166" s="229"/>
      <c r="C166" s="230"/>
      <c r="D166" s="231"/>
      <c r="E166" s="157"/>
      <c r="F166" s="12"/>
      <c r="G166" s="158"/>
    </row>
    <row r="167">
      <c r="A167" s="153"/>
      <c r="B167" s="229"/>
      <c r="C167" s="230"/>
      <c r="D167" s="231"/>
      <c r="E167" s="157"/>
      <c r="F167" s="12"/>
      <c r="G167" s="158"/>
    </row>
    <row r="168">
      <c r="A168" s="153"/>
      <c r="B168" s="229"/>
      <c r="C168" s="230"/>
      <c r="D168" s="231"/>
      <c r="E168" s="157"/>
      <c r="F168" s="12"/>
      <c r="G168" s="158"/>
    </row>
    <row r="169">
      <c r="A169" s="153"/>
      <c r="B169" s="229"/>
      <c r="C169" s="230"/>
      <c r="D169" s="231"/>
      <c r="E169" s="157"/>
      <c r="F169" s="12"/>
      <c r="G169" s="158"/>
    </row>
    <row r="170">
      <c r="A170" s="153"/>
      <c r="B170" s="229"/>
      <c r="C170" s="230"/>
      <c r="D170" s="231"/>
      <c r="E170" s="157"/>
      <c r="F170" s="12"/>
      <c r="G170" s="158"/>
    </row>
    <row r="171">
      <c r="A171" s="153"/>
      <c r="B171" s="229"/>
      <c r="C171" s="230"/>
      <c r="D171" s="231"/>
      <c r="E171" s="157"/>
      <c r="F171" s="12"/>
      <c r="G171" s="158"/>
    </row>
    <row r="172">
      <c r="A172" s="153"/>
      <c r="B172" s="229"/>
      <c r="C172" s="230"/>
      <c r="D172" s="231"/>
      <c r="E172" s="157"/>
      <c r="F172" s="12"/>
      <c r="G172" s="158"/>
    </row>
    <row r="173">
      <c r="A173" s="153"/>
      <c r="B173" s="229"/>
      <c r="C173" s="230"/>
      <c r="D173" s="231"/>
      <c r="E173" s="157"/>
      <c r="F173" s="12"/>
      <c r="G173" s="158"/>
    </row>
    <row r="174">
      <c r="A174" s="153"/>
      <c r="B174" s="229"/>
      <c r="C174" s="230"/>
      <c r="D174" s="231"/>
      <c r="E174" s="157"/>
      <c r="F174" s="12"/>
      <c r="G174" s="158"/>
    </row>
    <row r="175">
      <c r="A175" s="153"/>
      <c r="B175" s="229"/>
      <c r="C175" s="230"/>
      <c r="D175" s="231"/>
      <c r="E175" s="157"/>
      <c r="F175" s="12"/>
      <c r="G175" s="158"/>
    </row>
    <row r="176">
      <c r="A176" s="153"/>
      <c r="B176" s="229"/>
      <c r="C176" s="230"/>
      <c r="D176" s="231"/>
      <c r="E176" s="157"/>
      <c r="F176" s="12"/>
      <c r="G176" s="158"/>
    </row>
    <row r="177">
      <c r="A177" s="153"/>
      <c r="B177" s="229"/>
      <c r="C177" s="230"/>
      <c r="D177" s="231"/>
      <c r="E177" s="157"/>
      <c r="F177" s="12"/>
      <c r="G177" s="158"/>
    </row>
    <row r="178">
      <c r="A178" s="153"/>
      <c r="B178" s="229"/>
      <c r="C178" s="230"/>
      <c r="D178" s="231"/>
      <c r="E178" s="157"/>
      <c r="F178" s="12"/>
      <c r="G178" s="158"/>
    </row>
    <row r="179">
      <c r="A179" s="153"/>
      <c r="B179" s="229"/>
      <c r="C179" s="230"/>
      <c r="D179" s="231"/>
      <c r="E179" s="157"/>
      <c r="F179" s="12"/>
      <c r="G179" s="158"/>
    </row>
    <row r="180">
      <c r="A180" s="153"/>
      <c r="B180" s="229"/>
      <c r="C180" s="230"/>
      <c r="D180" s="231"/>
      <c r="E180" s="157"/>
      <c r="F180" s="12"/>
      <c r="G180" s="158"/>
    </row>
    <row r="181">
      <c r="A181" s="153"/>
      <c r="B181" s="229"/>
      <c r="C181" s="230"/>
      <c r="D181" s="231"/>
      <c r="E181" s="157"/>
      <c r="F181" s="12"/>
      <c r="G181" s="158"/>
    </row>
    <row r="182">
      <c r="A182" s="153"/>
      <c r="B182" s="229"/>
      <c r="C182" s="230"/>
      <c r="D182" s="231"/>
      <c r="E182" s="157"/>
      <c r="F182" s="12"/>
      <c r="G182" s="158"/>
    </row>
    <row r="183">
      <c r="A183" s="153"/>
      <c r="B183" s="229"/>
      <c r="C183" s="230"/>
      <c r="D183" s="231"/>
      <c r="E183" s="157"/>
      <c r="F183" s="12"/>
      <c r="G183" s="158"/>
    </row>
    <row r="184">
      <c r="A184" s="153"/>
      <c r="B184" s="229"/>
      <c r="C184" s="230"/>
      <c r="D184" s="231"/>
      <c r="E184" s="157"/>
      <c r="F184" s="12"/>
      <c r="G184" s="158"/>
    </row>
    <row r="185">
      <c r="A185" s="153"/>
      <c r="B185" s="229"/>
      <c r="C185" s="230"/>
      <c r="D185" s="231"/>
      <c r="E185" s="157"/>
      <c r="F185" s="12"/>
      <c r="G185" s="158"/>
    </row>
    <row r="186">
      <c r="A186" s="153"/>
      <c r="B186" s="229"/>
      <c r="C186" s="230"/>
      <c r="D186" s="231"/>
      <c r="E186" s="157"/>
      <c r="F186" s="12"/>
      <c r="G186" s="158"/>
    </row>
    <row r="187">
      <c r="A187" s="153"/>
      <c r="B187" s="229"/>
      <c r="C187" s="230"/>
      <c r="D187" s="231"/>
      <c r="E187" s="157"/>
      <c r="F187" s="12"/>
      <c r="G187" s="158"/>
    </row>
    <row r="188">
      <c r="A188" s="153"/>
      <c r="B188" s="229"/>
      <c r="C188" s="230"/>
      <c r="D188" s="231"/>
      <c r="E188" s="157"/>
      <c r="F188" s="12"/>
      <c r="G188" s="158"/>
    </row>
    <row r="189">
      <c r="A189" s="153"/>
      <c r="B189" s="229"/>
      <c r="C189" s="230"/>
      <c r="D189" s="231"/>
      <c r="E189" s="157"/>
      <c r="F189" s="12"/>
      <c r="G189" s="158"/>
    </row>
    <row r="190">
      <c r="A190" s="153"/>
      <c r="B190" s="229"/>
      <c r="C190" s="230"/>
      <c r="D190" s="231"/>
      <c r="E190" s="157"/>
      <c r="F190" s="12"/>
      <c r="G190" s="158"/>
    </row>
    <row r="191">
      <c r="A191" s="153"/>
      <c r="B191" s="229"/>
      <c r="C191" s="230"/>
      <c r="D191" s="231"/>
      <c r="E191" s="157"/>
      <c r="F191" s="12"/>
      <c r="G191" s="158"/>
    </row>
    <row r="192">
      <c r="A192" s="153"/>
      <c r="B192" s="229"/>
      <c r="C192" s="230"/>
      <c r="D192" s="231"/>
      <c r="E192" s="157"/>
      <c r="F192" s="12"/>
      <c r="G192" s="158"/>
    </row>
    <row r="193">
      <c r="A193" s="153"/>
      <c r="B193" s="229"/>
      <c r="C193" s="230"/>
      <c r="D193" s="231"/>
      <c r="E193" s="157"/>
      <c r="F193" s="12"/>
      <c r="G193" s="158"/>
    </row>
    <row r="194">
      <c r="A194" s="153"/>
      <c r="B194" s="229"/>
      <c r="C194" s="230"/>
      <c r="D194" s="231"/>
      <c r="E194" s="157"/>
      <c r="F194" s="12"/>
      <c r="G194" s="158"/>
    </row>
    <row r="195">
      <c r="A195" s="153"/>
      <c r="B195" s="229"/>
      <c r="C195" s="230"/>
      <c r="D195" s="231"/>
      <c r="E195" s="157"/>
      <c r="F195" s="12"/>
      <c r="G195" s="158"/>
    </row>
    <row r="196">
      <c r="A196" s="153"/>
      <c r="B196" s="229"/>
      <c r="C196" s="230"/>
      <c r="D196" s="231"/>
      <c r="E196" s="157"/>
      <c r="F196" s="12"/>
      <c r="G196" s="158"/>
    </row>
    <row r="197">
      <c r="A197" s="153"/>
      <c r="B197" s="229"/>
      <c r="C197" s="230"/>
      <c r="D197" s="231"/>
      <c r="E197" s="157"/>
      <c r="F197" s="12"/>
      <c r="G197" s="158"/>
    </row>
    <row r="198">
      <c r="A198" s="153"/>
      <c r="B198" s="229"/>
      <c r="C198" s="230"/>
      <c r="D198" s="231"/>
      <c r="E198" s="157"/>
      <c r="F198" s="12"/>
      <c r="G198" s="158"/>
    </row>
    <row r="199">
      <c r="A199" s="153"/>
      <c r="B199" s="229"/>
      <c r="C199" s="230"/>
      <c r="D199" s="231"/>
      <c r="E199" s="157"/>
      <c r="F199" s="12"/>
      <c r="G199" s="158"/>
    </row>
    <row r="200">
      <c r="A200" s="153"/>
      <c r="B200" s="229"/>
      <c r="C200" s="230"/>
      <c r="D200" s="231"/>
      <c r="E200" s="157"/>
      <c r="F200" s="12"/>
      <c r="G200" s="158"/>
    </row>
    <row r="201">
      <c r="A201" s="153"/>
      <c r="B201" s="229"/>
      <c r="C201" s="230"/>
      <c r="D201" s="231"/>
      <c r="E201" s="157"/>
      <c r="F201" s="12"/>
      <c r="G201" s="158"/>
    </row>
    <row r="202">
      <c r="A202" s="153"/>
      <c r="B202" s="229"/>
      <c r="C202" s="230"/>
      <c r="D202" s="231"/>
      <c r="E202" s="157"/>
      <c r="F202" s="12"/>
      <c r="G202" s="158"/>
    </row>
    <row r="203">
      <c r="A203" s="153"/>
      <c r="B203" s="229"/>
      <c r="C203" s="230"/>
      <c r="D203" s="231"/>
      <c r="E203" s="157"/>
      <c r="F203" s="12"/>
      <c r="G203" s="158"/>
    </row>
    <row r="204">
      <c r="A204" s="153"/>
      <c r="B204" s="229"/>
      <c r="C204" s="230"/>
      <c r="D204" s="231"/>
      <c r="E204" s="157"/>
      <c r="F204" s="12"/>
      <c r="G204" s="158"/>
    </row>
    <row r="205">
      <c r="A205" s="153"/>
      <c r="B205" s="229"/>
      <c r="C205" s="230"/>
      <c r="D205" s="231"/>
      <c r="E205" s="157"/>
      <c r="F205" s="12"/>
      <c r="G205" s="158"/>
    </row>
    <row r="206">
      <c r="A206" s="153"/>
      <c r="B206" s="229"/>
      <c r="C206" s="230"/>
      <c r="D206" s="231"/>
      <c r="E206" s="157"/>
      <c r="F206" s="12"/>
      <c r="G206" s="158"/>
    </row>
    <row r="207">
      <c r="A207" s="153"/>
      <c r="B207" s="229"/>
      <c r="C207" s="230"/>
      <c r="D207" s="231"/>
      <c r="E207" s="157"/>
      <c r="F207" s="12"/>
      <c r="G207" s="158"/>
    </row>
    <row r="208">
      <c r="A208" s="153"/>
      <c r="B208" s="229"/>
      <c r="C208" s="230"/>
      <c r="D208" s="231"/>
      <c r="E208" s="157"/>
      <c r="F208" s="12"/>
      <c r="G208" s="158"/>
    </row>
    <row r="209">
      <c r="A209" s="153"/>
      <c r="B209" s="229"/>
      <c r="C209" s="230"/>
      <c r="D209" s="231"/>
      <c r="E209" s="157"/>
      <c r="F209" s="12"/>
      <c r="G209" s="158"/>
    </row>
    <row r="210">
      <c r="A210" s="153"/>
      <c r="B210" s="229"/>
      <c r="C210" s="230"/>
      <c r="D210" s="231"/>
      <c r="E210" s="157"/>
      <c r="F210" s="12"/>
      <c r="G210" s="158"/>
    </row>
    <row r="211">
      <c r="A211" s="153"/>
      <c r="B211" s="229"/>
      <c r="C211" s="230"/>
      <c r="D211" s="231"/>
      <c r="E211" s="157"/>
      <c r="F211" s="12"/>
      <c r="G211" s="158"/>
    </row>
    <row r="212">
      <c r="A212" s="153"/>
      <c r="B212" s="229"/>
      <c r="C212" s="230"/>
      <c r="D212" s="231"/>
      <c r="E212" s="157"/>
      <c r="F212" s="12"/>
      <c r="G212" s="158"/>
    </row>
    <row r="213">
      <c r="A213" s="153"/>
      <c r="B213" s="229"/>
      <c r="C213" s="230"/>
      <c r="D213" s="231"/>
      <c r="E213" s="157"/>
      <c r="F213" s="12"/>
      <c r="G213" s="158"/>
    </row>
    <row r="214">
      <c r="A214" s="153"/>
      <c r="B214" s="229"/>
      <c r="C214" s="230"/>
      <c r="D214" s="231"/>
      <c r="E214" s="157"/>
      <c r="F214" s="12"/>
      <c r="G214" s="158"/>
    </row>
    <row r="215">
      <c r="A215" s="153"/>
      <c r="B215" s="229"/>
      <c r="C215" s="230"/>
      <c r="D215" s="231"/>
      <c r="E215" s="157"/>
      <c r="F215" s="12"/>
      <c r="G215" s="158"/>
    </row>
    <row r="216">
      <c r="A216" s="153"/>
      <c r="B216" s="229"/>
      <c r="C216" s="230"/>
      <c r="D216" s="231"/>
      <c r="E216" s="157"/>
      <c r="F216" s="12"/>
      <c r="G216" s="158"/>
    </row>
    <row r="217">
      <c r="A217" s="153"/>
      <c r="B217" s="229"/>
      <c r="C217" s="230"/>
      <c r="D217" s="231"/>
      <c r="E217" s="157"/>
      <c r="F217" s="12"/>
      <c r="G217" s="158"/>
    </row>
    <row r="218">
      <c r="A218" s="153"/>
      <c r="B218" s="229"/>
      <c r="C218" s="230"/>
      <c r="D218" s="231"/>
      <c r="E218" s="157"/>
      <c r="F218" s="12"/>
      <c r="G218" s="158"/>
    </row>
    <row r="219">
      <c r="A219" s="153"/>
      <c r="B219" s="229"/>
      <c r="C219" s="230"/>
      <c r="D219" s="231"/>
      <c r="E219" s="157"/>
      <c r="F219" s="12"/>
      <c r="G219" s="158"/>
    </row>
    <row r="220">
      <c r="A220" s="153"/>
      <c r="B220" s="229"/>
      <c r="C220" s="230"/>
      <c r="D220" s="231"/>
      <c r="E220" s="157"/>
      <c r="F220" s="12"/>
      <c r="G220" s="158"/>
    </row>
    <row r="221">
      <c r="A221" s="153"/>
      <c r="B221" s="229"/>
      <c r="C221" s="230"/>
      <c r="D221" s="231"/>
      <c r="E221" s="157"/>
      <c r="F221" s="12"/>
      <c r="G221" s="158"/>
    </row>
    <row r="222">
      <c r="A222" s="153"/>
      <c r="B222" s="229"/>
      <c r="C222" s="230"/>
      <c r="D222" s="231"/>
      <c r="E222" s="157"/>
      <c r="F222" s="12"/>
      <c r="G222" s="158"/>
    </row>
    <row r="223">
      <c r="A223" s="153"/>
      <c r="B223" s="229"/>
      <c r="C223" s="230"/>
      <c r="D223" s="231"/>
      <c r="E223" s="157"/>
      <c r="F223" s="12"/>
      <c r="G223" s="158"/>
    </row>
    <row r="224">
      <c r="A224" s="153"/>
      <c r="B224" s="229"/>
      <c r="C224" s="230"/>
      <c r="D224" s="231"/>
      <c r="E224" s="157"/>
      <c r="F224" s="12"/>
      <c r="G224" s="158"/>
    </row>
    <row r="225">
      <c r="A225" s="153"/>
      <c r="B225" s="229"/>
      <c r="C225" s="230"/>
      <c r="D225" s="231"/>
      <c r="E225" s="157"/>
      <c r="F225" s="12"/>
      <c r="G225" s="158"/>
    </row>
    <row r="226">
      <c r="A226" s="153"/>
      <c r="B226" s="229"/>
      <c r="C226" s="230"/>
      <c r="D226" s="231"/>
      <c r="E226" s="157"/>
      <c r="F226" s="12"/>
      <c r="G226" s="158"/>
    </row>
    <row r="227">
      <c r="A227" s="153"/>
      <c r="B227" s="229"/>
      <c r="C227" s="230"/>
      <c r="D227" s="231"/>
      <c r="E227" s="157"/>
      <c r="F227" s="12"/>
      <c r="G227" s="158"/>
    </row>
    <row r="228">
      <c r="A228" s="153"/>
      <c r="B228" s="229"/>
      <c r="C228" s="230"/>
      <c r="D228" s="231"/>
      <c r="E228" s="157"/>
      <c r="F228" s="12"/>
      <c r="G228" s="158"/>
    </row>
    <row r="229">
      <c r="A229" s="153"/>
      <c r="B229" s="229"/>
      <c r="C229" s="230"/>
      <c r="D229" s="231"/>
      <c r="E229" s="157"/>
      <c r="F229" s="12"/>
      <c r="G229" s="158"/>
    </row>
    <row r="230">
      <c r="A230" s="153"/>
      <c r="B230" s="229"/>
      <c r="C230" s="230"/>
      <c r="D230" s="231"/>
      <c r="E230" s="157"/>
      <c r="F230" s="12"/>
      <c r="G230" s="158"/>
    </row>
    <row r="231">
      <c r="A231" s="153"/>
      <c r="B231" s="229"/>
      <c r="C231" s="230"/>
      <c r="D231" s="231"/>
      <c r="E231" s="157"/>
      <c r="F231" s="12"/>
      <c r="G231" s="158"/>
    </row>
    <row r="232">
      <c r="A232" s="153"/>
      <c r="B232" s="229"/>
      <c r="C232" s="230"/>
      <c r="D232" s="231"/>
      <c r="E232" s="157"/>
      <c r="F232" s="12"/>
      <c r="G232" s="158"/>
    </row>
    <row r="233">
      <c r="A233" s="153"/>
      <c r="B233" s="229"/>
      <c r="C233" s="230"/>
      <c r="D233" s="231"/>
      <c r="E233" s="157"/>
      <c r="F233" s="12"/>
      <c r="G233" s="158"/>
    </row>
    <row r="234">
      <c r="A234" s="153"/>
      <c r="B234" s="229"/>
      <c r="C234" s="230"/>
      <c r="D234" s="231"/>
      <c r="E234" s="157"/>
      <c r="F234" s="12"/>
      <c r="G234" s="158"/>
    </row>
    <row r="235">
      <c r="A235" s="153"/>
      <c r="B235" s="229"/>
      <c r="C235" s="230"/>
      <c r="D235" s="231"/>
      <c r="E235" s="157"/>
      <c r="F235" s="12"/>
      <c r="G235" s="158"/>
    </row>
    <row r="236">
      <c r="A236" s="153"/>
      <c r="B236" s="229"/>
      <c r="C236" s="230"/>
      <c r="D236" s="231"/>
      <c r="E236" s="157"/>
      <c r="F236" s="12"/>
      <c r="G236" s="158"/>
    </row>
    <row r="237">
      <c r="A237" s="153"/>
      <c r="B237" s="229"/>
      <c r="C237" s="230"/>
      <c r="D237" s="231"/>
      <c r="E237" s="157"/>
      <c r="F237" s="12"/>
      <c r="G237" s="158"/>
    </row>
    <row r="238">
      <c r="A238" s="153"/>
      <c r="B238" s="229"/>
      <c r="C238" s="230"/>
      <c r="D238" s="231"/>
      <c r="E238" s="157"/>
      <c r="F238" s="12"/>
      <c r="G238" s="158"/>
    </row>
    <row r="239">
      <c r="A239" s="153"/>
      <c r="B239" s="229"/>
      <c r="C239" s="230"/>
      <c r="D239" s="231"/>
      <c r="E239" s="157"/>
      <c r="F239" s="12"/>
      <c r="G239" s="158"/>
    </row>
    <row r="240">
      <c r="A240" s="153"/>
      <c r="B240" s="229"/>
      <c r="C240" s="230"/>
      <c r="D240" s="231"/>
      <c r="E240" s="157"/>
      <c r="F240" s="12"/>
      <c r="G240" s="158"/>
    </row>
    <row r="241">
      <c r="A241" s="153"/>
      <c r="B241" s="229"/>
      <c r="C241" s="230"/>
      <c r="D241" s="231"/>
      <c r="E241" s="157"/>
      <c r="F241" s="12"/>
      <c r="G241" s="158"/>
    </row>
    <row r="242">
      <c r="A242" s="153"/>
      <c r="B242" s="229"/>
      <c r="C242" s="230"/>
      <c r="D242" s="231"/>
      <c r="E242" s="157"/>
      <c r="F242" s="12"/>
      <c r="G242" s="158"/>
    </row>
    <row r="243">
      <c r="A243" s="153"/>
      <c r="B243" s="229"/>
      <c r="C243" s="230"/>
      <c r="D243" s="231"/>
      <c r="E243" s="157"/>
      <c r="F243" s="12"/>
      <c r="G243" s="158"/>
    </row>
    <row r="244">
      <c r="A244" s="153"/>
      <c r="B244" s="229"/>
      <c r="C244" s="230"/>
      <c r="D244" s="231"/>
      <c r="E244" s="157"/>
      <c r="F244" s="12"/>
      <c r="G244" s="158"/>
    </row>
    <row r="245">
      <c r="A245" s="153"/>
      <c r="B245" s="229"/>
      <c r="C245" s="230"/>
      <c r="D245" s="231"/>
      <c r="E245" s="157"/>
      <c r="F245" s="12"/>
      <c r="G245" s="158"/>
    </row>
    <row r="246">
      <c r="A246" s="153"/>
      <c r="B246" s="229"/>
      <c r="C246" s="230"/>
      <c r="D246" s="231"/>
      <c r="E246" s="157"/>
      <c r="F246" s="12"/>
      <c r="G246" s="158"/>
    </row>
    <row r="247">
      <c r="A247" s="153"/>
      <c r="B247" s="229"/>
      <c r="C247" s="230"/>
      <c r="D247" s="231"/>
      <c r="E247" s="157"/>
      <c r="F247" s="12"/>
      <c r="G247" s="158"/>
    </row>
    <row r="248">
      <c r="A248" s="153"/>
      <c r="B248" s="229"/>
      <c r="C248" s="230"/>
      <c r="D248" s="231"/>
      <c r="E248" s="157"/>
      <c r="F248" s="12"/>
      <c r="G248" s="158"/>
    </row>
    <row r="249">
      <c r="A249" s="153"/>
      <c r="B249" s="229"/>
      <c r="C249" s="230"/>
      <c r="D249" s="231"/>
      <c r="E249" s="157"/>
      <c r="F249" s="12"/>
      <c r="G249" s="158"/>
    </row>
    <row r="250">
      <c r="A250" s="153"/>
      <c r="B250" s="229"/>
      <c r="C250" s="230"/>
      <c r="D250" s="231"/>
      <c r="E250" s="157"/>
      <c r="F250" s="12"/>
      <c r="G250" s="158"/>
    </row>
    <row r="251">
      <c r="A251" s="153"/>
      <c r="B251" s="229"/>
      <c r="C251" s="230"/>
      <c r="D251" s="231"/>
      <c r="E251" s="157"/>
      <c r="F251" s="12"/>
      <c r="G251" s="158"/>
    </row>
    <row r="252">
      <c r="A252" s="153"/>
      <c r="B252" s="229"/>
      <c r="C252" s="230"/>
      <c r="D252" s="231"/>
      <c r="E252" s="157"/>
      <c r="F252" s="12"/>
      <c r="G252" s="158"/>
    </row>
    <row r="253">
      <c r="A253" s="153"/>
      <c r="B253" s="229"/>
      <c r="C253" s="230"/>
      <c r="D253" s="231"/>
      <c r="E253" s="157"/>
      <c r="F253" s="12"/>
      <c r="G253" s="158"/>
    </row>
    <row r="254">
      <c r="A254" s="153"/>
      <c r="B254" s="229"/>
      <c r="C254" s="230"/>
      <c r="D254" s="231"/>
      <c r="E254" s="157"/>
      <c r="F254" s="12"/>
      <c r="G254" s="158"/>
    </row>
    <row r="255">
      <c r="A255" s="153"/>
      <c r="B255" s="229"/>
      <c r="C255" s="230"/>
      <c r="D255" s="231"/>
      <c r="E255" s="157"/>
      <c r="F255" s="12"/>
      <c r="G255" s="158"/>
    </row>
    <row r="256">
      <c r="A256" s="153"/>
      <c r="B256" s="229"/>
      <c r="C256" s="230"/>
      <c r="D256" s="231"/>
      <c r="E256" s="157"/>
      <c r="F256" s="12"/>
      <c r="G256" s="158"/>
    </row>
    <row r="257">
      <c r="A257" s="153"/>
      <c r="B257" s="229"/>
      <c r="C257" s="230"/>
      <c r="D257" s="231"/>
      <c r="E257" s="157"/>
      <c r="F257" s="12"/>
      <c r="G257" s="158"/>
    </row>
    <row r="258">
      <c r="A258" s="153"/>
      <c r="B258" s="229"/>
      <c r="C258" s="230"/>
      <c r="D258" s="231"/>
      <c r="E258" s="157"/>
      <c r="F258" s="12"/>
      <c r="G258" s="158"/>
    </row>
    <row r="259">
      <c r="A259" s="153"/>
      <c r="B259" s="229"/>
      <c r="C259" s="230"/>
      <c r="D259" s="231"/>
      <c r="E259" s="157"/>
      <c r="F259" s="12"/>
      <c r="G259" s="158"/>
    </row>
    <row r="260">
      <c r="A260" s="153"/>
      <c r="B260" s="229"/>
      <c r="C260" s="230"/>
      <c r="D260" s="231"/>
      <c r="E260" s="157"/>
      <c r="F260" s="12"/>
      <c r="G260" s="158"/>
    </row>
    <row r="261">
      <c r="A261" s="153"/>
      <c r="B261" s="229"/>
      <c r="C261" s="230"/>
      <c r="D261" s="231"/>
      <c r="E261" s="157"/>
      <c r="F261" s="12"/>
      <c r="G261" s="158"/>
    </row>
    <row r="262">
      <c r="A262" s="153"/>
      <c r="B262" s="229"/>
      <c r="C262" s="230"/>
      <c r="D262" s="231"/>
      <c r="E262" s="157"/>
      <c r="F262" s="12"/>
      <c r="G262" s="158"/>
    </row>
    <row r="263">
      <c r="A263" s="153"/>
      <c r="B263" s="229"/>
      <c r="C263" s="230"/>
      <c r="D263" s="231"/>
      <c r="E263" s="157"/>
      <c r="F263" s="12"/>
      <c r="G263" s="158"/>
    </row>
    <row r="264">
      <c r="A264" s="153"/>
      <c r="B264" s="229"/>
      <c r="C264" s="230"/>
      <c r="D264" s="231"/>
      <c r="E264" s="157"/>
      <c r="F264" s="12"/>
      <c r="G264" s="158"/>
    </row>
    <row r="265">
      <c r="A265" s="153"/>
      <c r="B265" s="229"/>
      <c r="C265" s="230"/>
      <c r="D265" s="231"/>
      <c r="E265" s="157"/>
      <c r="F265" s="12"/>
      <c r="G265" s="158"/>
    </row>
    <row r="266">
      <c r="A266" s="153"/>
      <c r="B266" s="229"/>
      <c r="C266" s="230"/>
      <c r="D266" s="231"/>
      <c r="E266" s="157"/>
      <c r="F266" s="12"/>
      <c r="G266" s="158"/>
    </row>
    <row r="267">
      <c r="A267" s="153"/>
      <c r="B267" s="229"/>
      <c r="C267" s="230"/>
      <c r="D267" s="231"/>
      <c r="E267" s="157"/>
      <c r="F267" s="12"/>
      <c r="G267" s="158"/>
    </row>
    <row r="268">
      <c r="A268" s="153"/>
      <c r="B268" s="229"/>
      <c r="C268" s="230"/>
      <c r="D268" s="231"/>
      <c r="E268" s="157"/>
      <c r="F268" s="12"/>
      <c r="G268" s="158"/>
    </row>
    <row r="269">
      <c r="A269" s="153"/>
      <c r="B269" s="229"/>
      <c r="C269" s="230"/>
      <c r="D269" s="231"/>
      <c r="E269" s="157"/>
      <c r="F269" s="12"/>
      <c r="G269" s="158"/>
    </row>
    <row r="270">
      <c r="A270" s="153"/>
      <c r="B270" s="229"/>
      <c r="C270" s="230"/>
      <c r="D270" s="231"/>
      <c r="E270" s="157"/>
      <c r="F270" s="12"/>
      <c r="G270" s="158"/>
    </row>
    <row r="271">
      <c r="A271" s="153"/>
      <c r="B271" s="229"/>
      <c r="C271" s="230"/>
      <c r="D271" s="231"/>
      <c r="E271" s="157"/>
      <c r="F271" s="12"/>
      <c r="G271" s="158"/>
    </row>
    <row r="272">
      <c r="A272" s="153"/>
      <c r="B272" s="229"/>
      <c r="C272" s="230"/>
      <c r="D272" s="231"/>
      <c r="E272" s="157"/>
      <c r="F272" s="12"/>
      <c r="G272" s="158"/>
    </row>
    <row r="273">
      <c r="A273" s="153"/>
      <c r="B273" s="229"/>
      <c r="C273" s="230"/>
      <c r="D273" s="231"/>
      <c r="E273" s="157"/>
      <c r="F273" s="12"/>
      <c r="G273" s="158"/>
    </row>
    <row r="274">
      <c r="A274" s="153"/>
      <c r="B274" s="229"/>
      <c r="C274" s="230"/>
      <c r="D274" s="231"/>
      <c r="E274" s="157"/>
      <c r="F274" s="12"/>
      <c r="G274" s="158"/>
    </row>
    <row r="275">
      <c r="A275" s="153"/>
      <c r="B275" s="229"/>
      <c r="C275" s="230"/>
      <c r="D275" s="231"/>
      <c r="E275" s="157"/>
      <c r="F275" s="12"/>
      <c r="G275" s="158"/>
    </row>
    <row r="276">
      <c r="A276" s="153"/>
      <c r="B276" s="229"/>
      <c r="C276" s="230"/>
      <c r="D276" s="231"/>
      <c r="E276" s="157"/>
      <c r="F276" s="12"/>
      <c r="G276" s="158"/>
    </row>
    <row r="277">
      <c r="A277" s="153"/>
      <c r="B277" s="229"/>
      <c r="C277" s="230"/>
      <c r="D277" s="231"/>
      <c r="E277" s="157"/>
      <c r="F277" s="12"/>
      <c r="G277" s="158"/>
    </row>
    <row r="278">
      <c r="A278" s="153"/>
      <c r="B278" s="229"/>
      <c r="C278" s="230"/>
      <c r="D278" s="231"/>
      <c r="E278" s="157"/>
      <c r="F278" s="12"/>
      <c r="G278" s="158"/>
    </row>
    <row r="279">
      <c r="A279" s="153"/>
      <c r="B279" s="229"/>
      <c r="C279" s="230"/>
      <c r="D279" s="231"/>
      <c r="E279" s="157"/>
      <c r="F279" s="12"/>
      <c r="G279" s="158"/>
    </row>
    <row r="280">
      <c r="A280" s="153"/>
      <c r="B280" s="229"/>
      <c r="C280" s="230"/>
      <c r="D280" s="231"/>
      <c r="E280" s="157"/>
      <c r="F280" s="12"/>
      <c r="G280" s="158"/>
    </row>
    <row r="281">
      <c r="A281" s="153"/>
      <c r="B281" s="229"/>
      <c r="C281" s="230"/>
      <c r="D281" s="231"/>
      <c r="E281" s="157"/>
      <c r="F281" s="12"/>
      <c r="G281" s="158"/>
    </row>
    <row r="282">
      <c r="A282" s="153"/>
      <c r="B282" s="229"/>
      <c r="C282" s="230"/>
      <c r="D282" s="231"/>
      <c r="E282" s="157"/>
      <c r="F282" s="12"/>
      <c r="G282" s="158"/>
    </row>
    <row r="283">
      <c r="A283" s="153"/>
      <c r="B283" s="229"/>
      <c r="C283" s="230"/>
      <c r="D283" s="231"/>
      <c r="E283" s="157"/>
      <c r="F283" s="12"/>
      <c r="G283" s="158"/>
    </row>
    <row r="284">
      <c r="A284" s="153"/>
      <c r="B284" s="229"/>
      <c r="C284" s="230"/>
      <c r="D284" s="231"/>
      <c r="E284" s="157"/>
      <c r="F284" s="12"/>
      <c r="G284" s="158"/>
    </row>
    <row r="285">
      <c r="A285" s="153"/>
      <c r="B285" s="229"/>
      <c r="C285" s="230"/>
      <c r="D285" s="231"/>
      <c r="E285" s="157"/>
      <c r="F285" s="12"/>
      <c r="G285" s="158"/>
    </row>
    <row r="286">
      <c r="A286" s="153"/>
      <c r="B286" s="229"/>
      <c r="C286" s="230"/>
      <c r="D286" s="231"/>
      <c r="E286" s="157"/>
      <c r="F286" s="12"/>
      <c r="G286" s="158"/>
    </row>
    <row r="287">
      <c r="A287" s="153"/>
      <c r="B287" s="229"/>
      <c r="C287" s="230"/>
      <c r="D287" s="231"/>
      <c r="E287" s="157"/>
      <c r="F287" s="12"/>
      <c r="G287" s="158"/>
    </row>
    <row r="288">
      <c r="A288" s="153"/>
      <c r="B288" s="229"/>
      <c r="C288" s="230"/>
      <c r="D288" s="231"/>
      <c r="E288" s="157"/>
      <c r="F288" s="12"/>
      <c r="G288" s="158"/>
    </row>
    <row r="289">
      <c r="A289" s="153"/>
      <c r="B289" s="229"/>
      <c r="C289" s="230"/>
      <c r="D289" s="231"/>
      <c r="E289" s="157"/>
      <c r="F289" s="12"/>
      <c r="G289" s="158"/>
    </row>
    <row r="290">
      <c r="A290" s="153"/>
      <c r="B290" s="229"/>
      <c r="C290" s="230"/>
      <c r="D290" s="231"/>
      <c r="E290" s="157"/>
      <c r="F290" s="12"/>
      <c r="G290" s="158"/>
    </row>
    <row r="291">
      <c r="A291" s="153"/>
      <c r="B291" s="229"/>
      <c r="C291" s="230"/>
      <c r="D291" s="231"/>
      <c r="E291" s="157"/>
      <c r="F291" s="12"/>
      <c r="G291" s="158"/>
    </row>
    <row r="292">
      <c r="A292" s="153"/>
      <c r="B292" s="229"/>
      <c r="C292" s="230"/>
      <c r="D292" s="231"/>
      <c r="E292" s="157"/>
      <c r="F292" s="12"/>
      <c r="G292" s="158"/>
    </row>
    <row r="293">
      <c r="A293" s="153"/>
      <c r="B293" s="229"/>
      <c r="C293" s="230"/>
      <c r="D293" s="231"/>
      <c r="E293" s="157"/>
      <c r="F293" s="12"/>
      <c r="G293" s="158"/>
    </row>
    <row r="294">
      <c r="A294" s="153"/>
      <c r="B294" s="229"/>
      <c r="C294" s="230"/>
      <c r="D294" s="231"/>
      <c r="E294" s="157"/>
      <c r="F294" s="12"/>
      <c r="G294" s="158"/>
    </row>
    <row r="295">
      <c r="A295" s="153"/>
      <c r="B295" s="229"/>
      <c r="C295" s="230"/>
      <c r="D295" s="231"/>
      <c r="E295" s="157"/>
      <c r="F295" s="12"/>
      <c r="G295" s="158"/>
    </row>
    <row r="296">
      <c r="A296" s="153"/>
      <c r="B296" s="229"/>
      <c r="C296" s="230"/>
      <c r="D296" s="231"/>
      <c r="E296" s="157"/>
      <c r="F296" s="12"/>
      <c r="G296" s="158"/>
    </row>
    <row r="297">
      <c r="A297" s="153"/>
      <c r="B297" s="229"/>
      <c r="C297" s="230"/>
      <c r="D297" s="231"/>
      <c r="E297" s="157"/>
      <c r="F297" s="12"/>
      <c r="G297" s="158"/>
    </row>
    <row r="298">
      <c r="A298" s="153"/>
      <c r="B298" s="229"/>
      <c r="C298" s="230"/>
      <c r="D298" s="231"/>
      <c r="E298" s="157"/>
      <c r="F298" s="12"/>
      <c r="G298" s="158"/>
    </row>
    <row r="299">
      <c r="A299" s="153"/>
      <c r="B299" s="229"/>
      <c r="C299" s="230"/>
      <c r="D299" s="231"/>
      <c r="E299" s="157"/>
      <c r="F299" s="12"/>
      <c r="G299" s="158"/>
    </row>
    <row r="300">
      <c r="A300" s="153"/>
      <c r="B300" s="229"/>
      <c r="C300" s="230"/>
      <c r="D300" s="231"/>
      <c r="E300" s="157"/>
      <c r="F300" s="12"/>
      <c r="G300" s="158"/>
    </row>
    <row r="301">
      <c r="A301" s="153"/>
      <c r="B301" s="229"/>
      <c r="C301" s="230"/>
      <c r="D301" s="231"/>
      <c r="E301" s="157"/>
      <c r="F301" s="12"/>
      <c r="G301" s="158"/>
    </row>
    <row r="302">
      <c r="A302" s="153"/>
      <c r="B302" s="229"/>
      <c r="C302" s="230"/>
      <c r="D302" s="231"/>
      <c r="E302" s="157"/>
      <c r="F302" s="12"/>
      <c r="G302" s="158"/>
    </row>
    <row r="303">
      <c r="A303" s="153"/>
      <c r="B303" s="229"/>
      <c r="C303" s="230"/>
      <c r="D303" s="231"/>
      <c r="E303" s="157"/>
      <c r="F303" s="12"/>
      <c r="G303" s="158"/>
    </row>
    <row r="304">
      <c r="A304" s="153"/>
      <c r="B304" s="229"/>
      <c r="C304" s="230"/>
      <c r="D304" s="231"/>
      <c r="E304" s="157"/>
      <c r="F304" s="12"/>
      <c r="G304" s="158"/>
    </row>
    <row r="305">
      <c r="A305" s="153"/>
      <c r="B305" s="229"/>
      <c r="C305" s="230"/>
      <c r="D305" s="231"/>
      <c r="E305" s="157"/>
      <c r="F305" s="12"/>
      <c r="G305" s="158"/>
    </row>
    <row r="306">
      <c r="A306" s="153"/>
      <c r="B306" s="229"/>
      <c r="C306" s="230"/>
      <c r="D306" s="231"/>
      <c r="E306" s="157"/>
      <c r="F306" s="12"/>
      <c r="G306" s="158"/>
    </row>
    <row r="307">
      <c r="A307" s="153"/>
      <c r="B307" s="229"/>
      <c r="C307" s="230"/>
      <c r="D307" s="231"/>
      <c r="E307" s="157"/>
      <c r="F307" s="12"/>
      <c r="G307" s="158"/>
    </row>
    <row r="308">
      <c r="A308" s="153"/>
      <c r="B308" s="229"/>
      <c r="C308" s="230"/>
      <c r="D308" s="231"/>
      <c r="E308" s="157"/>
      <c r="F308" s="12"/>
      <c r="G308" s="158"/>
    </row>
    <row r="309">
      <c r="A309" s="153"/>
      <c r="B309" s="229"/>
      <c r="C309" s="230"/>
      <c r="D309" s="231"/>
      <c r="E309" s="157"/>
      <c r="F309" s="12"/>
      <c r="G309" s="158"/>
    </row>
    <row r="310">
      <c r="A310" s="153"/>
      <c r="B310" s="229"/>
      <c r="C310" s="230"/>
      <c r="D310" s="231"/>
      <c r="E310" s="157"/>
      <c r="F310" s="12"/>
      <c r="G310" s="158"/>
    </row>
    <row r="311">
      <c r="A311" s="153"/>
      <c r="B311" s="229"/>
      <c r="C311" s="230"/>
      <c r="D311" s="231"/>
      <c r="E311" s="157"/>
      <c r="F311" s="12"/>
      <c r="G311" s="158"/>
    </row>
    <row r="312">
      <c r="A312" s="153"/>
      <c r="B312" s="229"/>
      <c r="C312" s="230"/>
      <c r="D312" s="231"/>
      <c r="E312" s="157"/>
      <c r="F312" s="12"/>
      <c r="G312" s="158"/>
    </row>
    <row r="313">
      <c r="A313" s="153"/>
      <c r="B313" s="229"/>
      <c r="C313" s="230"/>
      <c r="D313" s="231"/>
      <c r="E313" s="157"/>
      <c r="F313" s="12"/>
      <c r="G313" s="158"/>
    </row>
    <row r="314">
      <c r="A314" s="153"/>
      <c r="B314" s="229"/>
      <c r="C314" s="230"/>
      <c r="D314" s="231"/>
      <c r="E314" s="157"/>
      <c r="F314" s="12"/>
      <c r="G314" s="158"/>
    </row>
    <row r="315">
      <c r="A315" s="153"/>
      <c r="B315" s="229"/>
      <c r="C315" s="230"/>
      <c r="D315" s="231"/>
      <c r="E315" s="157"/>
      <c r="F315" s="12"/>
      <c r="G315" s="158"/>
    </row>
    <row r="316">
      <c r="A316" s="153"/>
      <c r="B316" s="229"/>
      <c r="C316" s="230"/>
      <c r="D316" s="231"/>
      <c r="E316" s="157"/>
      <c r="F316" s="12"/>
      <c r="G316" s="158"/>
    </row>
    <row r="317">
      <c r="A317" s="153"/>
      <c r="B317" s="229"/>
      <c r="C317" s="230"/>
      <c r="D317" s="231"/>
      <c r="E317" s="157"/>
      <c r="F317" s="12"/>
      <c r="G317" s="158"/>
    </row>
    <row r="318">
      <c r="A318" s="153"/>
      <c r="B318" s="229"/>
      <c r="C318" s="230"/>
      <c r="D318" s="231"/>
      <c r="E318" s="157"/>
      <c r="F318" s="12"/>
      <c r="G318" s="158"/>
    </row>
    <row r="319">
      <c r="A319" s="153"/>
      <c r="B319" s="229"/>
      <c r="C319" s="230"/>
      <c r="D319" s="231"/>
      <c r="E319" s="157"/>
      <c r="F319" s="12"/>
      <c r="G319" s="158"/>
    </row>
    <row r="320">
      <c r="A320" s="153"/>
      <c r="B320" s="229"/>
      <c r="C320" s="230"/>
      <c r="D320" s="231"/>
      <c r="E320" s="157"/>
      <c r="F320" s="12"/>
      <c r="G320" s="158"/>
    </row>
    <row r="321">
      <c r="A321" s="153"/>
      <c r="B321" s="229"/>
      <c r="C321" s="230"/>
      <c r="D321" s="231"/>
      <c r="E321" s="157"/>
      <c r="F321" s="12"/>
      <c r="G321" s="158"/>
    </row>
    <row r="322">
      <c r="A322" s="153"/>
      <c r="B322" s="229"/>
      <c r="C322" s="230"/>
      <c r="D322" s="231"/>
      <c r="E322" s="157"/>
      <c r="F322" s="12"/>
      <c r="G322" s="158"/>
    </row>
    <row r="323">
      <c r="A323" s="153"/>
      <c r="B323" s="229"/>
      <c r="C323" s="230"/>
      <c r="D323" s="231"/>
      <c r="E323" s="157"/>
      <c r="F323" s="12"/>
      <c r="G323" s="158"/>
    </row>
    <row r="324">
      <c r="A324" s="153"/>
      <c r="B324" s="229"/>
      <c r="C324" s="230"/>
      <c r="D324" s="231"/>
      <c r="E324" s="157"/>
      <c r="F324" s="12"/>
      <c r="G324" s="158"/>
    </row>
    <row r="325">
      <c r="A325" s="153"/>
      <c r="B325" s="229"/>
      <c r="C325" s="230"/>
      <c r="D325" s="231"/>
      <c r="E325" s="157"/>
      <c r="F325" s="12"/>
      <c r="G325" s="158"/>
    </row>
    <row r="326">
      <c r="A326" s="153"/>
      <c r="B326" s="229"/>
      <c r="C326" s="230"/>
      <c r="D326" s="231"/>
      <c r="E326" s="157"/>
      <c r="F326" s="12"/>
      <c r="G326" s="158"/>
    </row>
    <row r="327">
      <c r="A327" s="153"/>
      <c r="B327" s="229"/>
      <c r="C327" s="230"/>
      <c r="D327" s="231"/>
      <c r="E327" s="157"/>
      <c r="F327" s="12"/>
      <c r="G327" s="158"/>
    </row>
    <row r="328">
      <c r="A328" s="153"/>
      <c r="B328" s="229"/>
      <c r="C328" s="230"/>
      <c r="D328" s="231"/>
      <c r="E328" s="157"/>
      <c r="F328" s="12"/>
      <c r="G328" s="158"/>
    </row>
    <row r="329">
      <c r="A329" s="153"/>
      <c r="B329" s="229"/>
      <c r="C329" s="230"/>
      <c r="D329" s="231"/>
      <c r="E329" s="157"/>
      <c r="F329" s="12"/>
      <c r="G329" s="158"/>
    </row>
    <row r="330">
      <c r="A330" s="153"/>
      <c r="B330" s="229"/>
      <c r="C330" s="230"/>
      <c r="D330" s="231"/>
      <c r="E330" s="157"/>
      <c r="F330" s="12"/>
      <c r="G330" s="158"/>
    </row>
    <row r="331">
      <c r="A331" s="153"/>
      <c r="B331" s="229"/>
      <c r="C331" s="230"/>
      <c r="D331" s="231"/>
      <c r="E331" s="157"/>
      <c r="F331" s="12"/>
      <c r="G331" s="158"/>
    </row>
    <row r="332">
      <c r="A332" s="153"/>
      <c r="B332" s="229"/>
      <c r="C332" s="230"/>
      <c r="D332" s="231"/>
      <c r="E332" s="157"/>
      <c r="F332" s="12"/>
      <c r="G332" s="158"/>
    </row>
    <row r="333">
      <c r="A333" s="153"/>
      <c r="B333" s="229"/>
      <c r="C333" s="230"/>
      <c r="D333" s="231"/>
      <c r="E333" s="157"/>
      <c r="F333" s="12"/>
      <c r="G333" s="158"/>
    </row>
    <row r="334">
      <c r="A334" s="153"/>
      <c r="B334" s="229"/>
      <c r="C334" s="230"/>
      <c r="D334" s="231"/>
      <c r="E334" s="157"/>
      <c r="F334" s="12"/>
      <c r="G334" s="158"/>
    </row>
    <row r="335">
      <c r="A335" s="153"/>
      <c r="B335" s="229"/>
      <c r="C335" s="230"/>
      <c r="D335" s="231"/>
      <c r="E335" s="157"/>
      <c r="F335" s="12"/>
      <c r="G335" s="158"/>
    </row>
    <row r="336">
      <c r="A336" s="153"/>
      <c r="B336" s="229"/>
      <c r="C336" s="230"/>
      <c r="D336" s="231"/>
      <c r="E336" s="157"/>
      <c r="F336" s="12"/>
      <c r="G336" s="158"/>
    </row>
    <row r="337">
      <c r="A337" s="153"/>
      <c r="B337" s="229"/>
      <c r="C337" s="230"/>
      <c r="D337" s="231"/>
      <c r="E337" s="157"/>
      <c r="F337" s="12"/>
      <c r="G337" s="158"/>
    </row>
    <row r="338">
      <c r="A338" s="153"/>
      <c r="B338" s="229"/>
      <c r="C338" s="230"/>
      <c r="D338" s="231"/>
      <c r="E338" s="157"/>
      <c r="F338" s="12"/>
      <c r="G338" s="158"/>
    </row>
    <row r="339">
      <c r="A339" s="153"/>
      <c r="B339" s="229"/>
      <c r="C339" s="230"/>
      <c r="D339" s="231"/>
      <c r="E339" s="157"/>
      <c r="F339" s="12"/>
      <c r="G339" s="158"/>
    </row>
    <row r="340">
      <c r="A340" s="153"/>
      <c r="B340" s="229"/>
      <c r="C340" s="230"/>
      <c r="D340" s="231"/>
      <c r="E340" s="157"/>
      <c r="F340" s="12"/>
      <c r="G340" s="158"/>
    </row>
    <row r="341">
      <c r="A341" s="153"/>
      <c r="B341" s="229"/>
      <c r="C341" s="230"/>
      <c r="D341" s="231"/>
      <c r="E341" s="157"/>
      <c r="F341" s="12"/>
      <c r="G341" s="158"/>
    </row>
    <row r="342">
      <c r="A342" s="153"/>
      <c r="B342" s="229"/>
      <c r="C342" s="230"/>
      <c r="D342" s="231"/>
      <c r="E342" s="157"/>
      <c r="F342" s="12"/>
      <c r="G342" s="158"/>
    </row>
    <row r="343">
      <c r="A343" s="153"/>
      <c r="B343" s="229"/>
      <c r="C343" s="230"/>
      <c r="D343" s="231"/>
      <c r="E343" s="157"/>
      <c r="F343" s="12"/>
      <c r="G343" s="158"/>
    </row>
    <row r="344">
      <c r="A344" s="153"/>
      <c r="B344" s="229"/>
      <c r="C344" s="230"/>
      <c r="D344" s="231"/>
      <c r="E344" s="157"/>
      <c r="F344" s="12"/>
      <c r="G344" s="158"/>
    </row>
    <row r="345">
      <c r="A345" s="153"/>
      <c r="B345" s="229"/>
      <c r="C345" s="230"/>
      <c r="D345" s="231"/>
      <c r="E345" s="157"/>
      <c r="F345" s="12"/>
      <c r="G345" s="158"/>
    </row>
    <row r="346">
      <c r="A346" s="153"/>
      <c r="B346" s="229"/>
      <c r="C346" s="230"/>
      <c r="D346" s="231"/>
      <c r="E346" s="157"/>
      <c r="F346" s="12"/>
      <c r="G346" s="158"/>
    </row>
    <row r="347">
      <c r="A347" s="153"/>
      <c r="B347" s="229"/>
      <c r="C347" s="230"/>
      <c r="D347" s="231"/>
      <c r="E347" s="157"/>
      <c r="F347" s="12"/>
      <c r="G347" s="158"/>
    </row>
    <row r="348">
      <c r="A348" s="153"/>
      <c r="B348" s="229"/>
      <c r="C348" s="230"/>
      <c r="D348" s="231"/>
      <c r="E348" s="157"/>
      <c r="F348" s="12"/>
      <c r="G348" s="158"/>
    </row>
    <row r="349">
      <c r="A349" s="153"/>
      <c r="B349" s="229"/>
      <c r="C349" s="230"/>
      <c r="D349" s="231"/>
      <c r="E349" s="157"/>
      <c r="F349" s="12"/>
      <c r="G349" s="158"/>
    </row>
    <row r="350">
      <c r="A350" s="153"/>
      <c r="B350" s="229"/>
      <c r="C350" s="230"/>
      <c r="D350" s="231"/>
      <c r="E350" s="157"/>
      <c r="F350" s="12"/>
      <c r="G350" s="158"/>
    </row>
    <row r="351">
      <c r="A351" s="153"/>
      <c r="B351" s="229"/>
      <c r="C351" s="230"/>
      <c r="D351" s="231"/>
      <c r="E351" s="157"/>
      <c r="F351" s="12"/>
      <c r="G351" s="158"/>
    </row>
    <row r="352">
      <c r="A352" s="153"/>
      <c r="B352" s="229"/>
      <c r="C352" s="230"/>
      <c r="D352" s="231"/>
      <c r="E352" s="157"/>
      <c r="F352" s="12"/>
      <c r="G352" s="158"/>
    </row>
    <row r="353">
      <c r="A353" s="153"/>
      <c r="B353" s="229"/>
      <c r="C353" s="230"/>
      <c r="D353" s="231"/>
      <c r="E353" s="157"/>
      <c r="F353" s="12"/>
      <c r="G353" s="158"/>
    </row>
    <row r="354">
      <c r="A354" s="153"/>
      <c r="B354" s="229"/>
      <c r="C354" s="230"/>
      <c r="D354" s="231"/>
      <c r="E354" s="157"/>
      <c r="F354" s="12"/>
      <c r="G354" s="158"/>
    </row>
    <row r="355">
      <c r="A355" s="153"/>
      <c r="B355" s="229"/>
      <c r="C355" s="230"/>
      <c r="D355" s="231"/>
      <c r="E355" s="157"/>
      <c r="F355" s="12"/>
      <c r="G355" s="158"/>
    </row>
    <row r="356">
      <c r="A356" s="153"/>
      <c r="B356" s="229"/>
      <c r="C356" s="230"/>
      <c r="D356" s="231"/>
      <c r="E356" s="157"/>
      <c r="F356" s="12"/>
      <c r="G356" s="158"/>
    </row>
    <row r="357">
      <c r="A357" s="153"/>
      <c r="B357" s="229"/>
      <c r="C357" s="230"/>
      <c r="D357" s="231"/>
      <c r="E357" s="157"/>
      <c r="F357" s="12"/>
      <c r="G357" s="158"/>
    </row>
    <row r="358">
      <c r="A358" s="153"/>
      <c r="B358" s="229"/>
      <c r="C358" s="230"/>
      <c r="D358" s="231"/>
      <c r="E358" s="157"/>
      <c r="F358" s="12"/>
      <c r="G358" s="158"/>
    </row>
    <row r="359">
      <c r="A359" s="153"/>
      <c r="B359" s="229"/>
      <c r="C359" s="230"/>
      <c r="D359" s="231"/>
      <c r="E359" s="157"/>
      <c r="F359" s="12"/>
      <c r="G359" s="158"/>
    </row>
    <row r="360">
      <c r="A360" s="153"/>
      <c r="B360" s="229"/>
      <c r="C360" s="230"/>
      <c r="D360" s="231"/>
      <c r="E360" s="157"/>
      <c r="F360" s="12"/>
      <c r="G360" s="158"/>
    </row>
    <row r="361">
      <c r="A361" s="153"/>
      <c r="B361" s="229"/>
      <c r="C361" s="230"/>
      <c r="D361" s="231"/>
      <c r="E361" s="157"/>
      <c r="F361" s="12"/>
      <c r="G361" s="158"/>
    </row>
    <row r="362">
      <c r="A362" s="153"/>
      <c r="B362" s="229"/>
      <c r="C362" s="230"/>
      <c r="D362" s="231"/>
      <c r="E362" s="157"/>
      <c r="F362" s="12"/>
      <c r="G362" s="158"/>
    </row>
    <row r="363">
      <c r="A363" s="153"/>
      <c r="B363" s="229"/>
      <c r="C363" s="230"/>
      <c r="D363" s="231"/>
      <c r="E363" s="157"/>
      <c r="F363" s="12"/>
      <c r="G363" s="158"/>
    </row>
    <row r="364">
      <c r="A364" s="153"/>
      <c r="B364" s="229"/>
      <c r="C364" s="230"/>
      <c r="D364" s="231"/>
      <c r="E364" s="157"/>
      <c r="F364" s="12"/>
      <c r="G364" s="158"/>
    </row>
    <row r="365">
      <c r="A365" s="153"/>
      <c r="B365" s="229"/>
      <c r="C365" s="230"/>
      <c r="D365" s="231"/>
      <c r="E365" s="157"/>
      <c r="F365" s="12"/>
      <c r="G365" s="158"/>
    </row>
    <row r="366">
      <c r="A366" s="153"/>
      <c r="B366" s="229"/>
      <c r="C366" s="230"/>
      <c r="D366" s="231"/>
      <c r="E366" s="157"/>
      <c r="F366" s="12"/>
      <c r="G366" s="158"/>
    </row>
    <row r="367">
      <c r="A367" s="153"/>
      <c r="B367" s="229"/>
      <c r="C367" s="230"/>
      <c r="D367" s="231"/>
      <c r="E367" s="157"/>
      <c r="F367" s="12"/>
      <c r="G367" s="158"/>
    </row>
    <row r="368">
      <c r="A368" s="153"/>
      <c r="B368" s="229"/>
      <c r="C368" s="230"/>
      <c r="D368" s="231"/>
      <c r="E368" s="157"/>
      <c r="F368" s="12"/>
      <c r="G368" s="158"/>
    </row>
    <row r="369">
      <c r="A369" s="153"/>
      <c r="B369" s="229"/>
      <c r="C369" s="230"/>
      <c r="D369" s="231"/>
      <c r="E369" s="157"/>
      <c r="F369" s="12"/>
      <c r="G369" s="158"/>
    </row>
    <row r="370">
      <c r="A370" s="153"/>
      <c r="B370" s="229"/>
      <c r="C370" s="230"/>
      <c r="D370" s="231"/>
      <c r="E370" s="157"/>
      <c r="F370" s="12"/>
      <c r="G370" s="158"/>
    </row>
    <row r="371">
      <c r="A371" s="153"/>
      <c r="B371" s="229"/>
      <c r="C371" s="230"/>
      <c r="D371" s="231"/>
      <c r="E371" s="157"/>
      <c r="F371" s="12"/>
      <c r="G371" s="158"/>
    </row>
    <row r="372">
      <c r="A372" s="153"/>
      <c r="B372" s="229"/>
      <c r="C372" s="230"/>
      <c r="D372" s="231"/>
      <c r="E372" s="157"/>
      <c r="F372" s="12"/>
      <c r="G372" s="158"/>
    </row>
    <row r="373">
      <c r="A373" s="153"/>
      <c r="B373" s="229"/>
      <c r="C373" s="230"/>
      <c r="D373" s="231"/>
      <c r="E373" s="157"/>
      <c r="F373" s="12"/>
      <c r="G373" s="158"/>
    </row>
    <row r="374">
      <c r="A374" s="153"/>
      <c r="B374" s="229"/>
      <c r="C374" s="230"/>
      <c r="D374" s="231"/>
      <c r="E374" s="157"/>
      <c r="F374" s="12"/>
      <c r="G374" s="158"/>
    </row>
    <row r="375">
      <c r="A375" s="153"/>
      <c r="B375" s="229"/>
      <c r="C375" s="230"/>
      <c r="D375" s="231"/>
      <c r="E375" s="157"/>
      <c r="F375" s="12"/>
      <c r="G375" s="158"/>
    </row>
    <row r="376">
      <c r="A376" s="153"/>
      <c r="B376" s="229"/>
      <c r="C376" s="230"/>
      <c r="D376" s="231"/>
      <c r="E376" s="157"/>
      <c r="F376" s="12"/>
      <c r="G376" s="158"/>
    </row>
    <row r="377">
      <c r="A377" s="153"/>
      <c r="B377" s="229"/>
      <c r="C377" s="230"/>
      <c r="D377" s="231"/>
      <c r="E377" s="157"/>
      <c r="F377" s="12"/>
      <c r="G377" s="158"/>
    </row>
    <row r="378">
      <c r="A378" s="153"/>
      <c r="B378" s="229"/>
      <c r="C378" s="230"/>
      <c r="D378" s="231"/>
      <c r="E378" s="157"/>
      <c r="F378" s="12"/>
      <c r="G378" s="158"/>
    </row>
    <row r="379">
      <c r="A379" s="153"/>
      <c r="B379" s="229"/>
      <c r="C379" s="230"/>
      <c r="D379" s="231"/>
      <c r="E379" s="157"/>
      <c r="F379" s="12"/>
      <c r="G379" s="158"/>
    </row>
    <row r="380">
      <c r="A380" s="153"/>
      <c r="B380" s="229"/>
      <c r="C380" s="230"/>
      <c r="D380" s="231"/>
      <c r="E380" s="157"/>
      <c r="F380" s="12"/>
      <c r="G380" s="158"/>
    </row>
    <row r="381">
      <c r="A381" s="153"/>
      <c r="B381" s="229"/>
      <c r="C381" s="230"/>
      <c r="D381" s="231"/>
      <c r="E381" s="157"/>
      <c r="F381" s="12"/>
      <c r="G381" s="158"/>
    </row>
    <row r="382">
      <c r="A382" s="153"/>
      <c r="B382" s="229"/>
      <c r="C382" s="230"/>
      <c r="D382" s="231"/>
      <c r="E382" s="157"/>
      <c r="F382" s="12"/>
      <c r="G382" s="158"/>
    </row>
    <row r="383">
      <c r="A383" s="153"/>
      <c r="B383" s="229"/>
      <c r="C383" s="230"/>
      <c r="D383" s="231"/>
      <c r="E383" s="157"/>
      <c r="F383" s="12"/>
      <c r="G383" s="158"/>
    </row>
    <row r="384">
      <c r="A384" s="153"/>
      <c r="B384" s="229"/>
      <c r="C384" s="230"/>
      <c r="D384" s="231"/>
      <c r="E384" s="157"/>
      <c r="F384" s="12"/>
      <c r="G384" s="158"/>
    </row>
    <row r="385">
      <c r="A385" s="153"/>
      <c r="B385" s="229"/>
      <c r="C385" s="230"/>
      <c r="D385" s="231"/>
      <c r="E385" s="157"/>
      <c r="F385" s="12"/>
      <c r="G385" s="158"/>
    </row>
    <row r="386">
      <c r="A386" s="153"/>
      <c r="B386" s="229"/>
      <c r="C386" s="230"/>
      <c r="D386" s="231"/>
      <c r="E386" s="157"/>
      <c r="F386" s="12"/>
      <c r="G386" s="158"/>
    </row>
    <row r="387">
      <c r="A387" s="153"/>
      <c r="B387" s="229"/>
      <c r="C387" s="230"/>
      <c r="D387" s="231"/>
      <c r="E387" s="157"/>
      <c r="F387" s="12"/>
      <c r="G387" s="158"/>
    </row>
    <row r="388">
      <c r="A388" s="153"/>
      <c r="B388" s="229"/>
      <c r="C388" s="230"/>
      <c r="D388" s="231"/>
      <c r="E388" s="157"/>
      <c r="F388" s="12"/>
      <c r="G388" s="158"/>
    </row>
    <row r="389">
      <c r="A389" s="153"/>
      <c r="B389" s="229"/>
      <c r="C389" s="230"/>
      <c r="D389" s="231"/>
      <c r="E389" s="157"/>
      <c r="F389" s="12"/>
      <c r="G389" s="158"/>
    </row>
    <row r="390">
      <c r="A390" s="153"/>
      <c r="B390" s="229"/>
      <c r="C390" s="230"/>
      <c r="D390" s="231"/>
      <c r="E390" s="157"/>
      <c r="F390" s="12"/>
      <c r="G390" s="158"/>
    </row>
    <row r="391">
      <c r="A391" s="153"/>
      <c r="B391" s="229"/>
      <c r="C391" s="230"/>
      <c r="D391" s="231"/>
      <c r="E391" s="157"/>
      <c r="F391" s="12"/>
      <c r="G391" s="158"/>
    </row>
    <row r="392">
      <c r="A392" s="153"/>
      <c r="B392" s="229"/>
      <c r="C392" s="230"/>
      <c r="D392" s="231"/>
      <c r="E392" s="157"/>
      <c r="F392" s="12"/>
      <c r="G392" s="158"/>
    </row>
    <row r="393">
      <c r="A393" s="153"/>
      <c r="B393" s="229"/>
      <c r="C393" s="230"/>
      <c r="D393" s="231"/>
      <c r="E393" s="157"/>
      <c r="F393" s="12"/>
      <c r="G393" s="158"/>
    </row>
    <row r="394">
      <c r="A394" s="153"/>
      <c r="B394" s="229"/>
      <c r="C394" s="230"/>
      <c r="D394" s="231"/>
      <c r="E394" s="157"/>
      <c r="F394" s="12"/>
      <c r="G394" s="158"/>
    </row>
    <row r="395">
      <c r="A395" s="153"/>
      <c r="B395" s="229"/>
      <c r="C395" s="230"/>
      <c r="D395" s="231"/>
      <c r="E395" s="157"/>
      <c r="F395" s="12"/>
      <c r="G395" s="158"/>
    </row>
    <row r="396">
      <c r="A396" s="153"/>
      <c r="B396" s="229"/>
      <c r="C396" s="230"/>
      <c r="D396" s="231"/>
      <c r="E396" s="157"/>
      <c r="F396" s="12"/>
      <c r="G396" s="158"/>
    </row>
    <row r="397">
      <c r="A397" s="153"/>
      <c r="B397" s="229"/>
      <c r="C397" s="230"/>
      <c r="D397" s="231"/>
      <c r="E397" s="157"/>
      <c r="F397" s="12"/>
      <c r="G397" s="158"/>
    </row>
    <row r="398">
      <c r="A398" s="153"/>
      <c r="B398" s="229"/>
      <c r="C398" s="230"/>
      <c r="D398" s="231"/>
      <c r="E398" s="157"/>
      <c r="F398" s="12"/>
      <c r="G398" s="158"/>
    </row>
    <row r="399">
      <c r="A399" s="153"/>
      <c r="B399" s="229"/>
      <c r="C399" s="230"/>
      <c r="D399" s="231"/>
      <c r="E399" s="157"/>
      <c r="F399" s="12"/>
      <c r="G399" s="158"/>
    </row>
    <row r="400">
      <c r="A400" s="153"/>
      <c r="B400" s="229"/>
      <c r="C400" s="230"/>
      <c r="D400" s="231"/>
      <c r="E400" s="157"/>
      <c r="F400" s="12"/>
      <c r="G400" s="158"/>
    </row>
    <row r="401">
      <c r="A401" s="153"/>
      <c r="B401" s="229"/>
      <c r="C401" s="230"/>
      <c r="D401" s="231"/>
      <c r="E401" s="157"/>
      <c r="F401" s="12"/>
      <c r="G401" s="158"/>
    </row>
    <row r="402">
      <c r="A402" s="153"/>
      <c r="B402" s="229"/>
      <c r="C402" s="230"/>
      <c r="D402" s="231"/>
      <c r="E402" s="157"/>
      <c r="F402" s="12"/>
      <c r="G402" s="158"/>
    </row>
    <row r="403">
      <c r="A403" s="153"/>
      <c r="B403" s="229"/>
      <c r="C403" s="230"/>
      <c r="D403" s="231"/>
      <c r="E403" s="157"/>
      <c r="F403" s="12"/>
      <c r="G403" s="158"/>
    </row>
    <row r="404">
      <c r="A404" s="153"/>
      <c r="B404" s="229"/>
      <c r="C404" s="230"/>
      <c r="D404" s="231"/>
      <c r="E404" s="157"/>
      <c r="F404" s="12"/>
      <c r="G404" s="158"/>
    </row>
    <row r="405">
      <c r="A405" s="153"/>
      <c r="B405" s="229"/>
      <c r="C405" s="230"/>
      <c r="D405" s="231"/>
      <c r="E405" s="157"/>
      <c r="F405" s="12"/>
      <c r="G405" s="158"/>
    </row>
    <row r="406">
      <c r="A406" s="153"/>
      <c r="B406" s="229"/>
      <c r="C406" s="230"/>
      <c r="D406" s="231"/>
      <c r="E406" s="157"/>
      <c r="F406" s="12"/>
      <c r="G406" s="158"/>
    </row>
    <row r="407">
      <c r="A407" s="153"/>
      <c r="B407" s="229"/>
      <c r="C407" s="230"/>
      <c r="D407" s="231"/>
      <c r="E407" s="157"/>
      <c r="F407" s="12"/>
      <c r="G407" s="158"/>
    </row>
    <row r="408">
      <c r="A408" s="153"/>
      <c r="B408" s="229"/>
      <c r="C408" s="230"/>
      <c r="D408" s="231"/>
      <c r="E408" s="157"/>
      <c r="F408" s="12"/>
      <c r="G408" s="158"/>
    </row>
    <row r="409">
      <c r="A409" s="153"/>
      <c r="B409" s="229"/>
      <c r="C409" s="230"/>
      <c r="D409" s="231"/>
      <c r="E409" s="157"/>
      <c r="F409" s="12"/>
      <c r="G409" s="158"/>
    </row>
    <row r="410">
      <c r="A410" s="153"/>
      <c r="B410" s="229"/>
      <c r="C410" s="230"/>
      <c r="D410" s="231"/>
      <c r="E410" s="157"/>
      <c r="F410" s="12"/>
      <c r="G410" s="158"/>
    </row>
    <row r="411">
      <c r="A411" s="153"/>
      <c r="B411" s="229"/>
      <c r="C411" s="230"/>
      <c r="D411" s="231"/>
      <c r="E411" s="157"/>
      <c r="F411" s="12"/>
      <c r="G411" s="158"/>
    </row>
    <row r="412">
      <c r="A412" s="153"/>
      <c r="B412" s="229"/>
      <c r="C412" s="230"/>
      <c r="D412" s="231"/>
      <c r="E412" s="157"/>
      <c r="F412" s="12"/>
      <c r="G412" s="158"/>
    </row>
    <row r="413">
      <c r="A413" s="153"/>
      <c r="B413" s="229"/>
      <c r="C413" s="230"/>
      <c r="D413" s="231"/>
      <c r="E413" s="157"/>
      <c r="F413" s="12"/>
      <c r="G413" s="158"/>
    </row>
    <row r="414">
      <c r="A414" s="153"/>
      <c r="B414" s="229"/>
      <c r="C414" s="230"/>
      <c r="D414" s="231"/>
      <c r="E414" s="157"/>
      <c r="F414" s="12"/>
      <c r="G414" s="158"/>
    </row>
    <row r="415">
      <c r="A415" s="153"/>
      <c r="B415" s="229"/>
      <c r="C415" s="230"/>
      <c r="D415" s="231"/>
      <c r="E415" s="157"/>
      <c r="F415" s="12"/>
      <c r="G415" s="158"/>
    </row>
    <row r="416">
      <c r="A416" s="153"/>
      <c r="B416" s="229"/>
      <c r="C416" s="230"/>
      <c r="D416" s="231"/>
      <c r="E416" s="157"/>
      <c r="F416" s="12"/>
      <c r="G416" s="158"/>
    </row>
    <row r="417">
      <c r="A417" s="153"/>
      <c r="B417" s="229"/>
      <c r="C417" s="230"/>
      <c r="D417" s="231"/>
      <c r="E417" s="157"/>
      <c r="F417" s="12"/>
      <c r="G417" s="158"/>
    </row>
    <row r="418">
      <c r="A418" s="153"/>
      <c r="B418" s="229"/>
      <c r="C418" s="230"/>
      <c r="D418" s="231"/>
      <c r="E418" s="157"/>
      <c r="F418" s="12"/>
      <c r="G418" s="158"/>
    </row>
    <row r="419">
      <c r="A419" s="153"/>
      <c r="B419" s="229"/>
      <c r="C419" s="230"/>
      <c r="D419" s="231"/>
      <c r="E419" s="157"/>
      <c r="F419" s="12"/>
      <c r="G419" s="158"/>
    </row>
    <row r="420">
      <c r="A420" s="153"/>
      <c r="B420" s="229"/>
      <c r="C420" s="230"/>
      <c r="D420" s="231"/>
      <c r="E420" s="157"/>
      <c r="F420" s="12"/>
      <c r="G420" s="158"/>
    </row>
    <row r="421">
      <c r="A421" s="153"/>
      <c r="B421" s="229"/>
      <c r="C421" s="230"/>
      <c r="D421" s="231"/>
      <c r="E421" s="157"/>
      <c r="F421" s="12"/>
      <c r="G421" s="158"/>
    </row>
    <row r="422">
      <c r="A422" s="153"/>
      <c r="B422" s="229"/>
      <c r="C422" s="230"/>
      <c r="D422" s="231"/>
      <c r="E422" s="157"/>
      <c r="F422" s="12"/>
      <c r="G422" s="158"/>
    </row>
    <row r="423">
      <c r="A423" s="153"/>
      <c r="B423" s="229"/>
      <c r="C423" s="230"/>
      <c r="D423" s="231"/>
      <c r="E423" s="157"/>
      <c r="F423" s="12"/>
      <c r="G423" s="158"/>
    </row>
    <row r="424">
      <c r="A424" s="153"/>
      <c r="B424" s="229"/>
      <c r="C424" s="230"/>
      <c r="D424" s="231"/>
      <c r="E424" s="157"/>
      <c r="F424" s="12"/>
      <c r="G424" s="158"/>
    </row>
    <row r="425">
      <c r="A425" s="153"/>
      <c r="B425" s="229"/>
      <c r="C425" s="230"/>
      <c r="D425" s="231"/>
      <c r="E425" s="157"/>
      <c r="F425" s="12"/>
      <c r="G425" s="158"/>
    </row>
    <row r="426">
      <c r="A426" s="153"/>
      <c r="B426" s="229"/>
      <c r="C426" s="230"/>
      <c r="D426" s="231"/>
      <c r="E426" s="157"/>
      <c r="F426" s="12"/>
      <c r="G426" s="158"/>
    </row>
    <row r="427">
      <c r="A427" s="153"/>
      <c r="B427" s="229"/>
      <c r="C427" s="230"/>
      <c r="D427" s="231"/>
      <c r="E427" s="157"/>
      <c r="F427" s="12"/>
      <c r="G427" s="158"/>
    </row>
    <row r="428">
      <c r="A428" s="153"/>
      <c r="B428" s="229"/>
      <c r="C428" s="230"/>
      <c r="D428" s="231"/>
      <c r="E428" s="157"/>
      <c r="F428" s="12"/>
      <c r="G428" s="158"/>
    </row>
    <row r="429">
      <c r="A429" s="153"/>
      <c r="B429" s="229"/>
      <c r="C429" s="230"/>
      <c r="D429" s="231"/>
      <c r="E429" s="157"/>
      <c r="F429" s="12"/>
      <c r="G429" s="158"/>
    </row>
    <row r="430">
      <c r="A430" s="153"/>
      <c r="B430" s="229"/>
      <c r="C430" s="230"/>
      <c r="D430" s="231"/>
      <c r="E430" s="157"/>
      <c r="F430" s="12"/>
      <c r="G430" s="158"/>
    </row>
    <row r="431">
      <c r="A431" s="153"/>
      <c r="B431" s="229"/>
      <c r="C431" s="230"/>
      <c r="D431" s="231"/>
      <c r="E431" s="157"/>
      <c r="F431" s="12"/>
      <c r="G431" s="158"/>
    </row>
    <row r="432">
      <c r="A432" s="153"/>
      <c r="B432" s="229"/>
      <c r="C432" s="230"/>
      <c r="D432" s="231"/>
      <c r="E432" s="157"/>
      <c r="F432" s="12"/>
      <c r="G432" s="158"/>
    </row>
    <row r="433">
      <c r="A433" s="153"/>
      <c r="B433" s="229"/>
      <c r="C433" s="230"/>
      <c r="D433" s="231"/>
      <c r="E433" s="157"/>
      <c r="F433" s="12"/>
      <c r="G433" s="158"/>
    </row>
    <row r="434">
      <c r="A434" s="153"/>
      <c r="B434" s="229"/>
      <c r="C434" s="230"/>
      <c r="D434" s="231"/>
      <c r="E434" s="157"/>
      <c r="F434" s="12"/>
      <c r="G434" s="158"/>
    </row>
    <row r="435">
      <c r="A435" s="153"/>
      <c r="B435" s="229"/>
      <c r="C435" s="230"/>
      <c r="D435" s="231"/>
      <c r="E435" s="157"/>
      <c r="F435" s="12"/>
      <c r="G435" s="158"/>
    </row>
    <row r="436">
      <c r="A436" s="153"/>
      <c r="B436" s="229"/>
      <c r="C436" s="230"/>
      <c r="D436" s="231"/>
      <c r="E436" s="157"/>
      <c r="F436" s="12"/>
      <c r="G436" s="158"/>
    </row>
    <row r="437">
      <c r="A437" s="153"/>
      <c r="B437" s="229"/>
      <c r="C437" s="230"/>
      <c r="D437" s="231"/>
      <c r="E437" s="157"/>
      <c r="F437" s="12"/>
      <c r="G437" s="158"/>
    </row>
    <row r="438">
      <c r="A438" s="153"/>
      <c r="B438" s="229"/>
      <c r="C438" s="230"/>
      <c r="D438" s="231"/>
      <c r="E438" s="157"/>
      <c r="F438" s="12"/>
      <c r="G438" s="158"/>
    </row>
    <row r="439">
      <c r="A439" s="153"/>
      <c r="B439" s="229"/>
      <c r="C439" s="230"/>
      <c r="D439" s="231"/>
      <c r="E439" s="157"/>
      <c r="F439" s="12"/>
      <c r="G439" s="158"/>
    </row>
    <row r="440">
      <c r="A440" s="153"/>
      <c r="B440" s="229"/>
      <c r="C440" s="230"/>
      <c r="D440" s="231"/>
      <c r="E440" s="157"/>
      <c r="F440" s="12"/>
      <c r="G440" s="158"/>
    </row>
    <row r="441">
      <c r="A441" s="153"/>
      <c r="B441" s="229"/>
      <c r="C441" s="230"/>
      <c r="D441" s="231"/>
      <c r="E441" s="157"/>
      <c r="F441" s="12"/>
      <c r="G441" s="158"/>
    </row>
    <row r="442">
      <c r="A442" s="153"/>
      <c r="B442" s="229"/>
      <c r="C442" s="230"/>
      <c r="D442" s="231"/>
      <c r="E442" s="157"/>
      <c r="F442" s="12"/>
      <c r="G442" s="158"/>
    </row>
    <row r="443">
      <c r="A443" s="153"/>
      <c r="B443" s="229"/>
      <c r="C443" s="230"/>
      <c r="D443" s="231"/>
      <c r="E443" s="157"/>
      <c r="F443" s="12"/>
      <c r="G443" s="158"/>
    </row>
    <row r="444">
      <c r="A444" s="153"/>
      <c r="B444" s="229"/>
      <c r="C444" s="230"/>
      <c r="D444" s="231"/>
      <c r="E444" s="157"/>
      <c r="F444" s="12"/>
      <c r="G444" s="158"/>
    </row>
    <row r="445">
      <c r="A445" s="153"/>
      <c r="B445" s="229"/>
      <c r="C445" s="230"/>
      <c r="D445" s="231"/>
      <c r="E445" s="157"/>
      <c r="F445" s="12"/>
      <c r="G445" s="158"/>
    </row>
    <row r="446">
      <c r="A446" s="153"/>
      <c r="B446" s="229"/>
      <c r="C446" s="230"/>
      <c r="D446" s="231"/>
      <c r="E446" s="157"/>
      <c r="F446" s="12"/>
      <c r="G446" s="158"/>
    </row>
    <row r="447">
      <c r="A447" s="153"/>
      <c r="B447" s="229"/>
      <c r="C447" s="230"/>
      <c r="D447" s="231"/>
      <c r="E447" s="157"/>
      <c r="F447" s="12"/>
      <c r="G447" s="158"/>
    </row>
    <row r="448">
      <c r="A448" s="153"/>
      <c r="B448" s="229"/>
      <c r="C448" s="230"/>
      <c r="D448" s="231"/>
      <c r="E448" s="157"/>
      <c r="F448" s="12"/>
      <c r="G448" s="158"/>
    </row>
    <row r="449">
      <c r="A449" s="153"/>
      <c r="B449" s="229"/>
      <c r="C449" s="230"/>
      <c r="D449" s="231"/>
      <c r="E449" s="157"/>
      <c r="F449" s="12"/>
      <c r="G449" s="158"/>
    </row>
    <row r="450">
      <c r="A450" s="153"/>
      <c r="B450" s="229"/>
      <c r="C450" s="230"/>
      <c r="D450" s="231"/>
      <c r="E450" s="157"/>
      <c r="F450" s="12"/>
      <c r="G450" s="158"/>
    </row>
    <row r="451">
      <c r="A451" s="153"/>
      <c r="B451" s="229"/>
      <c r="C451" s="230"/>
      <c r="D451" s="231"/>
      <c r="E451" s="157"/>
      <c r="F451" s="12"/>
      <c r="G451" s="158"/>
    </row>
    <row r="452">
      <c r="A452" s="153"/>
      <c r="B452" s="229"/>
      <c r="C452" s="230"/>
      <c r="D452" s="231"/>
      <c r="E452" s="157"/>
      <c r="F452" s="12"/>
      <c r="G452" s="158"/>
    </row>
    <row r="453">
      <c r="A453" s="153"/>
      <c r="B453" s="229"/>
      <c r="C453" s="230"/>
      <c r="D453" s="231"/>
      <c r="E453" s="157"/>
      <c r="F453" s="12"/>
      <c r="G453" s="158"/>
    </row>
    <row r="454">
      <c r="A454" s="153"/>
      <c r="B454" s="229"/>
      <c r="C454" s="230"/>
      <c r="D454" s="231"/>
      <c r="E454" s="157"/>
      <c r="F454" s="12"/>
      <c r="G454" s="158"/>
    </row>
    <row r="455">
      <c r="A455" s="153"/>
      <c r="B455" s="229"/>
      <c r="C455" s="230"/>
      <c r="D455" s="231"/>
      <c r="E455" s="157"/>
      <c r="F455" s="12"/>
      <c r="G455" s="158"/>
    </row>
    <row r="456">
      <c r="A456" s="153"/>
      <c r="B456" s="229"/>
      <c r="C456" s="230"/>
      <c r="D456" s="231"/>
      <c r="E456" s="157"/>
      <c r="F456" s="12"/>
      <c r="G456" s="158"/>
    </row>
    <row r="457">
      <c r="A457" s="153"/>
      <c r="B457" s="229"/>
      <c r="C457" s="230"/>
      <c r="D457" s="231"/>
      <c r="E457" s="157"/>
      <c r="F457" s="12"/>
      <c r="G457" s="158"/>
    </row>
    <row r="458">
      <c r="A458" s="153"/>
      <c r="B458" s="229"/>
      <c r="C458" s="230"/>
      <c r="D458" s="231"/>
      <c r="E458" s="157"/>
      <c r="F458" s="12"/>
      <c r="G458" s="158"/>
    </row>
    <row r="459">
      <c r="A459" s="153"/>
      <c r="B459" s="229"/>
      <c r="C459" s="230"/>
      <c r="D459" s="231"/>
      <c r="E459" s="157"/>
      <c r="F459" s="12"/>
      <c r="G459" s="158"/>
    </row>
    <row r="460">
      <c r="A460" s="153"/>
      <c r="B460" s="229"/>
      <c r="C460" s="230"/>
      <c r="D460" s="231"/>
      <c r="E460" s="157"/>
      <c r="F460" s="12"/>
      <c r="G460" s="158"/>
    </row>
    <row r="461">
      <c r="A461" s="153"/>
      <c r="B461" s="229"/>
      <c r="C461" s="230"/>
      <c r="D461" s="231"/>
      <c r="E461" s="157"/>
      <c r="F461" s="12"/>
      <c r="G461" s="158"/>
    </row>
    <row r="462">
      <c r="A462" s="153"/>
      <c r="B462" s="229"/>
      <c r="C462" s="230"/>
      <c r="D462" s="231"/>
      <c r="E462" s="157"/>
      <c r="F462" s="12"/>
      <c r="G462" s="158"/>
    </row>
    <row r="463">
      <c r="A463" s="153"/>
      <c r="B463" s="229"/>
      <c r="C463" s="230"/>
      <c r="D463" s="231"/>
      <c r="E463" s="157"/>
      <c r="F463" s="12"/>
      <c r="G463" s="158"/>
    </row>
    <row r="464">
      <c r="A464" s="153"/>
      <c r="B464" s="229"/>
      <c r="C464" s="230"/>
      <c r="D464" s="231"/>
      <c r="E464" s="157"/>
      <c r="F464" s="12"/>
      <c r="G464" s="158"/>
    </row>
    <row r="465">
      <c r="A465" s="153"/>
      <c r="B465" s="229"/>
      <c r="C465" s="230"/>
      <c r="D465" s="231"/>
      <c r="E465" s="157"/>
      <c r="F465" s="12"/>
      <c r="G465" s="158"/>
    </row>
    <row r="466">
      <c r="A466" s="153"/>
      <c r="B466" s="229"/>
      <c r="C466" s="230"/>
      <c r="D466" s="231"/>
      <c r="E466" s="157"/>
      <c r="F466" s="12"/>
      <c r="G466" s="158"/>
    </row>
    <row r="467">
      <c r="A467" s="153"/>
      <c r="B467" s="229"/>
      <c r="C467" s="230"/>
      <c r="D467" s="231"/>
      <c r="E467" s="157"/>
      <c r="F467" s="12"/>
      <c r="G467" s="158"/>
    </row>
    <row r="468">
      <c r="A468" s="153"/>
      <c r="B468" s="229"/>
      <c r="C468" s="230"/>
      <c r="D468" s="231"/>
      <c r="E468" s="157"/>
      <c r="F468" s="12"/>
      <c r="G468" s="158"/>
    </row>
    <row r="469">
      <c r="A469" s="153"/>
      <c r="B469" s="229"/>
      <c r="C469" s="230"/>
      <c r="D469" s="231"/>
      <c r="E469" s="157"/>
      <c r="F469" s="12"/>
      <c r="G469" s="158"/>
    </row>
    <row r="470">
      <c r="A470" s="153"/>
      <c r="B470" s="229"/>
      <c r="C470" s="230"/>
      <c r="D470" s="231"/>
      <c r="E470" s="157"/>
      <c r="F470" s="12"/>
      <c r="G470" s="158"/>
    </row>
    <row r="471">
      <c r="A471" s="153"/>
      <c r="B471" s="229"/>
      <c r="C471" s="230"/>
      <c r="D471" s="231"/>
      <c r="E471" s="157"/>
      <c r="F471" s="12"/>
      <c r="G471" s="158"/>
    </row>
    <row r="472">
      <c r="A472" s="153"/>
      <c r="B472" s="229"/>
      <c r="C472" s="230"/>
      <c r="D472" s="231"/>
      <c r="E472" s="157"/>
      <c r="F472" s="12"/>
      <c r="G472" s="158"/>
    </row>
    <row r="473">
      <c r="A473" s="153"/>
      <c r="B473" s="229"/>
      <c r="C473" s="230"/>
      <c r="D473" s="231"/>
      <c r="E473" s="157"/>
      <c r="F473" s="12"/>
      <c r="G473" s="158"/>
    </row>
    <row r="474">
      <c r="A474" s="153"/>
      <c r="B474" s="229"/>
      <c r="C474" s="230"/>
      <c r="D474" s="231"/>
      <c r="E474" s="157"/>
      <c r="F474" s="12"/>
      <c r="G474" s="158"/>
    </row>
    <row r="475">
      <c r="A475" s="153"/>
      <c r="B475" s="229"/>
      <c r="C475" s="230"/>
      <c r="D475" s="231"/>
      <c r="E475" s="157"/>
      <c r="F475" s="12"/>
      <c r="G475" s="158"/>
    </row>
    <row r="476">
      <c r="A476" s="153"/>
      <c r="B476" s="229"/>
      <c r="C476" s="230"/>
      <c r="D476" s="231"/>
      <c r="E476" s="157"/>
      <c r="F476" s="12"/>
      <c r="G476" s="158"/>
    </row>
    <row r="477">
      <c r="A477" s="153"/>
      <c r="B477" s="229"/>
      <c r="C477" s="230"/>
      <c r="D477" s="231"/>
      <c r="E477" s="157"/>
      <c r="F477" s="12"/>
      <c r="G477" s="158"/>
    </row>
    <row r="478">
      <c r="A478" s="153"/>
      <c r="B478" s="229"/>
      <c r="C478" s="230"/>
      <c r="D478" s="231"/>
      <c r="E478" s="157"/>
      <c r="F478" s="12"/>
      <c r="G478" s="158"/>
    </row>
    <row r="479">
      <c r="A479" s="153"/>
      <c r="B479" s="229"/>
      <c r="C479" s="230"/>
      <c r="D479" s="231"/>
      <c r="E479" s="157"/>
      <c r="F479" s="12"/>
      <c r="G479" s="158"/>
    </row>
    <row r="480">
      <c r="A480" s="153"/>
      <c r="B480" s="229"/>
      <c r="C480" s="230"/>
      <c r="D480" s="231"/>
      <c r="E480" s="157"/>
      <c r="F480" s="12"/>
      <c r="G480" s="158"/>
    </row>
    <row r="481">
      <c r="A481" s="153"/>
      <c r="B481" s="229"/>
      <c r="C481" s="230"/>
      <c r="D481" s="231"/>
      <c r="E481" s="157"/>
      <c r="F481" s="12"/>
      <c r="G481" s="158"/>
    </row>
    <row r="482">
      <c r="A482" s="153"/>
      <c r="B482" s="229"/>
      <c r="C482" s="230"/>
      <c r="D482" s="231"/>
      <c r="E482" s="157"/>
      <c r="F482" s="12"/>
      <c r="G482" s="158"/>
    </row>
    <row r="483">
      <c r="A483" s="153"/>
      <c r="B483" s="229"/>
      <c r="C483" s="230"/>
      <c r="D483" s="231"/>
      <c r="E483" s="157"/>
      <c r="F483" s="12"/>
      <c r="G483" s="158"/>
    </row>
    <row r="484">
      <c r="A484" s="153"/>
      <c r="B484" s="229"/>
      <c r="C484" s="230"/>
      <c r="D484" s="231"/>
      <c r="E484" s="157"/>
      <c r="F484" s="12"/>
      <c r="G484" s="158"/>
    </row>
    <row r="485">
      <c r="A485" s="153"/>
      <c r="B485" s="229"/>
      <c r="C485" s="230"/>
      <c r="D485" s="231"/>
      <c r="E485" s="157"/>
      <c r="F485" s="12"/>
      <c r="G485" s="158"/>
    </row>
    <row r="486">
      <c r="A486" s="153"/>
      <c r="B486" s="229"/>
      <c r="C486" s="230"/>
      <c r="D486" s="231"/>
      <c r="E486" s="157"/>
      <c r="F486" s="12"/>
      <c r="G486" s="158"/>
    </row>
    <row r="487">
      <c r="A487" s="153"/>
      <c r="B487" s="229"/>
      <c r="C487" s="230"/>
      <c r="D487" s="231"/>
      <c r="E487" s="157"/>
      <c r="F487" s="12"/>
      <c r="G487" s="158"/>
    </row>
    <row r="488">
      <c r="A488" s="153"/>
      <c r="B488" s="229"/>
      <c r="C488" s="230"/>
      <c r="D488" s="231"/>
      <c r="E488" s="157"/>
      <c r="F488" s="12"/>
      <c r="G488" s="158"/>
    </row>
    <row r="489">
      <c r="A489" s="153"/>
      <c r="B489" s="229"/>
      <c r="C489" s="230"/>
      <c r="D489" s="231"/>
      <c r="E489" s="157"/>
      <c r="F489" s="12"/>
      <c r="G489" s="158"/>
    </row>
    <row r="490">
      <c r="A490" s="153"/>
      <c r="B490" s="229"/>
      <c r="C490" s="230"/>
      <c r="D490" s="231"/>
      <c r="E490" s="157"/>
      <c r="F490" s="12"/>
      <c r="G490" s="158"/>
    </row>
    <row r="491">
      <c r="A491" s="153"/>
      <c r="B491" s="229"/>
      <c r="C491" s="230"/>
      <c r="D491" s="231"/>
      <c r="E491" s="157"/>
      <c r="F491" s="12"/>
      <c r="G491" s="158"/>
    </row>
    <row r="492">
      <c r="A492" s="153"/>
      <c r="B492" s="229"/>
      <c r="C492" s="230"/>
      <c r="D492" s="231"/>
      <c r="E492" s="157"/>
      <c r="F492" s="12"/>
      <c r="G492" s="158"/>
    </row>
    <row r="493">
      <c r="A493" s="153"/>
      <c r="B493" s="229"/>
      <c r="C493" s="230"/>
      <c r="D493" s="231"/>
      <c r="E493" s="157"/>
      <c r="F493" s="12"/>
      <c r="G493" s="158"/>
    </row>
    <row r="494">
      <c r="A494" s="153"/>
      <c r="B494" s="229"/>
      <c r="C494" s="230"/>
      <c r="D494" s="231"/>
      <c r="E494" s="157"/>
      <c r="F494" s="12"/>
      <c r="G494" s="158"/>
    </row>
    <row r="495">
      <c r="A495" s="153"/>
      <c r="B495" s="229"/>
      <c r="C495" s="230"/>
      <c r="D495" s="231"/>
      <c r="E495" s="157"/>
      <c r="F495" s="12"/>
      <c r="G495" s="158"/>
    </row>
    <row r="496">
      <c r="A496" s="153"/>
      <c r="B496" s="229"/>
      <c r="C496" s="230"/>
      <c r="D496" s="231"/>
      <c r="E496" s="157"/>
      <c r="F496" s="12"/>
      <c r="G496" s="158"/>
    </row>
    <row r="497">
      <c r="A497" s="153"/>
      <c r="B497" s="229"/>
      <c r="C497" s="230"/>
      <c r="D497" s="231"/>
      <c r="E497" s="157"/>
      <c r="F497" s="12"/>
      <c r="G497" s="158"/>
    </row>
    <row r="498">
      <c r="A498" s="153"/>
      <c r="B498" s="229"/>
      <c r="C498" s="230"/>
      <c r="D498" s="231"/>
      <c r="E498" s="157"/>
      <c r="F498" s="12"/>
      <c r="G498" s="158"/>
    </row>
    <row r="499">
      <c r="A499" s="153"/>
      <c r="B499" s="229"/>
      <c r="C499" s="230"/>
      <c r="D499" s="231"/>
      <c r="E499" s="157"/>
      <c r="F499" s="12"/>
      <c r="G499" s="158"/>
    </row>
    <row r="500">
      <c r="A500" s="153"/>
      <c r="B500" s="229"/>
      <c r="C500" s="230"/>
      <c r="D500" s="231"/>
      <c r="E500" s="157"/>
      <c r="F500" s="12"/>
      <c r="G500" s="158"/>
    </row>
    <row r="501">
      <c r="A501" s="153"/>
      <c r="B501" s="229"/>
      <c r="C501" s="230"/>
      <c r="D501" s="231"/>
      <c r="E501" s="157"/>
      <c r="F501" s="12"/>
      <c r="G501" s="158"/>
    </row>
    <row r="502">
      <c r="A502" s="153"/>
      <c r="B502" s="229"/>
      <c r="C502" s="230"/>
      <c r="D502" s="231"/>
      <c r="E502" s="157"/>
      <c r="F502" s="12"/>
      <c r="G502" s="158"/>
    </row>
    <row r="503">
      <c r="A503" s="153"/>
      <c r="B503" s="229"/>
      <c r="C503" s="230"/>
      <c r="D503" s="231"/>
      <c r="E503" s="157"/>
      <c r="F503" s="12"/>
      <c r="G503" s="158"/>
    </row>
    <row r="504">
      <c r="A504" s="153"/>
      <c r="B504" s="229"/>
      <c r="C504" s="230"/>
      <c r="D504" s="231"/>
      <c r="E504" s="157"/>
      <c r="F504" s="12"/>
      <c r="G504" s="158"/>
    </row>
    <row r="505">
      <c r="A505" s="153"/>
      <c r="B505" s="229"/>
      <c r="C505" s="230"/>
      <c r="D505" s="231"/>
      <c r="E505" s="157"/>
      <c r="F505" s="12"/>
      <c r="G505" s="158"/>
    </row>
    <row r="506">
      <c r="A506" s="153"/>
      <c r="B506" s="229"/>
      <c r="C506" s="230"/>
      <c r="D506" s="231"/>
      <c r="E506" s="157"/>
      <c r="F506" s="12"/>
      <c r="G506" s="158"/>
    </row>
    <row r="507">
      <c r="A507" s="153"/>
      <c r="B507" s="229"/>
      <c r="C507" s="230"/>
      <c r="D507" s="231"/>
      <c r="E507" s="157"/>
      <c r="F507" s="12"/>
      <c r="G507" s="158"/>
    </row>
    <row r="508">
      <c r="A508" s="153"/>
      <c r="B508" s="229"/>
      <c r="C508" s="230"/>
      <c r="D508" s="231"/>
      <c r="E508" s="157"/>
      <c r="F508" s="12"/>
      <c r="G508" s="158"/>
    </row>
    <row r="509">
      <c r="A509" s="153"/>
      <c r="B509" s="229"/>
      <c r="C509" s="230"/>
      <c r="D509" s="231"/>
      <c r="E509" s="157"/>
      <c r="F509" s="12"/>
      <c r="G509" s="158"/>
    </row>
    <row r="510">
      <c r="A510" s="153"/>
      <c r="B510" s="229"/>
      <c r="C510" s="230"/>
      <c r="D510" s="231"/>
      <c r="E510" s="157"/>
      <c r="F510" s="12"/>
      <c r="G510" s="158"/>
    </row>
    <row r="511">
      <c r="A511" s="153"/>
      <c r="B511" s="229"/>
      <c r="C511" s="230"/>
      <c r="D511" s="231"/>
      <c r="E511" s="157"/>
      <c r="F511" s="12"/>
      <c r="G511" s="158"/>
    </row>
    <row r="512">
      <c r="A512" s="153"/>
      <c r="B512" s="229"/>
      <c r="C512" s="230"/>
      <c r="D512" s="231"/>
      <c r="E512" s="157"/>
      <c r="F512" s="12"/>
      <c r="G512" s="158"/>
    </row>
    <row r="513">
      <c r="A513" s="153"/>
      <c r="B513" s="229"/>
      <c r="C513" s="230"/>
      <c r="D513" s="231"/>
      <c r="E513" s="157"/>
      <c r="F513" s="12"/>
      <c r="G513" s="158"/>
    </row>
    <row r="514">
      <c r="A514" s="153"/>
      <c r="B514" s="229"/>
      <c r="C514" s="230"/>
      <c r="D514" s="231"/>
      <c r="E514" s="157"/>
      <c r="F514" s="12"/>
      <c r="G514" s="158"/>
    </row>
    <row r="515">
      <c r="A515" s="153"/>
      <c r="B515" s="229"/>
      <c r="C515" s="230"/>
      <c r="D515" s="231"/>
      <c r="E515" s="157"/>
      <c r="F515" s="12"/>
      <c r="G515" s="158"/>
    </row>
    <row r="516">
      <c r="A516" s="153"/>
      <c r="B516" s="229"/>
      <c r="C516" s="230"/>
      <c r="D516" s="231"/>
      <c r="E516" s="157"/>
      <c r="F516" s="12"/>
      <c r="G516" s="158"/>
    </row>
    <row r="517">
      <c r="A517" s="153"/>
      <c r="B517" s="229"/>
      <c r="C517" s="230"/>
      <c r="D517" s="231"/>
      <c r="E517" s="157"/>
      <c r="F517" s="12"/>
      <c r="G517" s="158"/>
    </row>
    <row r="518">
      <c r="A518" s="153"/>
      <c r="B518" s="229"/>
      <c r="C518" s="230"/>
      <c r="D518" s="231"/>
      <c r="E518" s="157"/>
      <c r="F518" s="12"/>
      <c r="G518" s="158"/>
    </row>
    <row r="519">
      <c r="A519" s="153"/>
      <c r="B519" s="229"/>
      <c r="C519" s="230"/>
      <c r="D519" s="231"/>
      <c r="E519" s="157"/>
      <c r="F519" s="12"/>
      <c r="G519" s="158"/>
    </row>
    <row r="520">
      <c r="A520" s="153"/>
      <c r="B520" s="229"/>
      <c r="C520" s="230"/>
      <c r="D520" s="231"/>
      <c r="E520" s="157"/>
      <c r="F520" s="12"/>
      <c r="G520" s="158"/>
    </row>
    <row r="521">
      <c r="A521" s="153"/>
      <c r="B521" s="229"/>
      <c r="C521" s="230"/>
      <c r="D521" s="231"/>
      <c r="E521" s="157"/>
      <c r="F521" s="12"/>
      <c r="G521" s="158"/>
    </row>
    <row r="522">
      <c r="A522" s="153"/>
      <c r="B522" s="229"/>
      <c r="C522" s="230"/>
      <c r="D522" s="231"/>
      <c r="E522" s="157"/>
      <c r="F522" s="12"/>
      <c r="G522" s="158"/>
    </row>
    <row r="523">
      <c r="A523" s="153"/>
      <c r="B523" s="229"/>
      <c r="C523" s="230"/>
      <c r="D523" s="231"/>
      <c r="E523" s="157"/>
      <c r="F523" s="12"/>
      <c r="G523" s="158"/>
    </row>
    <row r="524">
      <c r="A524" s="153"/>
      <c r="B524" s="229"/>
      <c r="C524" s="230"/>
      <c r="D524" s="231"/>
      <c r="E524" s="157"/>
      <c r="F524" s="12"/>
      <c r="G524" s="158"/>
    </row>
    <row r="525">
      <c r="A525" s="153"/>
      <c r="B525" s="229"/>
      <c r="C525" s="230"/>
      <c r="D525" s="231"/>
      <c r="E525" s="157"/>
      <c r="F525" s="12"/>
      <c r="G525" s="158"/>
    </row>
    <row r="526">
      <c r="A526" s="153"/>
      <c r="B526" s="229"/>
      <c r="C526" s="230"/>
      <c r="D526" s="231"/>
      <c r="E526" s="157"/>
      <c r="F526" s="12"/>
      <c r="G526" s="158"/>
    </row>
    <row r="527">
      <c r="A527" s="153"/>
      <c r="B527" s="229"/>
      <c r="C527" s="230"/>
      <c r="D527" s="231"/>
      <c r="E527" s="157"/>
      <c r="F527" s="12"/>
      <c r="G527" s="158"/>
    </row>
    <row r="528">
      <c r="A528" s="153"/>
      <c r="B528" s="229"/>
      <c r="C528" s="230"/>
      <c r="D528" s="231"/>
      <c r="E528" s="157"/>
      <c r="F528" s="12"/>
      <c r="G528" s="158"/>
    </row>
    <row r="529">
      <c r="A529" s="153"/>
      <c r="B529" s="229"/>
      <c r="C529" s="230"/>
      <c r="D529" s="231"/>
      <c r="E529" s="157"/>
      <c r="F529" s="12"/>
      <c r="G529" s="158"/>
    </row>
    <row r="530">
      <c r="A530" s="153"/>
      <c r="B530" s="229"/>
      <c r="C530" s="230"/>
      <c r="D530" s="231"/>
      <c r="E530" s="157"/>
      <c r="F530" s="12"/>
      <c r="G530" s="158"/>
    </row>
    <row r="531">
      <c r="A531" s="153"/>
      <c r="B531" s="229"/>
      <c r="C531" s="230"/>
      <c r="D531" s="231"/>
      <c r="E531" s="157"/>
      <c r="F531" s="12"/>
      <c r="G531" s="158"/>
    </row>
    <row r="532">
      <c r="A532" s="153"/>
      <c r="B532" s="229"/>
      <c r="C532" s="230"/>
      <c r="D532" s="231"/>
      <c r="E532" s="157"/>
      <c r="F532" s="12"/>
      <c r="G532" s="158"/>
    </row>
    <row r="533">
      <c r="A533" s="153"/>
      <c r="B533" s="229"/>
      <c r="C533" s="230"/>
      <c r="D533" s="231"/>
      <c r="E533" s="157"/>
      <c r="F533" s="12"/>
      <c r="G533" s="158"/>
    </row>
    <row r="534">
      <c r="A534" s="153"/>
      <c r="B534" s="229"/>
      <c r="C534" s="230"/>
      <c r="D534" s="231"/>
      <c r="E534" s="157"/>
      <c r="F534" s="12"/>
      <c r="G534" s="158"/>
    </row>
    <row r="535">
      <c r="A535" s="153"/>
      <c r="B535" s="229"/>
      <c r="C535" s="230"/>
      <c r="D535" s="231"/>
      <c r="E535" s="157"/>
      <c r="F535" s="12"/>
      <c r="G535" s="158"/>
    </row>
    <row r="536">
      <c r="A536" s="153"/>
      <c r="B536" s="229"/>
      <c r="C536" s="230"/>
      <c r="D536" s="231"/>
      <c r="E536" s="157"/>
      <c r="F536" s="12"/>
      <c r="G536" s="158"/>
    </row>
    <row r="537">
      <c r="A537" s="153"/>
      <c r="B537" s="229"/>
      <c r="C537" s="230"/>
      <c r="D537" s="231"/>
      <c r="E537" s="157"/>
      <c r="F537" s="12"/>
      <c r="G537" s="158"/>
    </row>
    <row r="538">
      <c r="A538" s="153"/>
      <c r="B538" s="229"/>
      <c r="C538" s="230"/>
      <c r="D538" s="231"/>
      <c r="E538" s="157"/>
      <c r="F538" s="12"/>
      <c r="G538" s="158"/>
    </row>
    <row r="539">
      <c r="A539" s="153"/>
      <c r="B539" s="229"/>
      <c r="C539" s="230"/>
      <c r="D539" s="231"/>
      <c r="E539" s="157"/>
      <c r="F539" s="12"/>
      <c r="G539" s="158"/>
    </row>
    <row r="540">
      <c r="A540" s="153"/>
      <c r="B540" s="229"/>
      <c r="C540" s="230"/>
      <c r="D540" s="231"/>
      <c r="E540" s="157"/>
      <c r="F540" s="12"/>
      <c r="G540" s="158"/>
    </row>
    <row r="541">
      <c r="A541" s="153"/>
      <c r="B541" s="229"/>
      <c r="C541" s="230"/>
      <c r="D541" s="231"/>
      <c r="E541" s="157"/>
      <c r="F541" s="12"/>
      <c r="G541" s="158"/>
    </row>
    <row r="542">
      <c r="A542" s="153"/>
      <c r="B542" s="229"/>
      <c r="C542" s="230"/>
      <c r="D542" s="231"/>
      <c r="E542" s="157"/>
      <c r="F542" s="12"/>
      <c r="G542" s="158"/>
    </row>
    <row r="543">
      <c r="A543" s="153"/>
      <c r="B543" s="229"/>
      <c r="C543" s="230"/>
      <c r="D543" s="231"/>
      <c r="E543" s="157"/>
      <c r="F543" s="12"/>
      <c r="G543" s="158"/>
    </row>
    <row r="544">
      <c r="A544" s="153"/>
      <c r="B544" s="229"/>
      <c r="C544" s="230"/>
      <c r="D544" s="231"/>
      <c r="E544" s="157"/>
      <c r="F544" s="12"/>
      <c r="G544" s="158"/>
    </row>
    <row r="545">
      <c r="A545" s="153"/>
      <c r="B545" s="229"/>
      <c r="C545" s="230"/>
      <c r="D545" s="231"/>
      <c r="E545" s="157"/>
      <c r="F545" s="12"/>
      <c r="G545" s="158"/>
    </row>
    <row r="546">
      <c r="A546" s="153"/>
      <c r="B546" s="229"/>
      <c r="C546" s="230"/>
      <c r="D546" s="231"/>
      <c r="E546" s="157"/>
      <c r="F546" s="12"/>
      <c r="G546" s="158"/>
    </row>
    <row r="547">
      <c r="A547" s="153"/>
      <c r="B547" s="229"/>
      <c r="C547" s="230"/>
      <c r="D547" s="231"/>
      <c r="E547" s="157"/>
      <c r="F547" s="12"/>
      <c r="G547" s="158"/>
    </row>
    <row r="548">
      <c r="A548" s="153"/>
      <c r="B548" s="229"/>
      <c r="C548" s="230"/>
      <c r="D548" s="231"/>
      <c r="E548" s="157"/>
      <c r="F548" s="12"/>
      <c r="G548" s="158"/>
    </row>
    <row r="549">
      <c r="A549" s="153"/>
      <c r="B549" s="229"/>
      <c r="C549" s="230"/>
      <c r="D549" s="231"/>
      <c r="E549" s="157"/>
      <c r="F549" s="12"/>
      <c r="G549" s="158"/>
    </row>
    <row r="550">
      <c r="A550" s="153"/>
      <c r="B550" s="229"/>
      <c r="C550" s="230"/>
      <c r="D550" s="231"/>
      <c r="E550" s="157"/>
      <c r="F550" s="12"/>
      <c r="G550" s="158"/>
    </row>
    <row r="551">
      <c r="A551" s="153"/>
      <c r="B551" s="229"/>
      <c r="C551" s="230"/>
      <c r="D551" s="231"/>
      <c r="E551" s="157"/>
      <c r="F551" s="12"/>
      <c r="G551" s="158"/>
    </row>
    <row r="552">
      <c r="A552" s="153"/>
      <c r="B552" s="229"/>
      <c r="C552" s="230"/>
      <c r="D552" s="231"/>
      <c r="E552" s="157"/>
      <c r="F552" s="12"/>
      <c r="G552" s="158"/>
    </row>
    <row r="553">
      <c r="A553" s="153"/>
      <c r="B553" s="229"/>
      <c r="C553" s="230"/>
      <c r="D553" s="231"/>
      <c r="E553" s="157"/>
      <c r="F553" s="12"/>
      <c r="G553" s="158"/>
    </row>
    <row r="554">
      <c r="A554" s="153"/>
      <c r="B554" s="229"/>
      <c r="C554" s="230"/>
      <c r="D554" s="231"/>
      <c r="E554" s="157"/>
      <c r="F554" s="12"/>
      <c r="G554" s="158"/>
    </row>
    <row r="555">
      <c r="A555" s="153"/>
      <c r="B555" s="229"/>
      <c r="C555" s="230"/>
      <c r="D555" s="231"/>
      <c r="E555" s="157"/>
      <c r="F555" s="12"/>
      <c r="G555" s="158"/>
    </row>
    <row r="556">
      <c r="A556" s="153"/>
      <c r="B556" s="229"/>
      <c r="C556" s="230"/>
      <c r="D556" s="231"/>
      <c r="E556" s="157"/>
      <c r="F556" s="12"/>
      <c r="G556" s="158"/>
    </row>
    <row r="557">
      <c r="A557" s="153"/>
      <c r="B557" s="229"/>
      <c r="C557" s="230"/>
      <c r="D557" s="231"/>
      <c r="E557" s="157"/>
      <c r="F557" s="12"/>
      <c r="G557" s="158"/>
    </row>
    <row r="558">
      <c r="A558" s="153"/>
      <c r="B558" s="229"/>
      <c r="C558" s="230"/>
      <c r="D558" s="231"/>
      <c r="E558" s="157"/>
      <c r="F558" s="12"/>
      <c r="G558" s="158"/>
    </row>
    <row r="559">
      <c r="A559" s="153"/>
      <c r="B559" s="229"/>
      <c r="C559" s="230"/>
      <c r="D559" s="231"/>
      <c r="E559" s="157"/>
      <c r="F559" s="12"/>
      <c r="G559" s="158"/>
    </row>
    <row r="560">
      <c r="A560" s="153"/>
      <c r="B560" s="229"/>
      <c r="C560" s="230"/>
      <c r="D560" s="231"/>
      <c r="E560" s="157"/>
      <c r="F560" s="12"/>
      <c r="G560" s="158"/>
    </row>
    <row r="561">
      <c r="A561" s="153"/>
      <c r="B561" s="229"/>
      <c r="C561" s="230"/>
      <c r="D561" s="231"/>
      <c r="E561" s="157"/>
      <c r="F561" s="12"/>
      <c r="G561" s="158"/>
    </row>
    <row r="562">
      <c r="A562" s="153"/>
      <c r="B562" s="229"/>
      <c r="C562" s="230"/>
      <c r="D562" s="231"/>
      <c r="E562" s="157"/>
      <c r="F562" s="12"/>
      <c r="G562" s="158"/>
    </row>
    <row r="563">
      <c r="A563" s="153"/>
      <c r="B563" s="229"/>
      <c r="C563" s="230"/>
      <c r="D563" s="231"/>
      <c r="E563" s="157"/>
      <c r="F563" s="12"/>
      <c r="G563" s="158"/>
    </row>
    <row r="564">
      <c r="A564" s="153"/>
      <c r="B564" s="229"/>
      <c r="C564" s="230"/>
      <c r="D564" s="231"/>
      <c r="E564" s="157"/>
      <c r="F564" s="12"/>
      <c r="G564" s="158"/>
    </row>
    <row r="565">
      <c r="A565" s="153"/>
      <c r="B565" s="229"/>
      <c r="C565" s="230"/>
      <c r="D565" s="231"/>
      <c r="E565" s="157"/>
      <c r="F565" s="12"/>
      <c r="G565" s="158"/>
    </row>
    <row r="566">
      <c r="A566" s="153"/>
      <c r="B566" s="229"/>
      <c r="C566" s="230"/>
      <c r="D566" s="231"/>
      <c r="E566" s="157"/>
      <c r="F566" s="12"/>
      <c r="G566" s="158"/>
    </row>
    <row r="567">
      <c r="A567" s="153"/>
      <c r="B567" s="229"/>
      <c r="C567" s="230"/>
      <c r="D567" s="231"/>
      <c r="E567" s="157"/>
      <c r="F567" s="12"/>
      <c r="G567" s="158"/>
    </row>
    <row r="568">
      <c r="A568" s="153"/>
      <c r="B568" s="229"/>
      <c r="C568" s="230"/>
      <c r="D568" s="231"/>
      <c r="E568" s="157"/>
      <c r="F568" s="12"/>
      <c r="G568" s="158"/>
    </row>
    <row r="569">
      <c r="A569" s="153"/>
      <c r="B569" s="229"/>
      <c r="C569" s="230"/>
      <c r="D569" s="231"/>
      <c r="E569" s="157"/>
      <c r="F569" s="12"/>
      <c r="G569" s="158"/>
    </row>
    <row r="570">
      <c r="A570" s="153"/>
      <c r="B570" s="229"/>
      <c r="C570" s="230"/>
      <c r="D570" s="231"/>
      <c r="E570" s="157"/>
      <c r="F570" s="12"/>
      <c r="G570" s="158"/>
    </row>
    <row r="571">
      <c r="A571" s="153"/>
      <c r="B571" s="229"/>
      <c r="C571" s="230"/>
      <c r="D571" s="231"/>
      <c r="E571" s="157"/>
      <c r="F571" s="12"/>
      <c r="G571" s="158"/>
    </row>
    <row r="572">
      <c r="A572" s="153"/>
      <c r="B572" s="229"/>
      <c r="C572" s="230"/>
      <c r="D572" s="231"/>
      <c r="E572" s="157"/>
      <c r="F572" s="12"/>
      <c r="G572" s="158"/>
    </row>
    <row r="573">
      <c r="A573" s="153"/>
      <c r="B573" s="229"/>
      <c r="C573" s="230"/>
      <c r="D573" s="231"/>
      <c r="E573" s="157"/>
      <c r="F573" s="12"/>
      <c r="G573" s="158"/>
    </row>
    <row r="574">
      <c r="A574" s="153"/>
      <c r="B574" s="229"/>
      <c r="C574" s="230"/>
      <c r="D574" s="231"/>
      <c r="E574" s="157"/>
      <c r="F574" s="12"/>
      <c r="G574" s="158"/>
    </row>
    <row r="575">
      <c r="A575" s="153"/>
      <c r="B575" s="229"/>
      <c r="C575" s="230"/>
      <c r="D575" s="231"/>
      <c r="E575" s="157"/>
      <c r="F575" s="12"/>
      <c r="G575" s="158"/>
    </row>
    <row r="576">
      <c r="A576" s="153"/>
      <c r="B576" s="229"/>
      <c r="C576" s="230"/>
      <c r="D576" s="231"/>
      <c r="E576" s="157"/>
      <c r="F576" s="12"/>
      <c r="G576" s="158"/>
    </row>
    <row r="577">
      <c r="A577" s="153"/>
      <c r="B577" s="229"/>
      <c r="C577" s="230"/>
      <c r="D577" s="231"/>
      <c r="E577" s="157"/>
      <c r="F577" s="12"/>
      <c r="G577" s="158"/>
    </row>
    <row r="578">
      <c r="A578" s="153"/>
      <c r="B578" s="229"/>
      <c r="C578" s="230"/>
      <c r="D578" s="231"/>
      <c r="E578" s="157"/>
      <c r="F578" s="12"/>
      <c r="G578" s="158"/>
    </row>
    <row r="579">
      <c r="A579" s="153"/>
      <c r="B579" s="229"/>
      <c r="C579" s="230"/>
      <c r="D579" s="231"/>
      <c r="E579" s="157"/>
      <c r="F579" s="12"/>
      <c r="G579" s="158"/>
    </row>
    <row r="580">
      <c r="A580" s="153"/>
      <c r="B580" s="229"/>
      <c r="C580" s="230"/>
      <c r="D580" s="231"/>
      <c r="E580" s="157"/>
      <c r="F580" s="12"/>
      <c r="G580" s="158"/>
    </row>
    <row r="581">
      <c r="A581" s="153"/>
      <c r="B581" s="229"/>
      <c r="C581" s="230"/>
      <c r="D581" s="231"/>
      <c r="E581" s="157"/>
      <c r="F581" s="12"/>
      <c r="G581" s="158"/>
    </row>
    <row r="582">
      <c r="A582" s="153"/>
      <c r="B582" s="229"/>
      <c r="C582" s="230"/>
      <c r="D582" s="231"/>
      <c r="E582" s="157"/>
      <c r="F582" s="12"/>
      <c r="G582" s="158"/>
    </row>
    <row r="583">
      <c r="A583" s="153"/>
      <c r="B583" s="229"/>
      <c r="C583" s="230"/>
      <c r="D583" s="231"/>
      <c r="E583" s="157"/>
      <c r="F583" s="12"/>
      <c r="G583" s="158"/>
    </row>
    <row r="584">
      <c r="A584" s="153"/>
      <c r="B584" s="229"/>
      <c r="C584" s="230"/>
      <c r="D584" s="231"/>
      <c r="E584" s="157"/>
      <c r="F584" s="12"/>
      <c r="G584" s="158"/>
    </row>
    <row r="585">
      <c r="A585" s="153"/>
      <c r="B585" s="229"/>
      <c r="C585" s="230"/>
      <c r="D585" s="231"/>
      <c r="E585" s="157"/>
      <c r="F585" s="12"/>
      <c r="G585" s="158"/>
    </row>
    <row r="586">
      <c r="A586" s="153"/>
      <c r="B586" s="229"/>
      <c r="C586" s="230"/>
      <c r="D586" s="231"/>
      <c r="E586" s="157"/>
      <c r="F586" s="12"/>
      <c r="G586" s="158"/>
    </row>
    <row r="587">
      <c r="A587" s="153"/>
      <c r="B587" s="229"/>
      <c r="C587" s="230"/>
      <c r="D587" s="231"/>
      <c r="E587" s="157"/>
      <c r="F587" s="12"/>
      <c r="G587" s="158"/>
    </row>
    <row r="588">
      <c r="A588" s="153"/>
      <c r="B588" s="229"/>
      <c r="C588" s="230"/>
      <c r="D588" s="231"/>
      <c r="E588" s="157"/>
      <c r="F588" s="12"/>
      <c r="G588" s="158"/>
    </row>
    <row r="589">
      <c r="A589" s="153"/>
      <c r="B589" s="229"/>
      <c r="C589" s="230"/>
      <c r="D589" s="231"/>
      <c r="E589" s="157"/>
      <c r="F589" s="12"/>
      <c r="G589" s="158"/>
    </row>
    <row r="590">
      <c r="A590" s="153"/>
      <c r="B590" s="229"/>
      <c r="C590" s="230"/>
      <c r="D590" s="231"/>
      <c r="E590" s="157"/>
      <c r="F590" s="12"/>
      <c r="G590" s="158"/>
    </row>
    <row r="591">
      <c r="A591" s="153"/>
      <c r="B591" s="229"/>
      <c r="C591" s="230"/>
      <c r="D591" s="231"/>
      <c r="E591" s="157"/>
      <c r="F591" s="12"/>
      <c r="G591" s="158"/>
    </row>
    <row r="592">
      <c r="A592" s="153"/>
      <c r="B592" s="229"/>
      <c r="C592" s="230"/>
      <c r="D592" s="231"/>
      <c r="E592" s="157"/>
      <c r="F592" s="12"/>
      <c r="G592" s="158"/>
    </row>
    <row r="593">
      <c r="A593" s="153"/>
      <c r="B593" s="229"/>
      <c r="C593" s="230"/>
      <c r="D593" s="231"/>
      <c r="E593" s="157"/>
      <c r="F593" s="12"/>
      <c r="G593" s="158"/>
    </row>
    <row r="594">
      <c r="A594" s="153"/>
      <c r="B594" s="229"/>
      <c r="C594" s="230"/>
      <c r="D594" s="231"/>
      <c r="E594" s="157"/>
      <c r="F594" s="12"/>
      <c r="G594" s="158"/>
    </row>
    <row r="595">
      <c r="A595" s="153"/>
      <c r="B595" s="229"/>
      <c r="C595" s="230"/>
      <c r="D595" s="231"/>
      <c r="E595" s="157"/>
      <c r="F595" s="12"/>
      <c r="G595" s="158"/>
    </row>
    <row r="596">
      <c r="A596" s="153"/>
      <c r="B596" s="229"/>
      <c r="C596" s="230"/>
      <c r="D596" s="231"/>
      <c r="E596" s="157"/>
      <c r="F596" s="12"/>
      <c r="G596" s="158"/>
    </row>
    <row r="597">
      <c r="A597" s="153"/>
      <c r="B597" s="229"/>
      <c r="C597" s="230"/>
      <c r="D597" s="231"/>
      <c r="E597" s="157"/>
      <c r="F597" s="12"/>
      <c r="G597" s="158"/>
    </row>
    <row r="598">
      <c r="A598" s="153"/>
      <c r="B598" s="229"/>
      <c r="C598" s="230"/>
      <c r="D598" s="231"/>
      <c r="E598" s="157"/>
      <c r="F598" s="12"/>
      <c r="G598" s="158"/>
    </row>
    <row r="599">
      <c r="A599" s="153"/>
      <c r="B599" s="229"/>
      <c r="C599" s="230"/>
      <c r="D599" s="231"/>
      <c r="E599" s="157"/>
      <c r="F599" s="12"/>
      <c r="G599" s="158"/>
    </row>
    <row r="600">
      <c r="A600" s="153"/>
      <c r="B600" s="229"/>
      <c r="C600" s="230"/>
      <c r="D600" s="231"/>
      <c r="E600" s="157"/>
      <c r="F600" s="12"/>
      <c r="G600" s="158"/>
    </row>
    <row r="601">
      <c r="A601" s="153"/>
      <c r="B601" s="229"/>
      <c r="C601" s="230"/>
      <c r="D601" s="231"/>
      <c r="E601" s="157"/>
      <c r="F601" s="12"/>
      <c r="G601" s="158"/>
    </row>
    <row r="602">
      <c r="A602" s="153"/>
      <c r="B602" s="229"/>
      <c r="C602" s="230"/>
      <c r="D602" s="231"/>
      <c r="E602" s="157"/>
      <c r="F602" s="12"/>
      <c r="G602" s="158"/>
    </row>
    <row r="603">
      <c r="A603" s="153"/>
      <c r="B603" s="229"/>
      <c r="C603" s="230"/>
      <c r="D603" s="231"/>
      <c r="E603" s="157"/>
      <c r="F603" s="12"/>
      <c r="G603" s="158"/>
    </row>
    <row r="604">
      <c r="A604" s="153"/>
      <c r="B604" s="229"/>
      <c r="C604" s="230"/>
      <c r="D604" s="231"/>
      <c r="E604" s="157"/>
      <c r="F604" s="12"/>
      <c r="G604" s="158"/>
    </row>
    <row r="605">
      <c r="A605" s="153"/>
      <c r="B605" s="229"/>
      <c r="C605" s="230"/>
      <c r="D605" s="231"/>
      <c r="E605" s="157"/>
      <c r="F605" s="12"/>
      <c r="G605" s="158"/>
    </row>
    <row r="606">
      <c r="A606" s="153"/>
      <c r="B606" s="229"/>
      <c r="C606" s="230"/>
      <c r="D606" s="231"/>
      <c r="E606" s="157"/>
      <c r="F606" s="12"/>
      <c r="G606" s="158"/>
    </row>
    <row r="607">
      <c r="A607" s="153"/>
      <c r="B607" s="229"/>
      <c r="C607" s="230"/>
      <c r="D607" s="231"/>
      <c r="E607" s="157"/>
      <c r="F607" s="12"/>
      <c r="G607" s="158"/>
    </row>
    <row r="608">
      <c r="A608" s="153"/>
      <c r="B608" s="229"/>
      <c r="C608" s="230"/>
      <c r="D608" s="231"/>
      <c r="E608" s="157"/>
      <c r="F608" s="12"/>
      <c r="G608" s="158"/>
    </row>
    <row r="609">
      <c r="A609" s="153"/>
      <c r="B609" s="229"/>
      <c r="C609" s="230"/>
      <c r="D609" s="231"/>
      <c r="E609" s="157"/>
      <c r="F609" s="12"/>
      <c r="G609" s="158"/>
    </row>
    <row r="610">
      <c r="A610" s="153"/>
      <c r="B610" s="229"/>
      <c r="C610" s="230"/>
      <c r="D610" s="231"/>
      <c r="E610" s="157"/>
      <c r="F610" s="12"/>
      <c r="G610" s="158"/>
    </row>
    <row r="611">
      <c r="A611" s="153"/>
      <c r="B611" s="229"/>
      <c r="C611" s="230"/>
      <c r="D611" s="231"/>
      <c r="E611" s="157"/>
      <c r="F611" s="12"/>
      <c r="G611" s="158"/>
    </row>
    <row r="612">
      <c r="A612" s="153"/>
      <c r="B612" s="229"/>
      <c r="C612" s="230"/>
      <c r="D612" s="231"/>
      <c r="E612" s="157"/>
      <c r="F612" s="12"/>
      <c r="G612" s="158"/>
    </row>
    <row r="613">
      <c r="A613" s="153"/>
      <c r="B613" s="229"/>
      <c r="C613" s="230"/>
      <c r="D613" s="231"/>
      <c r="E613" s="157"/>
      <c r="F613" s="12"/>
      <c r="G613" s="158"/>
    </row>
    <row r="614">
      <c r="A614" s="153"/>
      <c r="B614" s="229"/>
      <c r="C614" s="230"/>
      <c r="D614" s="231"/>
      <c r="E614" s="157"/>
      <c r="F614" s="12"/>
      <c r="G614" s="158"/>
    </row>
    <row r="615">
      <c r="A615" s="153"/>
      <c r="B615" s="229"/>
      <c r="C615" s="230"/>
      <c r="D615" s="231"/>
      <c r="E615" s="157"/>
      <c r="F615" s="12"/>
      <c r="G615" s="158"/>
    </row>
    <row r="616">
      <c r="A616" s="153"/>
      <c r="B616" s="229"/>
      <c r="C616" s="230"/>
      <c r="D616" s="231"/>
      <c r="E616" s="157"/>
      <c r="F616" s="12"/>
      <c r="G616" s="158"/>
    </row>
    <row r="617">
      <c r="A617" s="153"/>
      <c r="B617" s="229"/>
      <c r="C617" s="230"/>
      <c r="D617" s="231"/>
      <c r="E617" s="157"/>
      <c r="F617" s="12"/>
      <c r="G617" s="158"/>
    </row>
    <row r="618">
      <c r="A618" s="153"/>
      <c r="B618" s="229"/>
      <c r="C618" s="230"/>
      <c r="D618" s="231"/>
      <c r="E618" s="157"/>
      <c r="F618" s="12"/>
      <c r="G618" s="158"/>
    </row>
    <row r="619">
      <c r="A619" s="153"/>
      <c r="B619" s="229"/>
      <c r="C619" s="230"/>
      <c r="D619" s="231"/>
      <c r="E619" s="157"/>
      <c r="F619" s="12"/>
      <c r="G619" s="158"/>
    </row>
    <row r="620">
      <c r="A620" s="153"/>
      <c r="B620" s="229"/>
      <c r="C620" s="230"/>
      <c r="D620" s="231"/>
      <c r="E620" s="157"/>
      <c r="F620" s="12"/>
      <c r="G620" s="158"/>
    </row>
    <row r="621">
      <c r="A621" s="153"/>
      <c r="B621" s="229"/>
      <c r="C621" s="230"/>
      <c r="D621" s="231"/>
      <c r="E621" s="157"/>
      <c r="F621" s="12"/>
      <c r="G621" s="158"/>
    </row>
    <row r="622">
      <c r="A622" s="153"/>
      <c r="B622" s="229"/>
      <c r="C622" s="230"/>
      <c r="D622" s="231"/>
      <c r="E622" s="157"/>
      <c r="F622" s="12"/>
      <c r="G622" s="158"/>
    </row>
    <row r="623">
      <c r="A623" s="153"/>
      <c r="B623" s="229"/>
      <c r="C623" s="230"/>
      <c r="D623" s="231"/>
      <c r="E623" s="157"/>
      <c r="F623" s="12"/>
      <c r="G623" s="158"/>
    </row>
    <row r="624">
      <c r="A624" s="153"/>
      <c r="B624" s="229"/>
      <c r="C624" s="230"/>
      <c r="D624" s="231"/>
      <c r="E624" s="157"/>
      <c r="F624" s="12"/>
      <c r="G624" s="158"/>
    </row>
    <row r="625">
      <c r="A625" s="153"/>
      <c r="B625" s="229"/>
      <c r="C625" s="230"/>
      <c r="D625" s="231"/>
      <c r="E625" s="157"/>
      <c r="F625" s="12"/>
      <c r="G625" s="158"/>
    </row>
    <row r="626">
      <c r="A626" s="153"/>
      <c r="B626" s="229"/>
      <c r="C626" s="230"/>
      <c r="D626" s="231"/>
      <c r="E626" s="157"/>
      <c r="F626" s="12"/>
      <c r="G626" s="158"/>
    </row>
    <row r="627">
      <c r="A627" s="153"/>
      <c r="B627" s="229"/>
      <c r="C627" s="230"/>
      <c r="D627" s="231"/>
      <c r="E627" s="157"/>
      <c r="F627" s="12"/>
      <c r="G627" s="158"/>
    </row>
    <row r="628">
      <c r="A628" s="153"/>
      <c r="B628" s="229"/>
      <c r="C628" s="230"/>
      <c r="D628" s="231"/>
      <c r="E628" s="157"/>
      <c r="F628" s="12"/>
      <c r="G628" s="158"/>
    </row>
    <row r="629">
      <c r="A629" s="153"/>
      <c r="B629" s="229"/>
      <c r="C629" s="230"/>
      <c r="D629" s="231"/>
      <c r="E629" s="157"/>
      <c r="F629" s="12"/>
      <c r="G629" s="158"/>
    </row>
    <row r="630">
      <c r="A630" s="153"/>
      <c r="B630" s="229"/>
      <c r="C630" s="230"/>
      <c r="D630" s="231"/>
      <c r="E630" s="157"/>
      <c r="F630" s="12"/>
      <c r="G630" s="158"/>
    </row>
    <row r="631">
      <c r="A631" s="153"/>
      <c r="B631" s="229"/>
      <c r="C631" s="230"/>
      <c r="D631" s="231"/>
      <c r="E631" s="157"/>
      <c r="F631" s="12"/>
      <c r="G631" s="158"/>
    </row>
    <row r="632">
      <c r="A632" s="153"/>
      <c r="B632" s="229"/>
      <c r="C632" s="230"/>
      <c r="D632" s="231"/>
      <c r="E632" s="157"/>
      <c r="F632" s="12"/>
      <c r="G632" s="158"/>
    </row>
    <row r="633">
      <c r="A633" s="153"/>
      <c r="B633" s="229"/>
      <c r="C633" s="230"/>
      <c r="D633" s="231"/>
      <c r="E633" s="157"/>
      <c r="F633" s="12"/>
      <c r="G633" s="158"/>
    </row>
    <row r="634">
      <c r="A634" s="153"/>
      <c r="B634" s="229"/>
      <c r="C634" s="230"/>
      <c r="D634" s="231"/>
      <c r="E634" s="157"/>
      <c r="F634" s="12"/>
      <c r="G634" s="158"/>
    </row>
    <row r="635">
      <c r="A635" s="153"/>
      <c r="B635" s="229"/>
      <c r="C635" s="230"/>
      <c r="D635" s="231"/>
      <c r="E635" s="157"/>
      <c r="F635" s="12"/>
      <c r="G635" s="158"/>
    </row>
    <row r="636">
      <c r="A636" s="153"/>
      <c r="B636" s="229"/>
      <c r="C636" s="230"/>
      <c r="D636" s="231"/>
      <c r="E636" s="157"/>
      <c r="F636" s="12"/>
      <c r="G636" s="158"/>
    </row>
    <row r="637">
      <c r="A637" s="153"/>
      <c r="B637" s="229"/>
      <c r="C637" s="230"/>
      <c r="D637" s="231"/>
      <c r="E637" s="157"/>
      <c r="F637" s="12"/>
      <c r="G637" s="158"/>
    </row>
    <row r="638">
      <c r="A638" s="153"/>
      <c r="B638" s="229"/>
      <c r="C638" s="230"/>
      <c r="D638" s="231"/>
      <c r="E638" s="157"/>
      <c r="F638" s="12"/>
      <c r="G638" s="158"/>
    </row>
    <row r="639">
      <c r="A639" s="153"/>
      <c r="B639" s="229"/>
      <c r="C639" s="230"/>
      <c r="D639" s="231"/>
      <c r="E639" s="157"/>
      <c r="F639" s="12"/>
      <c r="G639" s="158"/>
    </row>
    <row r="640">
      <c r="A640" s="153"/>
      <c r="B640" s="229"/>
      <c r="C640" s="230"/>
      <c r="D640" s="231"/>
      <c r="E640" s="157"/>
      <c r="F640" s="12"/>
      <c r="G640" s="158"/>
    </row>
    <row r="641">
      <c r="A641" s="153"/>
      <c r="B641" s="229"/>
      <c r="C641" s="230"/>
      <c r="D641" s="231"/>
      <c r="E641" s="157"/>
      <c r="F641" s="12"/>
      <c r="G641" s="158"/>
    </row>
    <row r="642">
      <c r="A642" s="153"/>
      <c r="B642" s="229"/>
      <c r="C642" s="230"/>
      <c r="D642" s="231"/>
      <c r="E642" s="157"/>
      <c r="F642" s="12"/>
      <c r="G642" s="158"/>
    </row>
    <row r="643">
      <c r="A643" s="153"/>
      <c r="B643" s="229"/>
      <c r="C643" s="230"/>
      <c r="D643" s="231"/>
      <c r="E643" s="157"/>
      <c r="F643" s="12"/>
      <c r="G643" s="158"/>
    </row>
    <row r="644">
      <c r="A644" s="153"/>
      <c r="B644" s="229"/>
      <c r="C644" s="230"/>
      <c r="D644" s="231"/>
      <c r="E644" s="157"/>
      <c r="F644" s="12"/>
      <c r="G644" s="158"/>
    </row>
    <row r="645">
      <c r="A645" s="153"/>
      <c r="B645" s="229"/>
      <c r="C645" s="230"/>
      <c r="D645" s="231"/>
      <c r="E645" s="157"/>
      <c r="F645" s="12"/>
      <c r="G645" s="158"/>
    </row>
    <row r="646">
      <c r="A646" s="153"/>
      <c r="B646" s="229"/>
      <c r="C646" s="230"/>
      <c r="D646" s="231"/>
      <c r="E646" s="157"/>
      <c r="F646" s="12"/>
      <c r="G646" s="158"/>
    </row>
    <row r="647">
      <c r="A647" s="153"/>
      <c r="B647" s="229"/>
      <c r="C647" s="230"/>
      <c r="D647" s="231"/>
      <c r="E647" s="157"/>
      <c r="F647" s="12"/>
      <c r="G647" s="158"/>
    </row>
    <row r="648">
      <c r="A648" s="153"/>
      <c r="B648" s="229"/>
      <c r="C648" s="230"/>
      <c r="D648" s="231"/>
      <c r="E648" s="157"/>
      <c r="F648" s="12"/>
      <c r="G648" s="158"/>
    </row>
    <row r="649">
      <c r="A649" s="153"/>
      <c r="B649" s="229"/>
      <c r="C649" s="230"/>
      <c r="D649" s="231"/>
      <c r="E649" s="157"/>
      <c r="F649" s="12"/>
      <c r="G649" s="158"/>
    </row>
    <row r="650">
      <c r="A650" s="153"/>
      <c r="B650" s="229"/>
      <c r="C650" s="230"/>
      <c r="D650" s="231"/>
      <c r="E650" s="157"/>
      <c r="F650" s="12"/>
      <c r="G650" s="158"/>
    </row>
    <row r="651">
      <c r="A651" s="153"/>
      <c r="B651" s="229"/>
      <c r="C651" s="230"/>
      <c r="D651" s="231"/>
      <c r="E651" s="157"/>
      <c r="F651" s="12"/>
      <c r="G651" s="158"/>
    </row>
    <row r="652">
      <c r="A652" s="153"/>
      <c r="B652" s="229"/>
      <c r="C652" s="230"/>
      <c r="D652" s="231"/>
      <c r="E652" s="157"/>
      <c r="F652" s="12"/>
      <c r="G652" s="158"/>
    </row>
    <row r="653">
      <c r="A653" s="153"/>
      <c r="B653" s="229"/>
      <c r="C653" s="230"/>
      <c r="D653" s="231"/>
      <c r="E653" s="157"/>
      <c r="F653" s="12"/>
      <c r="G653" s="158"/>
    </row>
    <row r="654">
      <c r="A654" s="153"/>
      <c r="B654" s="229"/>
      <c r="C654" s="230"/>
      <c r="D654" s="231"/>
      <c r="E654" s="157"/>
      <c r="F654" s="12"/>
      <c r="G654" s="158"/>
    </row>
    <row r="655">
      <c r="A655" s="153"/>
      <c r="B655" s="229"/>
      <c r="C655" s="230"/>
      <c r="D655" s="231"/>
      <c r="E655" s="157"/>
      <c r="F655" s="12"/>
      <c r="G655" s="158"/>
    </row>
    <row r="656">
      <c r="A656" s="153"/>
      <c r="B656" s="229"/>
      <c r="C656" s="230"/>
      <c r="D656" s="231"/>
      <c r="E656" s="157"/>
      <c r="F656" s="12"/>
      <c r="G656" s="158"/>
    </row>
    <row r="657">
      <c r="A657" s="153"/>
      <c r="B657" s="229"/>
      <c r="C657" s="230"/>
      <c r="D657" s="231"/>
      <c r="E657" s="157"/>
      <c r="F657" s="12"/>
      <c r="G657" s="158"/>
    </row>
    <row r="658">
      <c r="A658" s="153"/>
      <c r="B658" s="229"/>
      <c r="C658" s="230"/>
      <c r="D658" s="231"/>
      <c r="E658" s="157"/>
      <c r="F658" s="12"/>
      <c r="G658" s="158"/>
    </row>
    <row r="659">
      <c r="A659" s="153"/>
      <c r="B659" s="229"/>
      <c r="C659" s="230"/>
      <c r="D659" s="231"/>
      <c r="E659" s="157"/>
      <c r="F659" s="12"/>
      <c r="G659" s="158"/>
    </row>
    <row r="660">
      <c r="A660" s="153"/>
      <c r="B660" s="229"/>
      <c r="C660" s="230"/>
      <c r="D660" s="231"/>
      <c r="E660" s="157"/>
      <c r="F660" s="12"/>
      <c r="G660" s="158"/>
    </row>
    <row r="661">
      <c r="A661" s="153"/>
      <c r="B661" s="229"/>
      <c r="C661" s="230"/>
      <c r="D661" s="231"/>
      <c r="E661" s="157"/>
      <c r="F661" s="12"/>
      <c r="G661" s="158"/>
    </row>
    <row r="662">
      <c r="A662" s="153"/>
      <c r="B662" s="229"/>
      <c r="C662" s="230"/>
      <c r="D662" s="231"/>
      <c r="E662" s="157"/>
      <c r="F662" s="12"/>
      <c r="G662" s="158"/>
    </row>
    <row r="663">
      <c r="A663" s="153"/>
      <c r="B663" s="229"/>
      <c r="C663" s="230"/>
      <c r="D663" s="231"/>
      <c r="E663" s="157"/>
      <c r="F663" s="12"/>
      <c r="G663" s="158"/>
    </row>
    <row r="664">
      <c r="A664" s="153"/>
      <c r="B664" s="229"/>
      <c r="C664" s="230"/>
      <c r="D664" s="231"/>
      <c r="E664" s="157"/>
      <c r="F664" s="12"/>
      <c r="G664" s="158"/>
    </row>
    <row r="665">
      <c r="A665" s="153"/>
      <c r="B665" s="229"/>
      <c r="C665" s="230"/>
      <c r="D665" s="231"/>
      <c r="E665" s="157"/>
      <c r="F665" s="12"/>
      <c r="G665" s="158"/>
    </row>
    <row r="666">
      <c r="A666" s="153"/>
      <c r="B666" s="229"/>
      <c r="C666" s="230"/>
      <c r="D666" s="231"/>
      <c r="E666" s="157"/>
      <c r="F666" s="12"/>
      <c r="G666" s="158"/>
    </row>
    <row r="667">
      <c r="A667" s="153"/>
      <c r="B667" s="229"/>
      <c r="C667" s="230"/>
      <c r="D667" s="231"/>
      <c r="E667" s="157"/>
      <c r="F667" s="12"/>
      <c r="G667" s="158"/>
    </row>
    <row r="668">
      <c r="A668" s="153"/>
      <c r="B668" s="229"/>
      <c r="C668" s="230"/>
      <c r="D668" s="231"/>
      <c r="E668" s="157"/>
      <c r="F668" s="12"/>
      <c r="G668" s="158"/>
    </row>
    <row r="669">
      <c r="A669" s="153"/>
      <c r="B669" s="229"/>
      <c r="C669" s="230"/>
      <c r="D669" s="231"/>
      <c r="E669" s="157"/>
      <c r="F669" s="12"/>
      <c r="G669" s="158"/>
    </row>
    <row r="670">
      <c r="A670" s="153"/>
      <c r="B670" s="229"/>
      <c r="C670" s="230"/>
      <c r="D670" s="231"/>
      <c r="E670" s="157"/>
      <c r="F670" s="12"/>
      <c r="G670" s="158"/>
    </row>
    <row r="671">
      <c r="A671" s="153"/>
      <c r="B671" s="229"/>
      <c r="C671" s="230"/>
      <c r="D671" s="231"/>
      <c r="E671" s="157"/>
      <c r="F671" s="12"/>
      <c r="G671" s="158"/>
    </row>
    <row r="672">
      <c r="A672" s="153"/>
      <c r="B672" s="229"/>
      <c r="C672" s="230"/>
      <c r="D672" s="231"/>
      <c r="E672" s="157"/>
      <c r="F672" s="12"/>
      <c r="G672" s="158"/>
    </row>
    <row r="673">
      <c r="A673" s="153"/>
      <c r="B673" s="229"/>
      <c r="C673" s="230"/>
      <c r="D673" s="231"/>
      <c r="E673" s="157"/>
      <c r="F673" s="12"/>
      <c r="G673" s="158"/>
    </row>
    <row r="674">
      <c r="A674" s="153"/>
      <c r="B674" s="229"/>
      <c r="C674" s="230"/>
      <c r="D674" s="231"/>
      <c r="E674" s="157"/>
      <c r="F674" s="12"/>
      <c r="G674" s="158"/>
    </row>
    <row r="675">
      <c r="A675" s="153"/>
      <c r="B675" s="229"/>
      <c r="C675" s="230"/>
      <c r="D675" s="231"/>
      <c r="E675" s="157"/>
      <c r="F675" s="12"/>
      <c r="G675" s="158"/>
    </row>
    <row r="676">
      <c r="A676" s="153"/>
      <c r="B676" s="229"/>
      <c r="C676" s="230"/>
      <c r="D676" s="231"/>
      <c r="E676" s="157"/>
      <c r="F676" s="12"/>
      <c r="G676" s="158"/>
    </row>
    <row r="677">
      <c r="A677" s="153"/>
      <c r="B677" s="229"/>
      <c r="C677" s="230"/>
      <c r="D677" s="231"/>
      <c r="E677" s="157"/>
      <c r="F677" s="12"/>
      <c r="G677" s="158"/>
    </row>
    <row r="678">
      <c r="A678" s="153"/>
      <c r="B678" s="229"/>
      <c r="C678" s="230"/>
      <c r="D678" s="231"/>
      <c r="E678" s="157"/>
      <c r="F678" s="12"/>
      <c r="G678" s="158"/>
    </row>
    <row r="679">
      <c r="A679" s="153"/>
      <c r="B679" s="229"/>
      <c r="C679" s="230"/>
      <c r="D679" s="231"/>
      <c r="E679" s="157"/>
      <c r="F679" s="12"/>
      <c r="G679" s="158"/>
    </row>
    <row r="680">
      <c r="A680" s="153"/>
      <c r="B680" s="229"/>
      <c r="C680" s="230"/>
      <c r="D680" s="231"/>
      <c r="E680" s="157"/>
      <c r="F680" s="12"/>
      <c r="G680" s="158"/>
    </row>
    <row r="681">
      <c r="A681" s="153"/>
      <c r="B681" s="229"/>
      <c r="C681" s="230"/>
      <c r="D681" s="231"/>
      <c r="E681" s="157"/>
      <c r="F681" s="12"/>
      <c r="G681" s="158"/>
    </row>
    <row r="682">
      <c r="A682" s="153"/>
      <c r="B682" s="229"/>
      <c r="C682" s="230"/>
      <c r="D682" s="231"/>
      <c r="E682" s="157"/>
      <c r="F682" s="12"/>
      <c r="G682" s="158"/>
    </row>
    <row r="683">
      <c r="A683" s="153"/>
      <c r="B683" s="229"/>
      <c r="C683" s="230"/>
      <c r="D683" s="231"/>
      <c r="E683" s="157"/>
      <c r="F683" s="12"/>
      <c r="G683" s="158"/>
    </row>
    <row r="684">
      <c r="A684" s="153"/>
      <c r="B684" s="229"/>
      <c r="C684" s="230"/>
      <c r="D684" s="231"/>
      <c r="E684" s="157"/>
      <c r="F684" s="12"/>
      <c r="G684" s="158"/>
    </row>
    <row r="685">
      <c r="A685" s="153"/>
      <c r="B685" s="229"/>
      <c r="C685" s="230"/>
      <c r="D685" s="231"/>
      <c r="E685" s="157"/>
      <c r="F685" s="12"/>
      <c r="G685" s="158"/>
    </row>
    <row r="686">
      <c r="A686" s="153"/>
      <c r="B686" s="229"/>
      <c r="C686" s="230"/>
      <c r="D686" s="231"/>
      <c r="E686" s="157"/>
      <c r="F686" s="12"/>
      <c r="G686" s="158"/>
    </row>
    <row r="687">
      <c r="A687" s="153"/>
      <c r="B687" s="229"/>
      <c r="C687" s="230"/>
      <c r="D687" s="231"/>
      <c r="E687" s="157"/>
      <c r="F687" s="12"/>
      <c r="G687" s="158"/>
    </row>
    <row r="688">
      <c r="A688" s="153"/>
      <c r="B688" s="229"/>
      <c r="C688" s="230"/>
      <c r="D688" s="231"/>
      <c r="E688" s="157"/>
      <c r="F688" s="12"/>
      <c r="G688" s="158"/>
    </row>
    <row r="689">
      <c r="A689" s="153"/>
      <c r="B689" s="229"/>
      <c r="C689" s="230"/>
      <c r="D689" s="231"/>
      <c r="E689" s="157"/>
      <c r="F689" s="12"/>
      <c r="G689" s="158"/>
    </row>
    <row r="690">
      <c r="A690" s="153"/>
      <c r="B690" s="229"/>
      <c r="C690" s="230"/>
      <c r="D690" s="231"/>
      <c r="E690" s="157"/>
      <c r="F690" s="12"/>
      <c r="G690" s="158"/>
    </row>
    <row r="691">
      <c r="A691" s="153"/>
      <c r="B691" s="229"/>
      <c r="C691" s="230"/>
      <c r="D691" s="231"/>
      <c r="E691" s="157"/>
      <c r="F691" s="12"/>
      <c r="G691" s="158"/>
    </row>
    <row r="692">
      <c r="A692" s="153"/>
      <c r="B692" s="229"/>
      <c r="C692" s="230"/>
      <c r="D692" s="231"/>
      <c r="E692" s="157"/>
      <c r="F692" s="12"/>
      <c r="G692" s="158"/>
    </row>
    <row r="693">
      <c r="A693" s="153"/>
      <c r="B693" s="229"/>
      <c r="C693" s="230"/>
      <c r="D693" s="231"/>
      <c r="E693" s="157"/>
      <c r="F693" s="12"/>
      <c r="G693" s="158"/>
    </row>
    <row r="694">
      <c r="A694" s="153"/>
      <c r="B694" s="229"/>
      <c r="C694" s="230"/>
      <c r="D694" s="231"/>
      <c r="E694" s="157"/>
      <c r="F694" s="12"/>
      <c r="G694" s="158"/>
    </row>
    <row r="695">
      <c r="A695" s="153"/>
      <c r="B695" s="229"/>
      <c r="C695" s="230"/>
      <c r="D695" s="231"/>
      <c r="E695" s="157"/>
      <c r="F695" s="12"/>
      <c r="G695" s="158"/>
    </row>
    <row r="696">
      <c r="A696" s="153"/>
      <c r="B696" s="229"/>
      <c r="C696" s="230"/>
      <c r="D696" s="231"/>
      <c r="E696" s="157"/>
      <c r="F696" s="12"/>
      <c r="G696" s="158"/>
    </row>
    <row r="697">
      <c r="A697" s="153"/>
      <c r="B697" s="229"/>
      <c r="C697" s="230"/>
      <c r="D697" s="231"/>
      <c r="E697" s="157"/>
      <c r="F697" s="12"/>
      <c r="G697" s="158"/>
    </row>
    <row r="698">
      <c r="A698" s="153"/>
      <c r="B698" s="229"/>
      <c r="C698" s="230"/>
      <c r="D698" s="231"/>
      <c r="E698" s="157"/>
      <c r="F698" s="12"/>
      <c r="G698" s="158"/>
    </row>
    <row r="699">
      <c r="A699" s="153"/>
      <c r="B699" s="229"/>
      <c r="C699" s="230"/>
      <c r="D699" s="231"/>
      <c r="E699" s="157"/>
      <c r="F699" s="12"/>
      <c r="G699" s="158"/>
    </row>
    <row r="700">
      <c r="A700" s="153"/>
      <c r="B700" s="229"/>
      <c r="C700" s="230"/>
      <c r="D700" s="231"/>
      <c r="E700" s="157"/>
      <c r="F700" s="12"/>
      <c r="G700" s="158"/>
    </row>
    <row r="701">
      <c r="A701" s="153"/>
      <c r="B701" s="229"/>
      <c r="C701" s="230"/>
      <c r="D701" s="231"/>
      <c r="E701" s="157"/>
      <c r="F701" s="12"/>
      <c r="G701" s="158"/>
    </row>
    <row r="702">
      <c r="A702" s="153"/>
      <c r="B702" s="229"/>
      <c r="C702" s="230"/>
      <c r="D702" s="231"/>
      <c r="E702" s="157"/>
      <c r="F702" s="12"/>
      <c r="G702" s="158"/>
    </row>
    <row r="703">
      <c r="A703" s="153"/>
      <c r="B703" s="229"/>
      <c r="C703" s="230"/>
      <c r="D703" s="231"/>
      <c r="E703" s="157"/>
      <c r="F703" s="12"/>
      <c r="G703" s="158"/>
    </row>
    <row r="704">
      <c r="A704" s="153"/>
      <c r="B704" s="229"/>
      <c r="C704" s="230"/>
      <c r="D704" s="231"/>
      <c r="E704" s="157"/>
      <c r="F704" s="12"/>
      <c r="G704" s="158"/>
    </row>
    <row r="705">
      <c r="A705" s="153"/>
      <c r="B705" s="229"/>
      <c r="C705" s="230"/>
      <c r="D705" s="231"/>
      <c r="E705" s="157"/>
      <c r="F705" s="12"/>
      <c r="G705" s="158"/>
    </row>
    <row r="706">
      <c r="A706" s="153"/>
      <c r="B706" s="229"/>
      <c r="C706" s="230"/>
      <c r="D706" s="231"/>
      <c r="E706" s="157"/>
      <c r="F706" s="12"/>
      <c r="G706" s="158"/>
    </row>
    <row r="707">
      <c r="A707" s="153"/>
      <c r="B707" s="229"/>
      <c r="C707" s="230"/>
      <c r="D707" s="231"/>
      <c r="E707" s="157"/>
      <c r="F707" s="12"/>
      <c r="G707" s="158"/>
    </row>
    <row r="708">
      <c r="A708" s="153"/>
      <c r="B708" s="229"/>
      <c r="C708" s="230"/>
      <c r="D708" s="231"/>
      <c r="E708" s="157"/>
      <c r="F708" s="12"/>
      <c r="G708" s="158"/>
    </row>
    <row r="709">
      <c r="A709" s="153"/>
      <c r="B709" s="229"/>
      <c r="C709" s="230"/>
      <c r="D709" s="231"/>
      <c r="E709" s="157"/>
      <c r="F709" s="12"/>
      <c r="G709" s="158"/>
    </row>
    <row r="710">
      <c r="A710" s="153"/>
      <c r="B710" s="229"/>
      <c r="C710" s="230"/>
      <c r="D710" s="231"/>
      <c r="E710" s="157"/>
      <c r="F710" s="12"/>
      <c r="G710" s="158"/>
    </row>
    <row r="711">
      <c r="A711" s="153"/>
      <c r="B711" s="229"/>
      <c r="C711" s="230"/>
      <c r="D711" s="231"/>
      <c r="E711" s="157"/>
      <c r="F711" s="12"/>
      <c r="G711" s="158"/>
    </row>
    <row r="712">
      <c r="A712" s="153"/>
      <c r="B712" s="229"/>
      <c r="C712" s="230"/>
      <c r="D712" s="231"/>
      <c r="E712" s="157"/>
      <c r="F712" s="12"/>
      <c r="G712" s="158"/>
    </row>
    <row r="713">
      <c r="A713" s="153"/>
      <c r="B713" s="229"/>
      <c r="C713" s="230"/>
      <c r="D713" s="231"/>
      <c r="E713" s="157"/>
      <c r="F713" s="12"/>
      <c r="G713" s="158"/>
    </row>
    <row r="714">
      <c r="A714" s="153"/>
      <c r="B714" s="229"/>
      <c r="C714" s="230"/>
      <c r="D714" s="231"/>
      <c r="E714" s="157"/>
      <c r="F714" s="12"/>
      <c r="G714" s="158"/>
    </row>
    <row r="715">
      <c r="A715" s="153"/>
      <c r="B715" s="229"/>
      <c r="C715" s="230"/>
      <c r="D715" s="231"/>
      <c r="E715" s="157"/>
      <c r="F715" s="12"/>
      <c r="G715" s="158"/>
    </row>
    <row r="716">
      <c r="A716" s="153"/>
      <c r="B716" s="229"/>
      <c r="C716" s="230"/>
      <c r="D716" s="231"/>
      <c r="E716" s="157"/>
      <c r="F716" s="12"/>
      <c r="G716" s="158"/>
    </row>
    <row r="717">
      <c r="A717" s="153"/>
      <c r="B717" s="229"/>
      <c r="C717" s="230"/>
      <c r="D717" s="231"/>
      <c r="E717" s="157"/>
      <c r="F717" s="12"/>
      <c r="G717" s="158"/>
    </row>
    <row r="718">
      <c r="A718" s="153"/>
      <c r="B718" s="229"/>
      <c r="C718" s="230"/>
      <c r="D718" s="231"/>
      <c r="E718" s="157"/>
      <c r="F718" s="12"/>
      <c r="G718" s="158"/>
    </row>
    <row r="719">
      <c r="A719" s="153"/>
      <c r="B719" s="229"/>
      <c r="C719" s="230"/>
      <c r="D719" s="231"/>
      <c r="E719" s="157"/>
      <c r="F719" s="12"/>
      <c r="G719" s="158"/>
    </row>
    <row r="720">
      <c r="A720" s="153"/>
      <c r="B720" s="229"/>
      <c r="C720" s="230"/>
      <c r="D720" s="231"/>
      <c r="E720" s="157"/>
      <c r="F720" s="12"/>
      <c r="G720" s="158"/>
    </row>
    <row r="721">
      <c r="A721" s="153"/>
      <c r="B721" s="229"/>
      <c r="C721" s="230"/>
      <c r="D721" s="231"/>
      <c r="E721" s="157"/>
      <c r="F721" s="12"/>
      <c r="G721" s="158"/>
    </row>
    <row r="722">
      <c r="A722" s="153"/>
      <c r="B722" s="229"/>
      <c r="C722" s="230"/>
      <c r="D722" s="231"/>
      <c r="E722" s="157"/>
      <c r="F722" s="12"/>
      <c r="G722" s="158"/>
    </row>
    <row r="723">
      <c r="A723" s="153"/>
      <c r="B723" s="229"/>
      <c r="C723" s="230"/>
      <c r="D723" s="231"/>
      <c r="E723" s="157"/>
      <c r="F723" s="12"/>
      <c r="G723" s="158"/>
    </row>
    <row r="724">
      <c r="A724" s="153"/>
      <c r="B724" s="229"/>
      <c r="C724" s="230"/>
      <c r="D724" s="231"/>
      <c r="E724" s="157"/>
      <c r="F724" s="12"/>
      <c r="G724" s="158"/>
    </row>
    <row r="725">
      <c r="A725" s="153"/>
      <c r="B725" s="229"/>
      <c r="C725" s="230"/>
      <c r="D725" s="231"/>
      <c r="E725" s="157"/>
      <c r="F725" s="12"/>
      <c r="G725" s="158"/>
    </row>
    <row r="726">
      <c r="A726" s="153"/>
      <c r="B726" s="229"/>
      <c r="C726" s="230"/>
      <c r="D726" s="231"/>
      <c r="E726" s="157"/>
      <c r="F726" s="12"/>
      <c r="G726" s="158"/>
    </row>
    <row r="727">
      <c r="A727" s="153"/>
      <c r="B727" s="229"/>
      <c r="C727" s="230"/>
      <c r="D727" s="231"/>
      <c r="E727" s="157"/>
      <c r="F727" s="12"/>
      <c r="G727" s="158"/>
    </row>
    <row r="728">
      <c r="A728" s="153"/>
      <c r="B728" s="229"/>
      <c r="C728" s="230"/>
      <c r="D728" s="231"/>
      <c r="E728" s="157"/>
      <c r="F728" s="12"/>
      <c r="G728" s="158"/>
    </row>
    <row r="729">
      <c r="A729" s="153"/>
      <c r="B729" s="229"/>
      <c r="C729" s="230"/>
      <c r="D729" s="231"/>
      <c r="E729" s="157"/>
      <c r="F729" s="12"/>
      <c r="G729" s="158"/>
    </row>
    <row r="730">
      <c r="A730" s="153"/>
      <c r="B730" s="229"/>
      <c r="C730" s="230"/>
      <c r="D730" s="231"/>
      <c r="E730" s="157"/>
      <c r="F730" s="12"/>
      <c r="G730" s="158"/>
    </row>
    <row r="731">
      <c r="A731" s="153"/>
      <c r="B731" s="229"/>
      <c r="C731" s="230"/>
      <c r="D731" s="231"/>
      <c r="E731" s="157"/>
      <c r="F731" s="12"/>
      <c r="G731" s="158"/>
    </row>
    <row r="732">
      <c r="A732" s="153"/>
      <c r="B732" s="229"/>
      <c r="C732" s="230"/>
      <c r="D732" s="231"/>
      <c r="E732" s="157"/>
      <c r="F732" s="12"/>
      <c r="G732" s="158"/>
    </row>
    <row r="733">
      <c r="A733" s="153"/>
      <c r="B733" s="229"/>
      <c r="C733" s="230"/>
      <c r="D733" s="231"/>
      <c r="E733" s="157"/>
      <c r="F733" s="12"/>
      <c r="G733" s="158"/>
    </row>
    <row r="734">
      <c r="A734" s="153"/>
      <c r="B734" s="229"/>
      <c r="C734" s="230"/>
      <c r="D734" s="231"/>
      <c r="E734" s="157"/>
      <c r="F734" s="12"/>
      <c r="G734" s="158"/>
    </row>
    <row r="735">
      <c r="A735" s="153"/>
      <c r="B735" s="229"/>
      <c r="C735" s="230"/>
      <c r="D735" s="231"/>
      <c r="E735" s="157"/>
      <c r="F735" s="12"/>
      <c r="G735" s="158"/>
    </row>
    <row r="736">
      <c r="A736" s="153"/>
      <c r="B736" s="229"/>
      <c r="C736" s="230"/>
      <c r="D736" s="231"/>
      <c r="E736" s="157"/>
      <c r="F736" s="12"/>
      <c r="G736" s="158"/>
    </row>
    <row r="737">
      <c r="A737" s="153"/>
      <c r="B737" s="229"/>
      <c r="C737" s="230"/>
      <c r="D737" s="231"/>
      <c r="E737" s="157"/>
      <c r="F737" s="12"/>
      <c r="G737" s="158"/>
    </row>
    <row r="738">
      <c r="A738" s="153"/>
      <c r="B738" s="229"/>
      <c r="C738" s="230"/>
      <c r="D738" s="231"/>
      <c r="E738" s="157"/>
      <c r="F738" s="12"/>
      <c r="G738" s="158"/>
    </row>
    <row r="739">
      <c r="A739" s="153"/>
      <c r="B739" s="229"/>
      <c r="C739" s="230"/>
      <c r="D739" s="231"/>
      <c r="E739" s="157"/>
      <c r="F739" s="12"/>
      <c r="G739" s="158"/>
    </row>
    <row r="740">
      <c r="A740" s="153"/>
      <c r="B740" s="229"/>
      <c r="C740" s="230"/>
      <c r="D740" s="231"/>
      <c r="E740" s="157"/>
      <c r="F740" s="12"/>
      <c r="G740" s="158"/>
    </row>
    <row r="741">
      <c r="A741" s="153"/>
      <c r="B741" s="229"/>
      <c r="C741" s="230"/>
      <c r="D741" s="231"/>
      <c r="E741" s="157"/>
      <c r="F741" s="12"/>
      <c r="G741" s="158"/>
    </row>
    <row r="742">
      <c r="A742" s="153"/>
      <c r="B742" s="229"/>
      <c r="C742" s="230"/>
      <c r="D742" s="231"/>
      <c r="E742" s="157"/>
      <c r="F742" s="12"/>
      <c r="G742" s="158"/>
    </row>
    <row r="743">
      <c r="A743" s="153"/>
      <c r="B743" s="229"/>
      <c r="C743" s="230"/>
      <c r="D743" s="231"/>
      <c r="E743" s="157"/>
      <c r="F743" s="12"/>
      <c r="G743" s="158"/>
    </row>
    <row r="744">
      <c r="A744" s="153"/>
      <c r="B744" s="229"/>
      <c r="C744" s="230"/>
      <c r="D744" s="231"/>
      <c r="E744" s="157"/>
      <c r="F744" s="12"/>
      <c r="G744" s="158"/>
    </row>
    <row r="745">
      <c r="A745" s="153"/>
      <c r="B745" s="229"/>
      <c r="C745" s="230"/>
      <c r="D745" s="231"/>
      <c r="E745" s="157"/>
      <c r="F745" s="12"/>
      <c r="G745" s="158"/>
    </row>
    <row r="746">
      <c r="A746" s="153"/>
      <c r="B746" s="229"/>
      <c r="C746" s="230"/>
      <c r="D746" s="231"/>
      <c r="E746" s="157"/>
      <c r="F746" s="12"/>
      <c r="G746" s="158"/>
    </row>
    <row r="747">
      <c r="A747" s="153"/>
      <c r="B747" s="229"/>
      <c r="C747" s="230"/>
      <c r="D747" s="231"/>
      <c r="E747" s="157"/>
      <c r="F747" s="12"/>
      <c r="G747" s="158"/>
    </row>
    <row r="748">
      <c r="A748" s="153"/>
      <c r="B748" s="229"/>
      <c r="C748" s="230"/>
      <c r="D748" s="231"/>
      <c r="E748" s="157"/>
      <c r="F748" s="12"/>
      <c r="G748" s="158"/>
    </row>
    <row r="749">
      <c r="A749" s="153"/>
      <c r="B749" s="229"/>
      <c r="C749" s="230"/>
      <c r="D749" s="231"/>
      <c r="E749" s="157"/>
      <c r="F749" s="12"/>
      <c r="G749" s="158"/>
    </row>
    <row r="750">
      <c r="A750" s="153"/>
      <c r="B750" s="229"/>
      <c r="C750" s="230"/>
      <c r="D750" s="231"/>
      <c r="E750" s="157"/>
      <c r="F750" s="12"/>
      <c r="G750" s="158"/>
    </row>
    <row r="751">
      <c r="A751" s="153"/>
      <c r="B751" s="229"/>
      <c r="C751" s="230"/>
      <c r="D751" s="231"/>
      <c r="E751" s="157"/>
      <c r="F751" s="12"/>
      <c r="G751" s="158"/>
    </row>
    <row r="752">
      <c r="A752" s="153"/>
      <c r="B752" s="229"/>
      <c r="C752" s="230"/>
      <c r="D752" s="231"/>
      <c r="E752" s="157"/>
      <c r="F752" s="12"/>
      <c r="G752" s="158"/>
    </row>
    <row r="753">
      <c r="A753" s="153"/>
      <c r="B753" s="229"/>
      <c r="C753" s="230"/>
      <c r="D753" s="231"/>
      <c r="E753" s="157"/>
      <c r="F753" s="12"/>
      <c r="G753" s="158"/>
    </row>
    <row r="754">
      <c r="A754" s="153"/>
      <c r="B754" s="229"/>
      <c r="C754" s="230"/>
      <c r="D754" s="231"/>
      <c r="E754" s="157"/>
      <c r="F754" s="12"/>
      <c r="G754" s="158"/>
    </row>
    <row r="755">
      <c r="A755" s="153"/>
      <c r="B755" s="229"/>
      <c r="C755" s="230"/>
      <c r="D755" s="231"/>
      <c r="E755" s="157"/>
      <c r="F755" s="12"/>
      <c r="G755" s="158"/>
    </row>
    <row r="756">
      <c r="A756" s="153"/>
      <c r="B756" s="229"/>
      <c r="C756" s="230"/>
      <c r="D756" s="231"/>
      <c r="E756" s="157"/>
      <c r="F756" s="12"/>
      <c r="G756" s="158"/>
    </row>
    <row r="757">
      <c r="A757" s="153"/>
      <c r="B757" s="229"/>
      <c r="C757" s="230"/>
      <c r="D757" s="231"/>
      <c r="E757" s="157"/>
      <c r="F757" s="12"/>
      <c r="G757" s="158"/>
    </row>
    <row r="758">
      <c r="A758" s="153"/>
      <c r="B758" s="229"/>
      <c r="C758" s="230"/>
      <c r="D758" s="231"/>
      <c r="E758" s="157"/>
      <c r="F758" s="12"/>
      <c r="G758" s="158"/>
    </row>
    <row r="759">
      <c r="A759" s="153"/>
      <c r="B759" s="229"/>
      <c r="C759" s="230"/>
      <c r="D759" s="231"/>
      <c r="E759" s="157"/>
      <c r="F759" s="12"/>
      <c r="G759" s="158"/>
    </row>
    <row r="760">
      <c r="A760" s="153"/>
      <c r="B760" s="229"/>
      <c r="C760" s="230"/>
      <c r="D760" s="231"/>
      <c r="E760" s="157"/>
      <c r="F760" s="12"/>
      <c r="G760" s="158"/>
    </row>
    <row r="761">
      <c r="A761" s="153"/>
      <c r="B761" s="229"/>
      <c r="C761" s="230"/>
      <c r="D761" s="231"/>
      <c r="E761" s="157"/>
      <c r="F761" s="12"/>
      <c r="G761" s="158"/>
    </row>
    <row r="762">
      <c r="A762" s="153"/>
      <c r="B762" s="229"/>
      <c r="C762" s="230"/>
      <c r="D762" s="231"/>
      <c r="E762" s="157"/>
      <c r="F762" s="12"/>
      <c r="G762" s="158"/>
    </row>
    <row r="763">
      <c r="A763" s="153"/>
      <c r="B763" s="229"/>
      <c r="C763" s="230"/>
      <c r="D763" s="231"/>
      <c r="E763" s="157"/>
      <c r="F763" s="12"/>
      <c r="G763" s="158"/>
    </row>
    <row r="764">
      <c r="A764" s="153"/>
      <c r="B764" s="229"/>
      <c r="C764" s="230"/>
      <c r="D764" s="231"/>
      <c r="E764" s="157"/>
      <c r="F764" s="12"/>
      <c r="G764" s="158"/>
    </row>
    <row r="765">
      <c r="A765" s="153"/>
      <c r="B765" s="229"/>
      <c r="C765" s="230"/>
      <c r="D765" s="231"/>
      <c r="E765" s="157"/>
      <c r="F765" s="12"/>
      <c r="G765" s="158"/>
    </row>
    <row r="766">
      <c r="A766" s="153"/>
      <c r="B766" s="229"/>
      <c r="C766" s="230"/>
      <c r="D766" s="231"/>
      <c r="E766" s="157"/>
      <c r="F766" s="12"/>
      <c r="G766" s="158"/>
    </row>
    <row r="767">
      <c r="A767" s="153"/>
      <c r="B767" s="229"/>
      <c r="C767" s="230"/>
      <c r="D767" s="231"/>
      <c r="E767" s="157"/>
      <c r="F767" s="12"/>
      <c r="G767" s="158"/>
    </row>
    <row r="768">
      <c r="A768" s="153"/>
      <c r="B768" s="229"/>
      <c r="C768" s="230"/>
      <c r="D768" s="231"/>
      <c r="E768" s="157"/>
      <c r="F768" s="12"/>
      <c r="G768" s="158"/>
    </row>
    <row r="769">
      <c r="A769" s="153"/>
      <c r="B769" s="229"/>
      <c r="C769" s="230"/>
      <c r="D769" s="231"/>
      <c r="E769" s="157"/>
      <c r="F769" s="12"/>
      <c r="G769" s="158"/>
    </row>
    <row r="770">
      <c r="A770" s="153"/>
      <c r="B770" s="229"/>
      <c r="C770" s="230"/>
      <c r="D770" s="231"/>
      <c r="E770" s="157"/>
      <c r="F770" s="12"/>
      <c r="G770" s="158"/>
    </row>
    <row r="771">
      <c r="A771" s="153"/>
      <c r="B771" s="229"/>
      <c r="C771" s="230"/>
      <c r="D771" s="231"/>
      <c r="E771" s="157"/>
      <c r="F771" s="12"/>
      <c r="G771" s="158"/>
    </row>
    <row r="772">
      <c r="A772" s="153"/>
      <c r="B772" s="229"/>
      <c r="C772" s="230"/>
      <c r="D772" s="231"/>
      <c r="E772" s="157"/>
      <c r="F772" s="12"/>
      <c r="G772" s="158"/>
    </row>
    <row r="773">
      <c r="A773" s="153"/>
      <c r="B773" s="229"/>
      <c r="C773" s="230"/>
      <c r="D773" s="231"/>
      <c r="E773" s="157"/>
      <c r="F773" s="12"/>
      <c r="G773" s="158"/>
    </row>
    <row r="774">
      <c r="A774" s="153"/>
      <c r="B774" s="229"/>
      <c r="C774" s="230"/>
      <c r="D774" s="231"/>
      <c r="E774" s="157"/>
      <c r="F774" s="12"/>
      <c r="G774" s="158"/>
    </row>
    <row r="775">
      <c r="A775" s="153"/>
      <c r="B775" s="229"/>
      <c r="C775" s="230"/>
      <c r="D775" s="231"/>
      <c r="E775" s="157"/>
      <c r="F775" s="12"/>
      <c r="G775" s="158"/>
    </row>
    <row r="776">
      <c r="A776" s="153"/>
      <c r="B776" s="229"/>
      <c r="C776" s="230"/>
      <c r="D776" s="231"/>
      <c r="E776" s="157"/>
      <c r="F776" s="12"/>
      <c r="G776" s="158"/>
    </row>
    <row r="777">
      <c r="A777" s="153"/>
      <c r="B777" s="229"/>
      <c r="C777" s="230"/>
      <c r="D777" s="231"/>
      <c r="E777" s="157"/>
      <c r="F777" s="12"/>
      <c r="G777" s="158"/>
    </row>
    <row r="778">
      <c r="A778" s="153"/>
      <c r="B778" s="229"/>
      <c r="C778" s="230"/>
      <c r="D778" s="231"/>
      <c r="E778" s="157"/>
      <c r="F778" s="12"/>
      <c r="G778" s="158"/>
    </row>
    <row r="779">
      <c r="A779" s="153"/>
      <c r="B779" s="229"/>
      <c r="C779" s="230"/>
      <c r="D779" s="231"/>
      <c r="E779" s="157"/>
      <c r="F779" s="12"/>
      <c r="G779" s="158"/>
    </row>
    <row r="780">
      <c r="A780" s="153"/>
      <c r="B780" s="229"/>
      <c r="C780" s="230"/>
      <c r="D780" s="231"/>
      <c r="E780" s="157"/>
      <c r="F780" s="12"/>
      <c r="G780" s="158"/>
    </row>
    <row r="781">
      <c r="A781" s="153"/>
      <c r="B781" s="229"/>
      <c r="C781" s="230"/>
      <c r="D781" s="231"/>
      <c r="E781" s="157"/>
      <c r="F781" s="12"/>
      <c r="G781" s="158"/>
    </row>
    <row r="782">
      <c r="A782" s="153"/>
      <c r="B782" s="229"/>
      <c r="C782" s="230"/>
      <c r="D782" s="231"/>
      <c r="E782" s="157"/>
      <c r="F782" s="12"/>
      <c r="G782" s="158"/>
    </row>
    <row r="783">
      <c r="A783" s="153"/>
      <c r="B783" s="229"/>
      <c r="C783" s="230"/>
      <c r="D783" s="231"/>
      <c r="E783" s="157"/>
      <c r="F783" s="12"/>
      <c r="G783" s="158"/>
    </row>
    <row r="784">
      <c r="A784" s="153"/>
      <c r="B784" s="229"/>
      <c r="C784" s="230"/>
      <c r="D784" s="231"/>
      <c r="E784" s="157"/>
      <c r="F784" s="12"/>
      <c r="G784" s="158"/>
    </row>
    <row r="785">
      <c r="A785" s="153"/>
      <c r="B785" s="229"/>
      <c r="C785" s="230"/>
      <c r="D785" s="231"/>
      <c r="E785" s="157"/>
      <c r="F785" s="12"/>
      <c r="G785" s="158"/>
    </row>
    <row r="786">
      <c r="A786" s="153"/>
      <c r="B786" s="229"/>
      <c r="C786" s="230"/>
      <c r="D786" s="231"/>
      <c r="E786" s="157"/>
      <c r="F786" s="12"/>
      <c r="G786" s="158"/>
    </row>
    <row r="787">
      <c r="A787" s="153"/>
      <c r="B787" s="229"/>
      <c r="C787" s="230"/>
      <c r="D787" s="231"/>
      <c r="E787" s="157"/>
      <c r="F787" s="12"/>
      <c r="G787" s="158"/>
    </row>
    <row r="788">
      <c r="A788" s="153"/>
      <c r="B788" s="229"/>
      <c r="C788" s="230"/>
      <c r="D788" s="231"/>
      <c r="E788" s="157"/>
      <c r="F788" s="12"/>
      <c r="G788" s="158"/>
    </row>
    <row r="789">
      <c r="A789" s="153"/>
      <c r="B789" s="229"/>
      <c r="C789" s="230"/>
      <c r="D789" s="231"/>
      <c r="E789" s="157"/>
      <c r="F789" s="12"/>
      <c r="G789" s="158"/>
    </row>
    <row r="790">
      <c r="A790" s="153"/>
      <c r="B790" s="229"/>
      <c r="C790" s="230"/>
      <c r="D790" s="231"/>
      <c r="E790" s="157"/>
      <c r="F790" s="12"/>
      <c r="G790" s="158"/>
    </row>
    <row r="791">
      <c r="A791" s="153"/>
      <c r="B791" s="229"/>
      <c r="C791" s="230"/>
      <c r="D791" s="231"/>
      <c r="E791" s="157"/>
      <c r="F791" s="12"/>
      <c r="G791" s="158"/>
    </row>
    <row r="792">
      <c r="A792" s="153"/>
      <c r="B792" s="229"/>
      <c r="C792" s="230"/>
      <c r="D792" s="231"/>
      <c r="E792" s="157"/>
      <c r="F792" s="12"/>
      <c r="G792" s="158"/>
    </row>
    <row r="793">
      <c r="A793" s="153"/>
      <c r="B793" s="229"/>
      <c r="C793" s="230"/>
      <c r="D793" s="231"/>
      <c r="E793" s="157"/>
      <c r="F793" s="12"/>
      <c r="G793" s="158"/>
    </row>
    <row r="794">
      <c r="A794" s="153"/>
      <c r="B794" s="229"/>
      <c r="C794" s="230"/>
      <c r="D794" s="231"/>
      <c r="E794" s="157"/>
      <c r="F794" s="12"/>
      <c r="G794" s="158"/>
    </row>
    <row r="795">
      <c r="A795" s="153"/>
      <c r="B795" s="229"/>
      <c r="C795" s="230"/>
      <c r="D795" s="231"/>
      <c r="E795" s="157"/>
      <c r="F795" s="12"/>
      <c r="G795" s="158"/>
    </row>
    <row r="796">
      <c r="A796" s="153"/>
      <c r="B796" s="229"/>
      <c r="C796" s="230"/>
      <c r="D796" s="231"/>
      <c r="E796" s="157"/>
      <c r="F796" s="12"/>
      <c r="G796" s="158"/>
    </row>
    <row r="797">
      <c r="A797" s="153"/>
      <c r="B797" s="229"/>
      <c r="C797" s="230"/>
      <c r="D797" s="231"/>
      <c r="E797" s="157"/>
      <c r="F797" s="12"/>
      <c r="G797" s="158"/>
    </row>
    <row r="798">
      <c r="A798" s="153"/>
      <c r="B798" s="229"/>
      <c r="C798" s="230"/>
      <c r="D798" s="231"/>
      <c r="E798" s="157"/>
      <c r="F798" s="12"/>
      <c r="G798" s="158"/>
    </row>
    <row r="799">
      <c r="A799" s="153"/>
      <c r="B799" s="229"/>
      <c r="C799" s="230"/>
      <c r="D799" s="231"/>
      <c r="E799" s="157"/>
      <c r="F799" s="12"/>
      <c r="G799" s="158"/>
    </row>
    <row r="800">
      <c r="A800" s="153"/>
      <c r="B800" s="229"/>
      <c r="C800" s="230"/>
      <c r="D800" s="231"/>
      <c r="E800" s="157"/>
      <c r="F800" s="12"/>
      <c r="G800" s="158"/>
    </row>
    <row r="801">
      <c r="A801" s="153"/>
      <c r="B801" s="229"/>
      <c r="C801" s="230"/>
      <c r="D801" s="231"/>
      <c r="E801" s="157"/>
      <c r="F801" s="12"/>
      <c r="G801" s="158"/>
    </row>
    <row r="802">
      <c r="A802" s="153"/>
      <c r="B802" s="229"/>
      <c r="C802" s="230"/>
      <c r="D802" s="231"/>
      <c r="E802" s="157"/>
      <c r="F802" s="12"/>
      <c r="G802" s="158"/>
    </row>
    <row r="803">
      <c r="A803" s="153"/>
      <c r="B803" s="229"/>
      <c r="C803" s="230"/>
      <c r="D803" s="231"/>
      <c r="E803" s="157"/>
      <c r="F803" s="12"/>
      <c r="G803" s="158"/>
    </row>
    <row r="804">
      <c r="A804" s="153"/>
      <c r="B804" s="229"/>
      <c r="C804" s="230"/>
      <c r="D804" s="231"/>
      <c r="E804" s="157"/>
      <c r="F804" s="12"/>
      <c r="G804" s="158"/>
    </row>
    <row r="805">
      <c r="A805" s="153"/>
      <c r="B805" s="229"/>
      <c r="C805" s="230"/>
      <c r="D805" s="231"/>
      <c r="E805" s="157"/>
      <c r="F805" s="12"/>
      <c r="G805" s="158"/>
    </row>
    <row r="806">
      <c r="A806" s="153"/>
      <c r="B806" s="229"/>
      <c r="C806" s="230"/>
      <c r="D806" s="231"/>
      <c r="E806" s="157"/>
      <c r="F806" s="12"/>
      <c r="G806" s="158"/>
    </row>
    <row r="807">
      <c r="A807" s="153"/>
      <c r="B807" s="229"/>
      <c r="C807" s="230"/>
      <c r="D807" s="231"/>
      <c r="E807" s="157"/>
      <c r="F807" s="12"/>
      <c r="G807" s="158"/>
    </row>
    <row r="808">
      <c r="A808" s="153"/>
      <c r="B808" s="229"/>
      <c r="C808" s="230"/>
      <c r="D808" s="231"/>
      <c r="E808" s="157"/>
      <c r="F808" s="12"/>
      <c r="G808" s="158"/>
    </row>
    <row r="809">
      <c r="A809" s="153"/>
      <c r="B809" s="229"/>
      <c r="C809" s="230"/>
      <c r="D809" s="231"/>
      <c r="E809" s="157"/>
      <c r="F809" s="12"/>
      <c r="G809" s="158"/>
    </row>
    <row r="810">
      <c r="A810" s="153"/>
      <c r="B810" s="229"/>
      <c r="C810" s="230"/>
      <c r="D810" s="231"/>
      <c r="E810" s="157"/>
      <c r="F810" s="12"/>
      <c r="G810" s="158"/>
    </row>
    <row r="811">
      <c r="A811" s="153"/>
      <c r="B811" s="229"/>
      <c r="C811" s="230"/>
      <c r="D811" s="231"/>
      <c r="E811" s="157"/>
      <c r="F811" s="12"/>
      <c r="G811" s="158"/>
    </row>
    <row r="812">
      <c r="A812" s="153"/>
      <c r="B812" s="229"/>
      <c r="C812" s="230"/>
      <c r="D812" s="231"/>
      <c r="E812" s="157"/>
      <c r="F812" s="12"/>
      <c r="G812" s="158"/>
    </row>
    <row r="813">
      <c r="A813" s="153"/>
      <c r="B813" s="229"/>
      <c r="C813" s="230"/>
      <c r="D813" s="231"/>
      <c r="E813" s="157"/>
      <c r="F813" s="12"/>
      <c r="G813" s="158"/>
    </row>
    <row r="814">
      <c r="A814" s="153"/>
      <c r="B814" s="229"/>
      <c r="C814" s="230"/>
      <c r="D814" s="231"/>
      <c r="E814" s="157"/>
      <c r="F814" s="12"/>
      <c r="G814" s="158"/>
    </row>
    <row r="815">
      <c r="A815" s="153"/>
      <c r="B815" s="229"/>
      <c r="C815" s="230"/>
      <c r="D815" s="231"/>
      <c r="E815" s="157"/>
      <c r="F815" s="12"/>
      <c r="G815" s="158"/>
    </row>
    <row r="816">
      <c r="A816" s="153"/>
      <c r="B816" s="229"/>
      <c r="C816" s="230"/>
      <c r="D816" s="231"/>
      <c r="E816" s="157"/>
      <c r="F816" s="12"/>
      <c r="G816" s="158"/>
    </row>
    <row r="817">
      <c r="A817" s="153"/>
      <c r="B817" s="229"/>
      <c r="C817" s="230"/>
      <c r="D817" s="231"/>
      <c r="E817" s="157"/>
      <c r="F817" s="12"/>
      <c r="G817" s="158"/>
    </row>
    <row r="818">
      <c r="A818" s="153"/>
      <c r="B818" s="229"/>
      <c r="C818" s="230"/>
      <c r="D818" s="231"/>
      <c r="E818" s="157"/>
      <c r="F818" s="12"/>
      <c r="G818" s="158"/>
    </row>
    <row r="819">
      <c r="A819" s="153"/>
      <c r="B819" s="229"/>
      <c r="C819" s="230"/>
      <c r="D819" s="231"/>
      <c r="E819" s="157"/>
      <c r="F819" s="12"/>
      <c r="G819" s="158"/>
    </row>
    <row r="820">
      <c r="A820" s="153"/>
      <c r="B820" s="229"/>
      <c r="C820" s="230"/>
      <c r="D820" s="231"/>
      <c r="E820" s="157"/>
      <c r="F820" s="12"/>
      <c r="G820" s="158"/>
    </row>
    <row r="821">
      <c r="A821" s="153"/>
      <c r="B821" s="229"/>
      <c r="C821" s="230"/>
      <c r="D821" s="231"/>
      <c r="E821" s="157"/>
      <c r="F821" s="12"/>
      <c r="G821" s="158"/>
    </row>
    <row r="822">
      <c r="A822" s="153"/>
      <c r="B822" s="229"/>
      <c r="C822" s="230"/>
      <c r="D822" s="231"/>
      <c r="E822" s="157"/>
      <c r="F822" s="12"/>
      <c r="G822" s="158"/>
    </row>
    <row r="823">
      <c r="A823" s="153"/>
      <c r="B823" s="229"/>
      <c r="C823" s="230"/>
      <c r="D823" s="231"/>
      <c r="E823" s="157"/>
      <c r="F823" s="12"/>
      <c r="G823" s="158"/>
    </row>
    <row r="824">
      <c r="A824" s="153"/>
      <c r="B824" s="229"/>
      <c r="C824" s="230"/>
      <c r="D824" s="231"/>
      <c r="E824" s="157"/>
      <c r="F824" s="12"/>
      <c r="G824" s="158"/>
    </row>
    <row r="825">
      <c r="A825" s="153"/>
      <c r="B825" s="229"/>
      <c r="C825" s="230"/>
      <c r="D825" s="231"/>
      <c r="E825" s="157"/>
      <c r="F825" s="12"/>
      <c r="G825" s="158"/>
    </row>
    <row r="826">
      <c r="A826" s="153"/>
      <c r="B826" s="229"/>
      <c r="C826" s="230"/>
      <c r="D826" s="231"/>
      <c r="E826" s="157"/>
      <c r="F826" s="12"/>
      <c r="G826" s="158"/>
    </row>
    <row r="827">
      <c r="A827" s="153"/>
      <c r="B827" s="229"/>
      <c r="C827" s="230"/>
      <c r="D827" s="231"/>
      <c r="E827" s="157"/>
      <c r="F827" s="12"/>
      <c r="G827" s="158"/>
    </row>
    <row r="828">
      <c r="A828" s="153"/>
      <c r="B828" s="229"/>
      <c r="C828" s="230"/>
      <c r="D828" s="231"/>
      <c r="E828" s="157"/>
      <c r="F828" s="12"/>
      <c r="G828" s="158"/>
    </row>
    <row r="829">
      <c r="A829" s="153"/>
      <c r="B829" s="229"/>
      <c r="C829" s="230"/>
      <c r="D829" s="231"/>
      <c r="E829" s="157"/>
      <c r="F829" s="12"/>
      <c r="G829" s="158"/>
    </row>
    <row r="830">
      <c r="A830" s="153"/>
      <c r="B830" s="229"/>
      <c r="C830" s="230"/>
      <c r="D830" s="231"/>
      <c r="E830" s="157"/>
      <c r="F830" s="12"/>
      <c r="G830" s="158"/>
    </row>
    <row r="831">
      <c r="A831" s="153"/>
      <c r="B831" s="229"/>
      <c r="C831" s="230"/>
      <c r="D831" s="231"/>
      <c r="E831" s="157"/>
      <c r="F831" s="12"/>
      <c r="G831" s="158"/>
    </row>
    <row r="832">
      <c r="A832" s="153"/>
      <c r="B832" s="229"/>
      <c r="C832" s="230"/>
      <c r="D832" s="231"/>
      <c r="E832" s="157"/>
      <c r="F832" s="12"/>
      <c r="G832" s="158"/>
    </row>
    <row r="833">
      <c r="A833" s="153"/>
      <c r="B833" s="229"/>
      <c r="C833" s="230"/>
      <c r="D833" s="231"/>
      <c r="E833" s="157"/>
      <c r="F833" s="12"/>
      <c r="G833" s="158"/>
    </row>
    <row r="834">
      <c r="A834" s="153"/>
      <c r="B834" s="229"/>
      <c r="C834" s="230"/>
      <c r="D834" s="231"/>
      <c r="E834" s="157"/>
      <c r="F834" s="12"/>
      <c r="G834" s="158"/>
    </row>
    <row r="835">
      <c r="A835" s="153"/>
      <c r="B835" s="229"/>
      <c r="C835" s="230"/>
      <c r="D835" s="231"/>
      <c r="E835" s="157"/>
      <c r="F835" s="12"/>
      <c r="G835" s="158"/>
    </row>
    <row r="836">
      <c r="A836" s="153"/>
      <c r="B836" s="229"/>
      <c r="C836" s="230"/>
      <c r="D836" s="231"/>
      <c r="E836" s="157"/>
      <c r="F836" s="12"/>
      <c r="G836" s="158"/>
    </row>
    <row r="837">
      <c r="A837" s="153"/>
      <c r="B837" s="229"/>
      <c r="C837" s="230"/>
      <c r="D837" s="231"/>
      <c r="E837" s="157"/>
      <c r="F837" s="12"/>
      <c r="G837" s="158"/>
    </row>
    <row r="838">
      <c r="A838" s="153"/>
      <c r="B838" s="229"/>
      <c r="C838" s="230"/>
      <c r="D838" s="231"/>
      <c r="E838" s="157"/>
      <c r="F838" s="12"/>
      <c r="G838" s="158"/>
    </row>
    <row r="839">
      <c r="A839" s="153"/>
      <c r="B839" s="229"/>
      <c r="C839" s="230"/>
      <c r="D839" s="231"/>
      <c r="E839" s="157"/>
      <c r="F839" s="12"/>
      <c r="G839" s="158"/>
    </row>
    <row r="840">
      <c r="A840" s="153"/>
      <c r="B840" s="229"/>
      <c r="C840" s="230"/>
      <c r="D840" s="231"/>
      <c r="E840" s="157"/>
      <c r="F840" s="12"/>
      <c r="G840" s="158"/>
    </row>
    <row r="841">
      <c r="A841" s="153"/>
      <c r="B841" s="229"/>
      <c r="C841" s="230"/>
      <c r="D841" s="231"/>
      <c r="E841" s="157"/>
      <c r="F841" s="12"/>
      <c r="G841" s="158"/>
    </row>
    <row r="842">
      <c r="A842" s="153"/>
      <c r="B842" s="229"/>
      <c r="C842" s="230"/>
      <c r="D842" s="231"/>
      <c r="E842" s="157"/>
      <c r="F842" s="12"/>
      <c r="G842" s="158"/>
    </row>
    <row r="843">
      <c r="A843" s="153"/>
      <c r="B843" s="229"/>
      <c r="C843" s="230"/>
      <c r="D843" s="231"/>
      <c r="E843" s="157"/>
      <c r="F843" s="12"/>
      <c r="G843" s="158"/>
    </row>
    <row r="844">
      <c r="A844" s="153"/>
      <c r="B844" s="229"/>
      <c r="C844" s="230"/>
      <c r="D844" s="231"/>
      <c r="E844" s="157"/>
      <c r="F844" s="12"/>
      <c r="G844" s="158"/>
    </row>
    <row r="845">
      <c r="A845" s="153"/>
      <c r="B845" s="229"/>
      <c r="C845" s="230"/>
      <c r="D845" s="231"/>
      <c r="E845" s="157"/>
      <c r="F845" s="12"/>
      <c r="G845" s="158"/>
    </row>
    <row r="846">
      <c r="A846" s="153"/>
      <c r="B846" s="229"/>
      <c r="C846" s="230"/>
      <c r="D846" s="231"/>
      <c r="E846" s="157"/>
      <c r="F846" s="12"/>
      <c r="G846" s="158"/>
    </row>
    <row r="847">
      <c r="A847" s="153"/>
      <c r="B847" s="229"/>
      <c r="C847" s="230"/>
      <c r="D847" s="231"/>
      <c r="E847" s="157"/>
      <c r="F847" s="12"/>
      <c r="G847" s="158"/>
    </row>
    <row r="848">
      <c r="A848" s="153"/>
      <c r="B848" s="229"/>
      <c r="C848" s="230"/>
      <c r="D848" s="231"/>
      <c r="E848" s="157"/>
      <c r="F848" s="12"/>
      <c r="G848" s="158"/>
    </row>
    <row r="849">
      <c r="A849" s="153"/>
      <c r="B849" s="229"/>
      <c r="C849" s="230"/>
      <c r="D849" s="231"/>
      <c r="E849" s="157"/>
      <c r="F849" s="12"/>
      <c r="G849" s="158"/>
    </row>
    <row r="850">
      <c r="A850" s="153"/>
      <c r="B850" s="229"/>
      <c r="C850" s="230"/>
      <c r="D850" s="231"/>
      <c r="E850" s="157"/>
      <c r="F850" s="12"/>
      <c r="G850" s="158"/>
    </row>
    <row r="851">
      <c r="A851" s="153"/>
      <c r="B851" s="229"/>
      <c r="C851" s="230"/>
      <c r="D851" s="231"/>
      <c r="E851" s="157"/>
      <c r="F851" s="12"/>
      <c r="G851" s="158"/>
    </row>
    <row r="852">
      <c r="A852" s="153"/>
      <c r="B852" s="229"/>
      <c r="C852" s="230"/>
      <c r="D852" s="231"/>
      <c r="E852" s="157"/>
      <c r="F852" s="12"/>
      <c r="G852" s="158"/>
    </row>
    <row r="853">
      <c r="A853" s="153"/>
      <c r="B853" s="229"/>
      <c r="C853" s="230"/>
      <c r="D853" s="231"/>
      <c r="E853" s="157"/>
      <c r="F853" s="12"/>
      <c r="G853" s="158"/>
    </row>
    <row r="854">
      <c r="A854" s="153"/>
      <c r="B854" s="229"/>
      <c r="C854" s="230"/>
      <c r="D854" s="231"/>
      <c r="E854" s="157"/>
      <c r="F854" s="12"/>
      <c r="G854" s="158"/>
    </row>
    <row r="855">
      <c r="A855" s="153"/>
      <c r="B855" s="229"/>
      <c r="C855" s="230"/>
      <c r="D855" s="231"/>
      <c r="E855" s="157"/>
      <c r="F855" s="12"/>
      <c r="G855" s="158"/>
    </row>
    <row r="856">
      <c r="A856" s="153"/>
      <c r="B856" s="229"/>
      <c r="C856" s="230"/>
      <c r="D856" s="231"/>
      <c r="E856" s="157"/>
      <c r="F856" s="12"/>
      <c r="G856" s="158"/>
    </row>
    <row r="857">
      <c r="A857" s="153"/>
      <c r="B857" s="229"/>
      <c r="C857" s="230"/>
      <c r="D857" s="231"/>
      <c r="E857" s="157"/>
      <c r="F857" s="12"/>
      <c r="G857" s="158"/>
    </row>
    <row r="858">
      <c r="A858" s="153"/>
      <c r="B858" s="229"/>
      <c r="C858" s="230"/>
      <c r="D858" s="231"/>
      <c r="E858" s="157"/>
      <c r="F858" s="12"/>
      <c r="G858" s="158"/>
    </row>
    <row r="859">
      <c r="A859" s="153"/>
      <c r="B859" s="229"/>
      <c r="C859" s="230"/>
      <c r="D859" s="231"/>
      <c r="E859" s="157"/>
      <c r="F859" s="12"/>
      <c r="G859" s="158"/>
    </row>
    <row r="860">
      <c r="A860" s="153"/>
      <c r="B860" s="229"/>
      <c r="C860" s="230"/>
      <c r="D860" s="231"/>
      <c r="E860" s="157"/>
      <c r="F860" s="12"/>
      <c r="G860" s="158"/>
    </row>
    <row r="861">
      <c r="A861" s="153"/>
      <c r="B861" s="229"/>
      <c r="C861" s="230"/>
      <c r="D861" s="231"/>
      <c r="E861" s="157"/>
      <c r="F861" s="12"/>
      <c r="G861" s="158"/>
    </row>
    <row r="862">
      <c r="A862" s="153"/>
      <c r="B862" s="229"/>
      <c r="C862" s="230"/>
      <c r="D862" s="231"/>
      <c r="E862" s="157"/>
      <c r="F862" s="12"/>
      <c r="G862" s="158"/>
    </row>
    <row r="863">
      <c r="A863" s="153"/>
      <c r="B863" s="229"/>
      <c r="C863" s="230"/>
      <c r="D863" s="231"/>
      <c r="E863" s="157"/>
      <c r="F863" s="12"/>
      <c r="G863" s="158"/>
    </row>
    <row r="864">
      <c r="A864" s="153"/>
      <c r="B864" s="229"/>
      <c r="C864" s="230"/>
      <c r="D864" s="231"/>
      <c r="E864" s="157"/>
      <c r="F864" s="12"/>
      <c r="G864" s="158"/>
    </row>
    <row r="865">
      <c r="A865" s="153"/>
      <c r="B865" s="229"/>
      <c r="C865" s="230"/>
      <c r="D865" s="231"/>
      <c r="E865" s="157"/>
      <c r="F865" s="12"/>
      <c r="G865" s="158"/>
    </row>
    <row r="866">
      <c r="A866" s="153"/>
      <c r="B866" s="229"/>
      <c r="C866" s="230"/>
      <c r="D866" s="231"/>
      <c r="E866" s="157"/>
      <c r="F866" s="12"/>
      <c r="G866" s="158"/>
    </row>
    <row r="867">
      <c r="A867" s="153"/>
      <c r="B867" s="229"/>
      <c r="C867" s="230"/>
      <c r="D867" s="231"/>
      <c r="E867" s="157"/>
      <c r="F867" s="12"/>
      <c r="G867" s="158"/>
    </row>
    <row r="868">
      <c r="A868" s="153"/>
      <c r="B868" s="229"/>
      <c r="C868" s="230"/>
      <c r="D868" s="231"/>
      <c r="E868" s="157"/>
      <c r="F868" s="12"/>
      <c r="G868" s="158"/>
    </row>
    <row r="869">
      <c r="A869" s="153"/>
      <c r="B869" s="229"/>
      <c r="C869" s="230"/>
      <c r="D869" s="231"/>
      <c r="E869" s="157"/>
      <c r="F869" s="12"/>
      <c r="G869" s="158"/>
    </row>
    <row r="870">
      <c r="A870" s="153"/>
      <c r="B870" s="229"/>
      <c r="C870" s="230"/>
      <c r="D870" s="231"/>
      <c r="E870" s="157"/>
      <c r="F870" s="12"/>
      <c r="G870" s="158"/>
    </row>
    <row r="871">
      <c r="A871" s="153"/>
      <c r="B871" s="229"/>
      <c r="C871" s="230"/>
      <c r="D871" s="231"/>
      <c r="E871" s="157"/>
      <c r="F871" s="12"/>
      <c r="G871" s="158"/>
    </row>
    <row r="872">
      <c r="A872" s="153"/>
      <c r="B872" s="229"/>
      <c r="C872" s="230"/>
      <c r="D872" s="231"/>
      <c r="E872" s="157"/>
      <c r="F872" s="12"/>
      <c r="G872" s="158"/>
    </row>
    <row r="873">
      <c r="A873" s="153"/>
      <c r="B873" s="229"/>
      <c r="C873" s="230"/>
      <c r="D873" s="231"/>
      <c r="E873" s="157"/>
      <c r="F873" s="12"/>
      <c r="G873" s="158"/>
    </row>
    <row r="874">
      <c r="A874" s="153"/>
      <c r="B874" s="229"/>
      <c r="C874" s="230"/>
      <c r="D874" s="231"/>
      <c r="E874" s="157"/>
      <c r="F874" s="12"/>
      <c r="G874" s="158"/>
    </row>
    <row r="875">
      <c r="A875" s="153"/>
      <c r="B875" s="229"/>
      <c r="C875" s="230"/>
      <c r="D875" s="231"/>
      <c r="E875" s="157"/>
      <c r="F875" s="12"/>
      <c r="G875" s="158"/>
    </row>
    <row r="876">
      <c r="A876" s="153"/>
      <c r="B876" s="229"/>
      <c r="C876" s="230"/>
      <c r="D876" s="231"/>
      <c r="E876" s="157"/>
      <c r="F876" s="12"/>
      <c r="G876" s="158"/>
    </row>
    <row r="877">
      <c r="A877" s="153"/>
      <c r="B877" s="229"/>
      <c r="C877" s="230"/>
      <c r="D877" s="231"/>
      <c r="E877" s="157"/>
      <c r="F877" s="12"/>
      <c r="G877" s="158"/>
    </row>
    <row r="878">
      <c r="A878" s="153"/>
      <c r="B878" s="229"/>
      <c r="C878" s="230"/>
      <c r="D878" s="231"/>
      <c r="E878" s="157"/>
      <c r="F878" s="12"/>
      <c r="G878" s="158"/>
    </row>
    <row r="879">
      <c r="A879" s="153"/>
      <c r="B879" s="229"/>
      <c r="C879" s="230"/>
      <c r="D879" s="231"/>
      <c r="E879" s="157"/>
      <c r="F879" s="12"/>
      <c r="G879" s="158"/>
    </row>
    <row r="880">
      <c r="A880" s="153"/>
      <c r="B880" s="229"/>
      <c r="C880" s="230"/>
      <c r="D880" s="231"/>
      <c r="E880" s="157"/>
      <c r="F880" s="12"/>
      <c r="G880" s="158"/>
    </row>
    <row r="881">
      <c r="A881" s="153"/>
      <c r="B881" s="229"/>
      <c r="C881" s="230"/>
      <c r="D881" s="231"/>
      <c r="E881" s="157"/>
      <c r="F881" s="12"/>
      <c r="G881" s="158"/>
    </row>
    <row r="882">
      <c r="A882" s="153"/>
      <c r="B882" s="229"/>
      <c r="C882" s="230"/>
      <c r="D882" s="231"/>
      <c r="E882" s="157"/>
      <c r="F882" s="12"/>
      <c r="G882" s="158"/>
    </row>
    <row r="883">
      <c r="A883" s="153"/>
      <c r="B883" s="229"/>
      <c r="C883" s="230"/>
      <c r="D883" s="231"/>
      <c r="E883" s="157"/>
      <c r="F883" s="12"/>
      <c r="G883" s="158"/>
    </row>
    <row r="884">
      <c r="A884" s="153"/>
      <c r="B884" s="229"/>
      <c r="C884" s="230"/>
      <c r="D884" s="231"/>
      <c r="E884" s="157"/>
      <c r="F884" s="12"/>
      <c r="G884" s="158"/>
    </row>
    <row r="885">
      <c r="A885" s="153"/>
      <c r="B885" s="229"/>
      <c r="C885" s="230"/>
      <c r="D885" s="231"/>
      <c r="E885" s="157"/>
      <c r="F885" s="12"/>
      <c r="G885" s="158"/>
    </row>
    <row r="886">
      <c r="A886" s="153"/>
      <c r="B886" s="229"/>
      <c r="C886" s="230"/>
      <c r="D886" s="231"/>
      <c r="E886" s="157"/>
      <c r="F886" s="12"/>
      <c r="G886" s="158"/>
    </row>
    <row r="887">
      <c r="A887" s="153"/>
      <c r="B887" s="229"/>
      <c r="C887" s="230"/>
      <c r="D887" s="231"/>
      <c r="E887" s="157"/>
      <c r="F887" s="12"/>
      <c r="G887" s="158"/>
    </row>
    <row r="888">
      <c r="A888" s="153"/>
      <c r="B888" s="229"/>
      <c r="C888" s="230"/>
      <c r="D888" s="231"/>
      <c r="E888" s="157"/>
      <c r="F888" s="12"/>
      <c r="G888" s="158"/>
    </row>
    <row r="889">
      <c r="A889" s="153"/>
      <c r="B889" s="229"/>
      <c r="C889" s="230"/>
      <c r="D889" s="231"/>
      <c r="E889" s="157"/>
      <c r="F889" s="12"/>
      <c r="G889" s="158"/>
    </row>
    <row r="890">
      <c r="A890" s="153"/>
      <c r="B890" s="229"/>
      <c r="C890" s="230"/>
      <c r="D890" s="231"/>
      <c r="E890" s="157"/>
      <c r="F890" s="12"/>
      <c r="G890" s="158"/>
    </row>
    <row r="891">
      <c r="A891" s="153"/>
      <c r="B891" s="229"/>
      <c r="C891" s="230"/>
      <c r="D891" s="231"/>
      <c r="E891" s="157"/>
      <c r="F891" s="12"/>
      <c r="G891" s="158"/>
    </row>
    <row r="892">
      <c r="A892" s="153"/>
      <c r="B892" s="229"/>
      <c r="C892" s="230"/>
      <c r="D892" s="231"/>
      <c r="E892" s="157"/>
      <c r="F892" s="12"/>
      <c r="G892" s="158"/>
    </row>
    <row r="893">
      <c r="A893" s="153"/>
      <c r="B893" s="229"/>
      <c r="C893" s="230"/>
      <c r="D893" s="231"/>
      <c r="E893" s="157"/>
      <c r="F893" s="12"/>
      <c r="G893" s="158"/>
    </row>
    <row r="894">
      <c r="A894" s="153"/>
      <c r="B894" s="229"/>
      <c r="C894" s="230"/>
      <c r="D894" s="231"/>
      <c r="E894" s="157"/>
      <c r="F894" s="12"/>
      <c r="G894" s="158"/>
    </row>
    <row r="895">
      <c r="A895" s="153"/>
      <c r="B895" s="229"/>
      <c r="C895" s="230"/>
      <c r="D895" s="231"/>
      <c r="E895" s="157"/>
      <c r="F895" s="12"/>
      <c r="G895" s="158"/>
    </row>
    <row r="896">
      <c r="A896" s="153"/>
      <c r="B896" s="229"/>
      <c r="C896" s="230"/>
      <c r="D896" s="231"/>
      <c r="E896" s="157"/>
      <c r="F896" s="12"/>
      <c r="G896" s="158"/>
    </row>
    <row r="897">
      <c r="A897" s="153"/>
      <c r="B897" s="229"/>
      <c r="C897" s="230"/>
      <c r="D897" s="231"/>
      <c r="E897" s="157"/>
      <c r="F897" s="12"/>
      <c r="G897" s="158"/>
    </row>
    <row r="898">
      <c r="A898" s="153"/>
      <c r="B898" s="229"/>
      <c r="C898" s="230"/>
      <c r="D898" s="231"/>
      <c r="E898" s="157"/>
      <c r="F898" s="12"/>
      <c r="G898" s="158"/>
    </row>
    <row r="899">
      <c r="A899" s="153"/>
      <c r="B899" s="229"/>
      <c r="C899" s="230"/>
      <c r="D899" s="231"/>
      <c r="E899" s="157"/>
      <c r="F899" s="12"/>
      <c r="G899" s="158"/>
    </row>
    <row r="900">
      <c r="A900" s="153"/>
      <c r="B900" s="229"/>
      <c r="C900" s="230"/>
      <c r="D900" s="231"/>
      <c r="E900" s="157"/>
      <c r="F900" s="12"/>
      <c r="G900" s="158"/>
    </row>
    <row r="901">
      <c r="A901" s="153"/>
      <c r="B901" s="229"/>
      <c r="C901" s="230"/>
      <c r="D901" s="231"/>
      <c r="E901" s="157"/>
      <c r="F901" s="12"/>
      <c r="G901" s="158"/>
    </row>
    <row r="902">
      <c r="A902" s="153"/>
      <c r="B902" s="229"/>
      <c r="C902" s="230"/>
      <c r="D902" s="231"/>
      <c r="E902" s="157"/>
      <c r="F902" s="12"/>
      <c r="G902" s="158"/>
    </row>
    <row r="903">
      <c r="A903" s="153"/>
      <c r="B903" s="229"/>
      <c r="C903" s="230"/>
      <c r="D903" s="231"/>
      <c r="E903" s="157"/>
      <c r="F903" s="12"/>
      <c r="G903" s="158"/>
    </row>
    <row r="904">
      <c r="A904" s="153"/>
      <c r="B904" s="229"/>
      <c r="C904" s="230"/>
      <c r="D904" s="231"/>
      <c r="E904" s="157"/>
      <c r="F904" s="12"/>
      <c r="G904" s="158"/>
    </row>
    <row r="905">
      <c r="A905" s="153"/>
      <c r="B905" s="229"/>
      <c r="C905" s="230"/>
      <c r="D905" s="231"/>
      <c r="E905" s="157"/>
      <c r="F905" s="12"/>
      <c r="G905" s="158"/>
    </row>
    <row r="906">
      <c r="A906" s="153"/>
      <c r="B906" s="229"/>
      <c r="C906" s="230"/>
      <c r="D906" s="231"/>
      <c r="E906" s="157"/>
      <c r="F906" s="12"/>
      <c r="G906" s="158"/>
    </row>
    <row r="907">
      <c r="A907" s="153"/>
      <c r="B907" s="229"/>
      <c r="C907" s="230"/>
      <c r="D907" s="231"/>
      <c r="E907" s="157"/>
      <c r="F907" s="12"/>
      <c r="G907" s="158"/>
    </row>
    <row r="908">
      <c r="A908" s="153"/>
      <c r="B908" s="229"/>
      <c r="C908" s="230"/>
      <c r="D908" s="231"/>
      <c r="E908" s="157"/>
      <c r="F908" s="12"/>
      <c r="G908" s="158"/>
    </row>
    <row r="909">
      <c r="A909" s="153"/>
      <c r="B909" s="229"/>
      <c r="C909" s="230"/>
      <c r="D909" s="231"/>
      <c r="E909" s="157"/>
      <c r="F909" s="12"/>
      <c r="G909" s="158"/>
    </row>
    <row r="910">
      <c r="A910" s="153"/>
      <c r="B910" s="229"/>
      <c r="C910" s="230"/>
      <c r="D910" s="231"/>
      <c r="E910" s="157"/>
      <c r="F910" s="12"/>
      <c r="G910" s="158"/>
    </row>
    <row r="911">
      <c r="A911" s="153"/>
      <c r="B911" s="229"/>
      <c r="C911" s="230"/>
      <c r="D911" s="231"/>
      <c r="E911" s="157"/>
      <c r="F911" s="12"/>
      <c r="G911" s="158"/>
    </row>
    <row r="912">
      <c r="A912" s="153"/>
      <c r="B912" s="229"/>
      <c r="C912" s="230"/>
      <c r="D912" s="231"/>
      <c r="E912" s="157"/>
      <c r="F912" s="12"/>
      <c r="G912" s="158"/>
    </row>
    <row r="913">
      <c r="A913" s="153"/>
      <c r="B913" s="229"/>
      <c r="C913" s="230"/>
      <c r="D913" s="231"/>
      <c r="E913" s="157"/>
      <c r="F913" s="12"/>
      <c r="G913" s="158"/>
    </row>
    <row r="914">
      <c r="A914" s="153"/>
      <c r="B914" s="229"/>
      <c r="C914" s="230"/>
      <c r="D914" s="231"/>
      <c r="E914" s="157"/>
      <c r="F914" s="12"/>
      <c r="G914" s="158"/>
    </row>
    <row r="915">
      <c r="A915" s="153"/>
      <c r="B915" s="229"/>
      <c r="C915" s="230"/>
      <c r="D915" s="231"/>
      <c r="E915" s="157"/>
      <c r="F915" s="12"/>
      <c r="G915" s="158"/>
    </row>
    <row r="916">
      <c r="A916" s="153"/>
      <c r="B916" s="229"/>
      <c r="C916" s="230"/>
      <c r="D916" s="231"/>
      <c r="E916" s="157"/>
      <c r="F916" s="12"/>
      <c r="G916" s="158"/>
    </row>
    <row r="917">
      <c r="A917" s="153"/>
      <c r="B917" s="229"/>
      <c r="C917" s="230"/>
      <c r="D917" s="231"/>
      <c r="E917" s="157"/>
      <c r="F917" s="12"/>
      <c r="G917" s="158"/>
    </row>
    <row r="918">
      <c r="A918" s="153"/>
      <c r="B918" s="229"/>
      <c r="C918" s="230"/>
      <c r="D918" s="231"/>
      <c r="E918" s="157"/>
      <c r="F918" s="12"/>
      <c r="G918" s="158"/>
    </row>
    <row r="919">
      <c r="A919" s="153"/>
      <c r="B919" s="229"/>
      <c r="C919" s="230"/>
      <c r="D919" s="231"/>
      <c r="E919" s="157"/>
      <c r="F919" s="12"/>
      <c r="G919" s="158"/>
    </row>
    <row r="920">
      <c r="A920" s="153"/>
      <c r="B920" s="229"/>
      <c r="C920" s="230"/>
      <c r="D920" s="231"/>
      <c r="E920" s="157"/>
      <c r="F920" s="12"/>
      <c r="G920" s="158"/>
    </row>
    <row r="921">
      <c r="A921" s="153"/>
      <c r="B921" s="229"/>
      <c r="C921" s="230"/>
      <c r="D921" s="231"/>
      <c r="E921" s="157"/>
      <c r="F921" s="12"/>
      <c r="G921" s="158"/>
    </row>
    <row r="922">
      <c r="A922" s="153"/>
      <c r="B922" s="229"/>
      <c r="C922" s="230"/>
      <c r="D922" s="231"/>
      <c r="E922" s="157"/>
      <c r="F922" s="12"/>
      <c r="G922" s="158"/>
    </row>
    <row r="923">
      <c r="A923" s="153"/>
      <c r="B923" s="229"/>
      <c r="C923" s="230"/>
      <c r="D923" s="231"/>
      <c r="E923" s="157"/>
      <c r="F923" s="12"/>
      <c r="G923" s="158"/>
    </row>
    <row r="924">
      <c r="A924" s="153"/>
      <c r="B924" s="229"/>
      <c r="C924" s="230"/>
      <c r="D924" s="231"/>
      <c r="E924" s="157"/>
      <c r="F924" s="12"/>
      <c r="G924" s="158"/>
    </row>
    <row r="925">
      <c r="A925" s="153"/>
      <c r="B925" s="229"/>
      <c r="C925" s="230"/>
      <c r="D925" s="231"/>
      <c r="E925" s="157"/>
      <c r="F925" s="12"/>
      <c r="G925" s="158"/>
    </row>
    <row r="926">
      <c r="A926" s="153"/>
      <c r="B926" s="229"/>
      <c r="C926" s="230"/>
      <c r="D926" s="231"/>
      <c r="E926" s="157"/>
      <c r="F926" s="12"/>
      <c r="G926" s="158"/>
    </row>
    <row r="927">
      <c r="A927" s="153"/>
      <c r="B927" s="229"/>
      <c r="C927" s="230"/>
      <c r="D927" s="231"/>
      <c r="E927" s="157"/>
      <c r="F927" s="12"/>
      <c r="G927" s="158"/>
    </row>
    <row r="928">
      <c r="A928" s="153"/>
      <c r="B928" s="229"/>
      <c r="C928" s="230"/>
      <c r="D928" s="231"/>
      <c r="E928" s="157"/>
      <c r="F928" s="12"/>
      <c r="G928" s="158"/>
    </row>
    <row r="929">
      <c r="A929" s="153"/>
      <c r="B929" s="229"/>
      <c r="C929" s="230"/>
      <c r="D929" s="231"/>
      <c r="E929" s="157"/>
      <c r="F929" s="12"/>
      <c r="G929" s="158"/>
    </row>
    <row r="930">
      <c r="A930" s="153"/>
      <c r="B930" s="229"/>
      <c r="C930" s="230"/>
      <c r="D930" s="231"/>
      <c r="E930" s="157"/>
      <c r="F930" s="12"/>
      <c r="G930" s="158"/>
    </row>
    <row r="931">
      <c r="A931" s="153"/>
      <c r="B931" s="229"/>
      <c r="C931" s="230"/>
      <c r="D931" s="231"/>
      <c r="E931" s="157"/>
      <c r="F931" s="12"/>
      <c r="G931" s="158"/>
    </row>
    <row r="932">
      <c r="A932" s="153"/>
      <c r="B932" s="229"/>
      <c r="C932" s="230"/>
      <c r="D932" s="231"/>
      <c r="E932" s="157"/>
      <c r="F932" s="12"/>
      <c r="G932" s="158"/>
    </row>
    <row r="933">
      <c r="A933" s="153"/>
      <c r="B933" s="229"/>
      <c r="C933" s="230"/>
      <c r="D933" s="231"/>
      <c r="E933" s="157"/>
      <c r="F933" s="12"/>
      <c r="G933" s="158"/>
    </row>
    <row r="934">
      <c r="A934" s="153"/>
      <c r="B934" s="229"/>
      <c r="C934" s="230"/>
      <c r="D934" s="231"/>
      <c r="E934" s="157"/>
      <c r="F934" s="12"/>
      <c r="G934" s="158"/>
    </row>
    <row r="935">
      <c r="A935" s="153"/>
      <c r="B935" s="229"/>
      <c r="C935" s="230"/>
      <c r="D935" s="231"/>
      <c r="E935" s="157"/>
      <c r="F935" s="12"/>
      <c r="G935" s="158"/>
    </row>
    <row r="936">
      <c r="A936" s="153"/>
      <c r="B936" s="229"/>
      <c r="C936" s="230"/>
      <c r="D936" s="231"/>
      <c r="E936" s="157"/>
      <c r="F936" s="12"/>
      <c r="G936" s="158"/>
    </row>
    <row r="937">
      <c r="A937" s="153"/>
      <c r="B937" s="229"/>
      <c r="C937" s="230"/>
      <c r="D937" s="231"/>
      <c r="E937" s="157"/>
      <c r="F937" s="12"/>
      <c r="G937" s="158"/>
    </row>
    <row r="938">
      <c r="A938" s="153"/>
      <c r="B938" s="229"/>
      <c r="C938" s="230"/>
      <c r="D938" s="231"/>
      <c r="E938" s="157"/>
      <c r="F938" s="12"/>
      <c r="G938" s="158"/>
    </row>
    <row r="939">
      <c r="A939" s="153"/>
      <c r="B939" s="229"/>
      <c r="C939" s="230"/>
      <c r="D939" s="231"/>
      <c r="E939" s="157"/>
      <c r="F939" s="12"/>
      <c r="G939" s="158"/>
    </row>
    <row r="940">
      <c r="A940" s="153"/>
      <c r="B940" s="229"/>
      <c r="C940" s="230"/>
      <c r="D940" s="231"/>
      <c r="E940" s="157"/>
      <c r="F940" s="12"/>
      <c r="G940" s="158"/>
    </row>
    <row r="941">
      <c r="A941" s="153"/>
      <c r="B941" s="229"/>
      <c r="C941" s="230"/>
      <c r="D941" s="231"/>
      <c r="E941" s="157"/>
      <c r="F941" s="12"/>
      <c r="G941" s="158"/>
    </row>
    <row r="942">
      <c r="A942" s="153"/>
      <c r="B942" s="229"/>
      <c r="C942" s="230"/>
      <c r="D942" s="231"/>
      <c r="E942" s="157"/>
      <c r="F942" s="12"/>
      <c r="G942" s="158"/>
    </row>
    <row r="943">
      <c r="A943" s="153"/>
      <c r="B943" s="229"/>
      <c r="C943" s="230"/>
      <c r="D943" s="231"/>
      <c r="E943" s="157"/>
      <c r="F943" s="12"/>
      <c r="G943" s="158"/>
    </row>
    <row r="944">
      <c r="A944" s="153"/>
      <c r="B944" s="229"/>
      <c r="C944" s="230"/>
      <c r="D944" s="231"/>
      <c r="E944" s="157"/>
      <c r="F944" s="12"/>
      <c r="G944" s="158"/>
    </row>
    <row r="945">
      <c r="A945" s="153"/>
      <c r="B945" s="229"/>
      <c r="C945" s="230"/>
      <c r="D945" s="231"/>
      <c r="E945" s="157"/>
      <c r="F945" s="12"/>
      <c r="G945" s="158"/>
    </row>
    <row r="946">
      <c r="A946" s="153"/>
      <c r="B946" s="229"/>
      <c r="C946" s="230"/>
      <c r="D946" s="231"/>
      <c r="E946" s="157"/>
      <c r="F946" s="12"/>
      <c r="G946" s="158"/>
    </row>
    <row r="947">
      <c r="A947" s="153"/>
      <c r="B947" s="229"/>
      <c r="C947" s="230"/>
      <c r="D947" s="231"/>
      <c r="E947" s="157"/>
      <c r="F947" s="12"/>
      <c r="G947" s="158"/>
    </row>
    <row r="948">
      <c r="A948" s="153"/>
      <c r="B948" s="229"/>
      <c r="C948" s="230"/>
      <c r="D948" s="231"/>
      <c r="E948" s="157"/>
      <c r="F948" s="12"/>
      <c r="G948" s="158"/>
    </row>
    <row r="949">
      <c r="A949" s="153"/>
      <c r="B949" s="229"/>
      <c r="C949" s="230"/>
      <c r="D949" s="231"/>
      <c r="E949" s="157"/>
      <c r="F949" s="12"/>
      <c r="G949" s="158"/>
    </row>
    <row r="950">
      <c r="A950" s="153"/>
      <c r="B950" s="229"/>
      <c r="C950" s="230"/>
      <c r="D950" s="231"/>
      <c r="E950" s="157"/>
      <c r="F950" s="12"/>
      <c r="G950" s="158"/>
    </row>
    <row r="951">
      <c r="A951" s="153"/>
      <c r="B951" s="229"/>
      <c r="C951" s="230"/>
      <c r="D951" s="231"/>
      <c r="E951" s="157"/>
      <c r="F951" s="12"/>
      <c r="G951" s="158"/>
    </row>
    <row r="952">
      <c r="A952" s="153"/>
      <c r="B952" s="229"/>
      <c r="C952" s="230"/>
      <c r="D952" s="231"/>
      <c r="E952" s="157"/>
      <c r="F952" s="12"/>
      <c r="G952" s="158"/>
    </row>
    <row r="953">
      <c r="A953" s="153"/>
      <c r="B953" s="229"/>
      <c r="C953" s="230"/>
      <c r="D953" s="231"/>
      <c r="E953" s="157"/>
      <c r="F953" s="12"/>
      <c r="G953" s="158"/>
    </row>
    <row r="954">
      <c r="A954" s="153"/>
      <c r="B954" s="229"/>
      <c r="C954" s="230"/>
      <c r="D954" s="231"/>
      <c r="E954" s="157"/>
      <c r="F954" s="12"/>
      <c r="G954" s="158"/>
    </row>
    <row r="955">
      <c r="A955" s="153"/>
      <c r="B955" s="229"/>
      <c r="C955" s="230"/>
      <c r="D955" s="231"/>
      <c r="E955" s="157"/>
      <c r="F955" s="12"/>
      <c r="G955" s="158"/>
    </row>
    <row r="956">
      <c r="A956" s="153"/>
      <c r="B956" s="229"/>
      <c r="C956" s="230"/>
      <c r="D956" s="231"/>
      <c r="E956" s="157"/>
      <c r="F956" s="12"/>
      <c r="G956" s="158"/>
    </row>
    <row r="957">
      <c r="A957" s="153"/>
      <c r="B957" s="229"/>
      <c r="C957" s="230"/>
      <c r="D957" s="231"/>
      <c r="E957" s="157"/>
      <c r="F957" s="12"/>
      <c r="G957" s="158"/>
    </row>
    <row r="958">
      <c r="A958" s="153"/>
      <c r="B958" s="229"/>
      <c r="C958" s="230"/>
      <c r="D958" s="231"/>
      <c r="E958" s="157"/>
      <c r="F958" s="12"/>
      <c r="G958" s="158"/>
    </row>
    <row r="959">
      <c r="A959" s="153"/>
      <c r="B959" s="229"/>
      <c r="C959" s="230"/>
      <c r="D959" s="231"/>
      <c r="E959" s="157"/>
      <c r="F959" s="12"/>
      <c r="G959" s="158"/>
    </row>
    <row r="960">
      <c r="A960" s="153"/>
      <c r="B960" s="229"/>
      <c r="C960" s="230"/>
      <c r="D960" s="231"/>
      <c r="E960" s="157"/>
      <c r="F960" s="12"/>
      <c r="G960" s="158"/>
    </row>
    <row r="961">
      <c r="A961" s="153"/>
      <c r="B961" s="229"/>
      <c r="C961" s="230"/>
      <c r="D961" s="231"/>
      <c r="E961" s="157"/>
      <c r="F961" s="12"/>
      <c r="G961" s="158"/>
    </row>
    <row r="962">
      <c r="A962" s="153"/>
      <c r="B962" s="229"/>
      <c r="C962" s="230"/>
      <c r="D962" s="231"/>
      <c r="E962" s="157"/>
      <c r="F962" s="12"/>
      <c r="G962" s="158"/>
    </row>
    <row r="963">
      <c r="A963" s="153"/>
      <c r="B963" s="229"/>
      <c r="C963" s="230"/>
      <c r="D963" s="231"/>
      <c r="E963" s="157"/>
      <c r="F963" s="12"/>
      <c r="G963" s="158"/>
    </row>
    <row r="964">
      <c r="A964" s="153"/>
      <c r="B964" s="229"/>
      <c r="C964" s="230"/>
      <c r="D964" s="231"/>
      <c r="E964" s="157"/>
      <c r="F964" s="12"/>
      <c r="G964" s="158"/>
    </row>
    <row r="965">
      <c r="A965" s="153"/>
      <c r="B965" s="229"/>
      <c r="C965" s="230"/>
      <c r="D965" s="231"/>
      <c r="E965" s="157"/>
      <c r="F965" s="12"/>
      <c r="G965" s="158"/>
    </row>
    <row r="966">
      <c r="A966" s="153"/>
      <c r="B966" s="229"/>
      <c r="C966" s="230"/>
      <c r="D966" s="231"/>
      <c r="E966" s="157"/>
      <c r="F966" s="12"/>
      <c r="G966" s="158"/>
    </row>
    <row r="967">
      <c r="A967" s="153"/>
      <c r="B967" s="229"/>
      <c r="C967" s="230"/>
      <c r="D967" s="231"/>
      <c r="E967" s="157"/>
      <c r="F967" s="12"/>
      <c r="G967" s="158"/>
    </row>
    <row r="968">
      <c r="A968" s="153"/>
      <c r="B968" s="229"/>
      <c r="C968" s="230"/>
      <c r="D968" s="231"/>
      <c r="E968" s="157"/>
      <c r="F968" s="12"/>
      <c r="G968" s="158"/>
    </row>
    <row r="969">
      <c r="A969" s="153"/>
      <c r="B969" s="229"/>
      <c r="C969" s="230"/>
      <c r="D969" s="231"/>
      <c r="E969" s="157"/>
      <c r="F969" s="12"/>
      <c r="G969" s="158"/>
    </row>
    <row r="970">
      <c r="A970" s="153"/>
      <c r="B970" s="229"/>
      <c r="C970" s="230"/>
      <c r="D970" s="231"/>
      <c r="E970" s="157"/>
      <c r="F970" s="12"/>
      <c r="G970" s="158"/>
    </row>
    <row r="971">
      <c r="A971" s="153"/>
      <c r="B971" s="229"/>
      <c r="C971" s="230"/>
      <c r="D971" s="231"/>
      <c r="E971" s="157"/>
      <c r="F971" s="12"/>
      <c r="G971" s="158"/>
    </row>
    <row r="972">
      <c r="A972" s="153"/>
      <c r="B972" s="229"/>
      <c r="C972" s="230"/>
      <c r="D972" s="231"/>
      <c r="E972" s="157"/>
      <c r="F972" s="12"/>
      <c r="G972" s="158"/>
    </row>
    <row r="973">
      <c r="A973" s="153"/>
      <c r="B973" s="229"/>
      <c r="C973" s="230"/>
      <c r="D973" s="231"/>
      <c r="E973" s="157"/>
      <c r="F973" s="12"/>
      <c r="G973" s="158"/>
    </row>
    <row r="974">
      <c r="A974" s="153"/>
      <c r="B974" s="229"/>
      <c r="C974" s="230"/>
      <c r="D974" s="231"/>
      <c r="E974" s="157"/>
      <c r="F974" s="12"/>
      <c r="G974" s="158"/>
    </row>
    <row r="975">
      <c r="A975" s="153"/>
      <c r="B975" s="229"/>
      <c r="C975" s="230"/>
      <c r="D975" s="231"/>
      <c r="E975" s="157"/>
      <c r="F975" s="12"/>
      <c r="G975" s="158"/>
    </row>
    <row r="976">
      <c r="A976" s="153"/>
      <c r="B976" s="229"/>
      <c r="C976" s="230"/>
      <c r="D976" s="231"/>
      <c r="E976" s="157"/>
      <c r="F976" s="12"/>
      <c r="G976" s="158"/>
    </row>
    <row r="977">
      <c r="A977" s="153"/>
      <c r="B977" s="229"/>
      <c r="C977" s="230"/>
      <c r="D977" s="231"/>
      <c r="E977" s="157"/>
      <c r="F977" s="12"/>
      <c r="G977" s="158"/>
    </row>
    <row r="978">
      <c r="A978" s="153"/>
      <c r="B978" s="229"/>
      <c r="C978" s="230"/>
      <c r="D978" s="231"/>
      <c r="E978" s="157"/>
      <c r="F978" s="12"/>
      <c r="G978" s="158"/>
    </row>
    <row r="979">
      <c r="A979" s="153"/>
      <c r="B979" s="229"/>
      <c r="C979" s="230"/>
      <c r="D979" s="231"/>
      <c r="E979" s="157"/>
      <c r="F979" s="12"/>
      <c r="G979" s="158"/>
    </row>
    <row r="980">
      <c r="A980" s="153"/>
      <c r="B980" s="229"/>
      <c r="C980" s="230"/>
      <c r="D980" s="231"/>
      <c r="E980" s="157"/>
      <c r="F980" s="12"/>
      <c r="G980" s="158"/>
    </row>
    <row r="981">
      <c r="A981" s="153"/>
      <c r="B981" s="229"/>
      <c r="C981" s="230"/>
      <c r="D981" s="231"/>
      <c r="E981" s="157"/>
      <c r="F981" s="12"/>
      <c r="G981" s="158"/>
    </row>
    <row r="982">
      <c r="A982" s="153"/>
      <c r="B982" s="288" t="s">
        <v>494</v>
      </c>
      <c r="C982" s="230"/>
      <c r="D982" s="231"/>
      <c r="E982" s="157"/>
      <c r="F982" s="12"/>
      <c r="G982" s="158"/>
    </row>
    <row r="983">
      <c r="A983" s="153"/>
      <c r="B983" s="229"/>
      <c r="C983" s="230"/>
      <c r="D983" s="231"/>
      <c r="E983" s="157"/>
      <c r="F983" s="12"/>
      <c r="G983" s="158"/>
    </row>
    <row r="984">
      <c r="A984" s="153"/>
      <c r="B984" s="229"/>
      <c r="C984" s="230"/>
      <c r="D984" s="231"/>
      <c r="E984" s="157"/>
      <c r="F984" s="12"/>
      <c r="G984" s="158"/>
    </row>
    <row r="985">
      <c r="A985" s="153"/>
      <c r="B985" s="229"/>
      <c r="C985" s="230"/>
      <c r="D985" s="231"/>
      <c r="E985" s="157"/>
      <c r="F985" s="12"/>
      <c r="G985" s="158"/>
    </row>
    <row r="986">
      <c r="A986" s="153"/>
      <c r="B986" s="229"/>
      <c r="C986" s="230"/>
      <c r="D986" s="231"/>
      <c r="E986" s="157"/>
      <c r="F986" s="12"/>
      <c r="G986" s="158"/>
    </row>
    <row r="987">
      <c r="A987" s="153"/>
      <c r="B987" s="229"/>
      <c r="C987" s="230"/>
      <c r="D987" s="231"/>
      <c r="E987" s="157"/>
      <c r="F987" s="12"/>
      <c r="G987" s="158"/>
    </row>
    <row r="988">
      <c r="A988" s="153"/>
      <c r="B988" s="229"/>
      <c r="C988" s="230"/>
      <c r="D988" s="231"/>
      <c r="E988" s="157"/>
      <c r="F988" s="12"/>
      <c r="G988" s="158"/>
    </row>
    <row r="989">
      <c r="A989" s="153"/>
      <c r="B989" s="229"/>
      <c r="C989" s="230"/>
      <c r="D989" s="231"/>
      <c r="E989" s="157"/>
      <c r="F989" s="12"/>
      <c r="G989" s="158"/>
    </row>
    <row r="990">
      <c r="A990" s="153"/>
      <c r="B990" s="229"/>
      <c r="C990" s="230"/>
      <c r="D990" s="231"/>
      <c r="E990" s="157"/>
      <c r="F990" s="12"/>
      <c r="G990" s="158"/>
    </row>
    <row r="991">
      <c r="A991" s="153"/>
      <c r="B991" s="229"/>
      <c r="C991" s="230"/>
      <c r="D991" s="231"/>
      <c r="E991" s="157"/>
      <c r="F991" s="12"/>
      <c r="G991" s="158"/>
    </row>
    <row r="992">
      <c r="A992" s="153"/>
      <c r="B992" s="229"/>
      <c r="C992" s="230"/>
      <c r="D992" s="231"/>
      <c r="E992" s="157"/>
      <c r="F992" s="12"/>
      <c r="G992" s="158"/>
    </row>
    <row r="993">
      <c r="A993" s="153"/>
      <c r="B993" s="229"/>
      <c r="C993" s="230"/>
      <c r="D993" s="231"/>
      <c r="E993" s="157"/>
      <c r="F993" s="12"/>
      <c r="G993" s="158"/>
    </row>
    <row r="994">
      <c r="A994" s="153"/>
      <c r="B994" s="229"/>
      <c r="C994" s="230"/>
      <c r="D994" s="231"/>
      <c r="E994" s="157"/>
      <c r="F994" s="12"/>
      <c r="G994" s="158"/>
    </row>
    <row r="995">
      <c r="A995" s="153"/>
      <c r="B995" s="229"/>
      <c r="C995" s="230"/>
      <c r="D995" s="231"/>
      <c r="E995" s="157"/>
      <c r="F995" s="12"/>
      <c r="G995" s="158"/>
    </row>
    <row r="996">
      <c r="A996" s="153"/>
      <c r="B996" s="229"/>
      <c r="C996" s="230"/>
      <c r="D996" s="231"/>
      <c r="E996" s="157"/>
      <c r="F996" s="12"/>
      <c r="G996" s="158"/>
    </row>
    <row r="997">
      <c r="A997" s="153"/>
      <c r="B997" s="229"/>
      <c r="C997" s="230"/>
      <c r="D997" s="231"/>
      <c r="E997" s="157"/>
      <c r="F997" s="12"/>
      <c r="G997" s="158"/>
    </row>
    <row r="998">
      <c r="A998" s="153"/>
      <c r="B998" s="229"/>
      <c r="C998" s="230"/>
      <c r="D998" s="231"/>
      <c r="E998" s="157"/>
      <c r="F998" s="12"/>
      <c r="G998" s="158"/>
    </row>
    <row r="999">
      <c r="A999" s="153"/>
      <c r="B999" s="229"/>
      <c r="C999" s="230"/>
      <c r="D999" s="231"/>
      <c r="E999" s="157"/>
      <c r="F999" s="12"/>
      <c r="G999" s="158"/>
    </row>
    <row r="1000">
      <c r="A1000" s="153"/>
      <c r="B1000" s="229"/>
      <c r="C1000" s="230"/>
      <c r="D1000" s="231"/>
      <c r="E1000" s="157"/>
      <c r="F1000" s="12"/>
      <c r="G1000" s="158"/>
    </row>
    <row r="1001">
      <c r="A1001" s="153"/>
      <c r="B1001" s="229"/>
      <c r="C1001" s="230"/>
      <c r="D1001" s="231"/>
      <c r="E1001" s="157"/>
      <c r="F1001" s="12"/>
      <c r="G1001" s="158"/>
    </row>
    <row r="1002">
      <c r="A1002" s="153"/>
      <c r="B1002" s="229"/>
      <c r="C1002" s="230"/>
      <c r="D1002" s="231"/>
      <c r="E1002" s="157"/>
      <c r="F1002" s="12"/>
      <c r="G1002" s="158"/>
    </row>
    <row r="1003">
      <c r="A1003" s="153"/>
      <c r="B1003" s="229"/>
      <c r="C1003" s="230"/>
      <c r="D1003" s="231"/>
      <c r="E1003" s="157"/>
      <c r="F1003" s="12"/>
      <c r="G1003" s="158"/>
    </row>
    <row r="1004">
      <c r="A1004" s="153"/>
      <c r="B1004" s="229"/>
      <c r="C1004" s="230"/>
      <c r="D1004" s="231"/>
      <c r="E1004" s="157"/>
      <c r="F1004" s="12"/>
      <c r="G1004" s="158"/>
    </row>
    <row r="1005">
      <c r="A1005" s="153"/>
      <c r="B1005" s="229"/>
      <c r="C1005" s="230"/>
      <c r="D1005" s="231"/>
      <c r="E1005" s="157"/>
      <c r="F1005" s="12"/>
      <c r="G1005" s="158"/>
    </row>
    <row r="1006">
      <c r="A1006" s="153"/>
      <c r="B1006" s="229"/>
      <c r="C1006" s="230"/>
      <c r="D1006" s="231"/>
      <c r="E1006" s="157"/>
      <c r="F1006" s="12"/>
      <c r="G1006" s="158"/>
    </row>
    <row r="1007">
      <c r="A1007" s="153"/>
      <c r="B1007" s="229"/>
      <c r="C1007" s="230"/>
      <c r="D1007" s="231"/>
      <c r="E1007" s="157"/>
      <c r="F1007" s="12"/>
      <c r="G1007" s="158"/>
    </row>
    <row r="1008">
      <c r="A1008" s="153"/>
      <c r="B1008" s="229"/>
      <c r="C1008" s="230"/>
      <c r="D1008" s="231"/>
      <c r="E1008" s="157"/>
      <c r="F1008" s="12"/>
      <c r="G1008" s="158"/>
    </row>
  </sheetData>
  <mergeCells count="40">
    <mergeCell ref="A31:D31"/>
    <mergeCell ref="A32:D32"/>
    <mergeCell ref="A30:D30"/>
    <mergeCell ref="A33:D33"/>
    <mergeCell ref="A34:D34"/>
    <mergeCell ref="A35:D35"/>
    <mergeCell ref="I11:I15"/>
    <mergeCell ref="I16:I26"/>
    <mergeCell ref="A27:D27"/>
    <mergeCell ref="I27:I31"/>
    <mergeCell ref="A28:D28"/>
    <mergeCell ref="A29:D29"/>
    <mergeCell ref="I32:I33"/>
    <mergeCell ref="I35:I37"/>
    <mergeCell ref="A36:D36"/>
    <mergeCell ref="A37:D37"/>
    <mergeCell ref="A38:D38"/>
    <mergeCell ref="A39:D39"/>
    <mergeCell ref="A40:D40"/>
    <mergeCell ref="A41:D41"/>
    <mergeCell ref="A42:D42"/>
    <mergeCell ref="A43:D43"/>
    <mergeCell ref="A44:D44"/>
    <mergeCell ref="A45:D45"/>
    <mergeCell ref="A46:D46"/>
    <mergeCell ref="A47:D47"/>
    <mergeCell ref="A48:D48"/>
    <mergeCell ref="A56:D56"/>
    <mergeCell ref="A57:D57"/>
    <mergeCell ref="A58:D58"/>
    <mergeCell ref="A59:D59"/>
    <mergeCell ref="A60:D60"/>
    <mergeCell ref="A61:D61"/>
    <mergeCell ref="A49:D49"/>
    <mergeCell ref="A50:D50"/>
    <mergeCell ref="A51:D51"/>
    <mergeCell ref="A52:D52"/>
    <mergeCell ref="A53:D53"/>
    <mergeCell ref="A54:D54"/>
    <mergeCell ref="A55:D55"/>
  </mergeCells>
  <conditionalFormatting sqref="B9:D24">
    <cfRule type="expression" dxfId="13" priority="1">
      <formula>$A9="Yes!"</formula>
    </cfRule>
  </conditionalFormatting>
  <conditionalFormatting sqref="A9:A24">
    <cfRule type="containsText" dxfId="15" priority="2" operator="containsText" text="Yes">
      <formula>NOT(ISERROR(SEARCH(("Yes"),(A9))))</formula>
    </cfRule>
  </conditionalFormatting>
  <conditionalFormatting sqref="A9:A24">
    <cfRule type="containsText" dxfId="14" priority="3" operator="containsText" text="No">
      <formula>NOT(ISERROR(SEARCH(("No"),(A9))))</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workbookViewId="0"/>
  </sheetViews>
  <sheetFormatPr customHeight="1" defaultColWidth="12.63" defaultRowHeight="15.75"/>
  <cols>
    <col customWidth="1" min="1" max="1" width="21.38"/>
    <col customWidth="1" min="2" max="2" width="15.13"/>
    <col customWidth="1" min="3" max="3" width="68.75"/>
    <col customWidth="1" min="4" max="4" width="9.0"/>
    <col customWidth="1" min="10" max="10" width="11.0"/>
  </cols>
  <sheetData>
    <row r="1">
      <c r="A1" s="302" t="str">
        <f>IFERROR(__xludf.DUMMYFUNCTION("IMPORTRANGE(""https://docs.google.com/spreadsheets/d/1PPFix0KE5FV0_ekB8X93l4fBTTlhI3_4FnP7klgfg_Y/edit?gid=0#gid=0"", ""Dolorón!a1:f100"")"),"DOLORÓN")</f>
        <v>DOLORÓN</v>
      </c>
      <c r="B1" s="275"/>
      <c r="C1" s="276" t="str">
        <f>IFERROR(__xludf.DUMMYFUNCTION("""COMPUTED_VALUE"""),"Dodi (Maisie Sturtevant)")</f>
        <v>Dodi (Maisie Sturtevant)</v>
      </c>
      <c r="D1" s="277"/>
      <c r="E1" s="277"/>
      <c r="F1" s="281"/>
      <c r="G1" s="281"/>
      <c r="H1" s="281"/>
      <c r="I1" s="281"/>
      <c r="J1" s="281"/>
      <c r="K1" s="277"/>
      <c r="L1" s="277"/>
      <c r="M1" s="277"/>
      <c r="N1" s="277"/>
      <c r="O1" s="277"/>
      <c r="P1" s="277"/>
      <c r="Q1" s="277"/>
      <c r="R1" s="277"/>
      <c r="S1" s="277"/>
      <c r="T1" s="277"/>
      <c r="U1" s="277"/>
      <c r="V1" s="277"/>
      <c r="W1" s="277"/>
      <c r="X1" s="277"/>
      <c r="Y1" s="277"/>
    </row>
    <row r="2">
      <c r="A2" s="214"/>
      <c r="B2" s="12"/>
      <c r="C2" s="137"/>
      <c r="D2" s="214"/>
      <c r="E2" s="260" t="str">
        <f>IFERROR(__xludf.DUMMYFUNCTION("""COMPUTED_VALUE"""),"Caster")</f>
        <v>Caster</v>
      </c>
      <c r="F2" s="214" t="str">
        <f>IFERROR(__xludf.DUMMYFUNCTION("""COMPUTED_VALUE"""),"Ambien Yawn; Doloron champion belt")</f>
        <v>Ambien Yawn; Doloron champion belt</v>
      </c>
    </row>
    <row r="3">
      <c r="A3" s="262" t="str">
        <f>IFERROR(__xludf.DUMMYFUNCTION("""COMPUTED_VALUE"""),"PARTY PATH")</f>
        <v>PARTY PATH</v>
      </c>
      <c r="B3" s="12"/>
      <c r="C3" s="137"/>
      <c r="D3" s="214"/>
      <c r="E3" s="260" t="str">
        <f>IFERROR(__xludf.DUMMYFUNCTION("""COMPUTED_VALUE"""),"Keeper")</f>
        <v>Keeper</v>
      </c>
      <c r="F3" s="214" t="str">
        <f>IFERROR(__xludf.DUMMYFUNCTION("""COMPUTED_VALUE"""),"Isabel; glasses, rose jacket")</f>
        <v>Isabel; glasses, rose jacket</v>
      </c>
    </row>
    <row r="4">
      <c r="A4" s="8" t="str">
        <f>IFERROR(__xludf.DUMMYFUNCTION("""COMPUTED_VALUE"""),"Character")</f>
        <v>Character</v>
      </c>
      <c r="B4" s="86" t="str">
        <f>IFERROR(__xludf.DUMMYFUNCTION("""COMPUTED_VALUE"""),"Gave Item/Info")</f>
        <v>Gave Item/Info</v>
      </c>
      <c r="C4" s="263" t="str">
        <f>IFERROR(__xludf.DUMMYFUNCTION("""COMPUTED_VALUE"""),"Notes")</f>
        <v>Notes</v>
      </c>
      <c r="D4" s="214"/>
      <c r="E4" s="260" t="str">
        <f>IFERROR(__xludf.DUMMYFUNCTION("""COMPUTED_VALUE"""),"Maker")</f>
        <v>Maker</v>
      </c>
      <c r="F4" s="214" t="str">
        <f>IFERROR(__xludf.DUMMYFUNCTION("""COMPUTED_VALUE"""),"Gaius; leather bracers w/pewter studs")</f>
        <v>Gaius; leather bracers w/pewter studs</v>
      </c>
    </row>
    <row r="5">
      <c r="A5" s="32" t="str">
        <f>IFERROR(__xludf.DUMMYFUNCTION("""COMPUTED_VALUE"""),"Mick Peacock")</f>
        <v>Mick Peacock</v>
      </c>
      <c r="B5" s="48" t="b">
        <f>IFERROR(__xludf.DUMMYFUNCTION("""COMPUTED_VALUE"""),TRUE)</f>
        <v>1</v>
      </c>
      <c r="C5" s="138"/>
      <c r="D5" s="214"/>
      <c r="E5" s="260" t="str">
        <f>IFERROR(__xludf.DUMMYFUNCTION("""COMPUTED_VALUE"""),"Ranger")</f>
        <v>Ranger</v>
      </c>
      <c r="F5" s="214" t="str">
        <f>IFERROR(__xludf.DUMMYFUNCTION("""COMPUTED_VALUE"""),"Arcadia; long curly red/blonde hair, glasses")</f>
        <v>Arcadia; long curly red/blonde hair, glasses</v>
      </c>
    </row>
    <row r="6">
      <c r="A6" s="32" t="str">
        <f>IFERROR(__xludf.DUMMYFUNCTION("""COMPUTED_VALUE"""),"Lexia")</f>
        <v>Lexia</v>
      </c>
      <c r="B6" s="48" t="b">
        <f>IFERROR(__xludf.DUMMYFUNCTION("""COMPUTED_VALUE"""),FALSE)</f>
        <v>0</v>
      </c>
      <c r="C6" s="222"/>
      <c r="D6" s="214"/>
      <c r="E6" s="260" t="str">
        <f>IFERROR(__xludf.DUMMYFUNCTION("""COMPUTED_VALUE"""),"Seeker")</f>
        <v>Seeker</v>
      </c>
      <c r="F6" s="214" t="str">
        <f>IFERROR(__xludf.DUMMYFUNCTION("""COMPUTED_VALUE"""),"Gwendyl; rose tabard, backward cap")</f>
        <v>Gwendyl; rose tabard, backward cap</v>
      </c>
    </row>
    <row r="7">
      <c r="A7" s="32" t="str">
        <f>IFERROR(__xludf.DUMMYFUNCTION("""COMPUTED_VALUE"""),"Jpeg")</f>
        <v>Jpeg</v>
      </c>
      <c r="B7" s="12" t="b">
        <f>IFERROR(__xludf.DUMMYFUNCTION("""COMPUTED_VALUE"""),TRUE)</f>
        <v>1</v>
      </c>
      <c r="C7" s="138"/>
      <c r="D7" s="214"/>
      <c r="E7" s="260" t="str">
        <f>IFERROR(__xludf.DUMMYFUNCTION("""COMPUTED_VALUE"""),"Traveler")</f>
        <v>Traveler</v>
      </c>
      <c r="F7" s="214" t="str">
        <f>IFERROR(__xludf.DUMMYFUNCTION("""COMPUTED_VALUE"""),"Otter; green tabard, grey beard")</f>
        <v>Otter; green tabard, grey beard</v>
      </c>
    </row>
    <row r="8">
      <c r="A8" s="32" t="str">
        <f>IFERROR(__xludf.DUMMYFUNCTION("""COMPUTED_VALUE"""),"Phyllis Fieri")</f>
        <v>Phyllis Fieri</v>
      </c>
      <c r="B8" s="48" t="b">
        <f>IFERROR(__xludf.DUMMYFUNCTION("""COMPUTED_VALUE"""),TRUE)</f>
        <v>1</v>
      </c>
      <c r="C8" s="138" t="str">
        <f>IFERROR(__xludf.DUMMYFUNCTION("""COMPUTED_VALUE"""),"4th Friday  - gave them letter w  list of items.  Great teamwork on challenge.  Excellent group dynamics! ")</f>
        <v>4th Friday  - gave them letter w  list of items.  Great teamwork on challenge.  Excellent group dynamics! </v>
      </c>
      <c r="D8" s="214"/>
      <c r="E8" s="214"/>
      <c r="F8" s="214"/>
    </row>
    <row r="9">
      <c r="A9" s="32" t="str">
        <f>IFERROR(__xludf.DUMMYFUNCTION("""COMPUTED_VALUE"""),"Crabtree")</f>
        <v>Crabtree</v>
      </c>
      <c r="B9" s="48" t="b">
        <f>IFERROR(__xludf.DUMMYFUNCTION("""COMPUTED_VALUE"""),TRUE)</f>
        <v>1</v>
      </c>
      <c r="C9" s="222" t="str">
        <f>IFERROR(__xludf.DUMMYFUNCTION("""COMPUTED_VALUE"""),"1st Sat - gave them snake eye talisman (Maker is wearing as a necklace); traveler was distracted by writing his notes, not paying attention to ""bucket challenge"", but participated when I addressed him specifically; caster renewed the whirlwind spell; Tr"&amp;"aveler seems to be trying to be in charge &amp; direct the rest of the team's behavior, everyone was attending politely to him, but I could imagine that being a stress point .")</f>
        <v>1st Sat - gave them snake eye talisman (Maker is wearing as a necklace); traveler was distracted by writing his notes, not paying attention to "bucket challenge", but participated when I addressed him specifically; caster renewed the whirlwind spell; Traveler seems to be trying to be in charge &amp; direct the rest of the team's behavior, everyone was attending politely to him, but I could imagine that being a stress point .</v>
      </c>
      <c r="D9" s="214"/>
      <c r="E9" s="214"/>
      <c r="F9" s="214"/>
    </row>
    <row r="10">
      <c r="A10" s="32" t="str">
        <f>IFERROR(__xludf.DUMMYFUNCTION("""COMPUTED_VALUE"""),"Isaiah Cooke")</f>
        <v>Isaiah Cooke</v>
      </c>
      <c r="B10" s="48" t="b">
        <f>IFERROR(__xludf.DUMMYFUNCTION("""COMPUTED_VALUE"""),TRUE)</f>
        <v>1</v>
      </c>
      <c r="C10" s="138" t="str">
        <f>IFERROR(__xludf.DUMMYFUNCTION("""COMPUTED_VALUE"""),"They were fantastic!   Super invested and had a convo and combat!  Love them")</f>
        <v>They were fantastic!   Super invested and had a convo and combat!  Love them</v>
      </c>
      <c r="D10" s="214"/>
      <c r="E10" s="214"/>
      <c r="F10" s="214"/>
    </row>
    <row r="11">
      <c r="A11" s="32" t="str">
        <f>IFERROR(__xludf.DUMMYFUNCTION("""COMPUTED_VALUE"""),"Malachi (Don't Give Item)")</f>
        <v>Malachi (Don't Give Item)</v>
      </c>
      <c r="B11" s="48" t="b">
        <f>IFERROR(__xludf.DUMMYFUNCTION("""COMPUTED_VALUE"""),TRUE)</f>
        <v>1</v>
      </c>
      <c r="C11" s="138" t="str">
        <f>IFERROR(__xludf.DUMMYFUNCTION("""COMPUTED_VALUE"""),"Update - Lunch: I spoke to Doloron at their table. They asked about the Merula Fruit Cordial. I told them to find me at the Roamer Camp and play Managers and Peons if they would like to get the Cordial. After they've done that, I'd be happy to meet them a"&amp;"t 10:00am on Sunday. Sat AM: I have not seen Doloron yet, and am concerned because it is nearing the end of my morning face part.")</f>
        <v>Update - Lunch: I spoke to Doloron at their table. They asked about the Merula Fruit Cordial. I told them to find me at the Roamer Camp and play Managers and Peons if they would like to get the Cordial. After they've done that, I'd be happy to meet them at 10:00am on Sunday. Sat AM: I have not seen Doloron yet, and am concerned because it is nearing the end of my morning face part.</v>
      </c>
      <c r="D11" s="214"/>
      <c r="E11" s="214"/>
      <c r="F11" s="214"/>
    </row>
    <row r="12">
      <c r="A12" s="214" t="str">
        <f>IFERROR(__xludf.DUMMYFUNCTION("""COMPUTED_VALUE"""),"Kora Peacekeeper")</f>
        <v>Kora Peacekeeper</v>
      </c>
      <c r="B12" s="48" t="b">
        <f>IFERROR(__xludf.DUMMYFUNCTION("""COMPUTED_VALUE"""),TRUE)</f>
        <v>1</v>
      </c>
      <c r="C12" s="138"/>
      <c r="D12" s="214"/>
      <c r="E12" s="214"/>
      <c r="F12" s="214"/>
    </row>
    <row r="13">
      <c r="A13" s="214" t="str">
        <f>IFERROR(__xludf.DUMMYFUNCTION("""COMPUTED_VALUE"""),"Pansy Golden")</f>
        <v>Pansy Golden</v>
      </c>
      <c r="B13" s="12" t="b">
        <f>IFERROR(__xludf.DUMMYFUNCTION("""COMPUTED_VALUE"""),FALSE)</f>
        <v>0</v>
      </c>
      <c r="C13" s="138" t="str">
        <f>IFERROR(__xludf.DUMMYFUNCTION("""COMPUTED_VALUE"""),"At breakfast, made a deal that they will cheer Ned up and I will give them the sphere. Planned for lunch Sat --HA
Talked to Bracken about this after lunch, didn't find Ned and trying to ask people to see what he likes -- RS")</f>
        <v>At breakfast, made a deal that they will cheer Ned up and I will give them the sphere. Planned for lunch Sat --HA
Talked to Bracken about this after lunch, didn't find Ned and trying to ask people to see what he likes -- RS</v>
      </c>
      <c r="D13" s="214"/>
      <c r="E13" s="214"/>
      <c r="F13" s="214"/>
    </row>
    <row r="14">
      <c r="A14" s="214" t="str">
        <f>IFERROR(__xludf.DUMMYFUNCTION("""COMPUTED_VALUE"""),"Stevie Peacock")</f>
        <v>Stevie Peacock</v>
      </c>
      <c r="B14" s="12" t="b">
        <f>IFERROR(__xludf.DUMMYFUNCTION("""COMPUTED_VALUE"""),TRUE)</f>
        <v>1</v>
      </c>
      <c r="C14" s="138"/>
      <c r="D14" s="214"/>
      <c r="E14" s="214"/>
      <c r="F14" s="214"/>
    </row>
    <row r="15">
      <c r="A15" s="32" t="str">
        <f>IFERROR(__xludf.DUMMYFUNCTION("""COMPUTED_VALUE"""),"Eugenie Bright")</f>
        <v>Eugenie Bright</v>
      </c>
      <c r="B15" s="12" t="b">
        <f>IFERROR(__xludf.DUMMYFUNCTION("""COMPUTED_VALUE"""),TRUE)</f>
        <v>1</v>
      </c>
      <c r="C15" s="138" t="str">
        <f>IFERROR(__xludf.DUMMYFUNCTION("""COMPUTED_VALUE"""),"Overheard conversartion on needing gemwing butterfly.")</f>
        <v>Overheard conversartion on needing gemwing butterfly.</v>
      </c>
      <c r="D15" s="214"/>
      <c r="E15" s="214"/>
      <c r="F15" s="214"/>
    </row>
    <row r="16">
      <c r="A16" s="214" t="str">
        <f>IFERROR(__xludf.DUMMYFUNCTION("""COMPUTED_VALUE"""),"Bracken")</f>
        <v>Bracken</v>
      </c>
      <c r="B16" s="12" t="b">
        <f>IFERROR(__xludf.DUMMYFUNCTION("""COMPUTED_VALUE"""),TRUE)</f>
        <v>1</v>
      </c>
      <c r="C16" s="137" t="str">
        <f>IFERROR(__xludf.DUMMYFUNCTION("""COMPUTED_VALUE"""),"Had a good story and really considerate about taking something that was from my grandfather, all around went well! -- RS")</f>
        <v>Had a good story and really considerate about taking something that was from my grandfather, all around went well! -- RS</v>
      </c>
      <c r="D16" s="214"/>
      <c r="E16" s="214"/>
      <c r="F16" s="214"/>
    </row>
    <row r="17">
      <c r="A17" s="216" t="str">
        <f>IFERROR(__xludf.DUMMYFUNCTION("""COMPUTED_VALUE"""),"Ghost Theater")</f>
        <v>Ghost Theater</v>
      </c>
      <c r="B17" s="216" t="b">
        <f>IFERROR(__xludf.DUMMYFUNCTION("""COMPUTED_VALUE"""),TRUE)</f>
        <v>1</v>
      </c>
      <c r="C17" s="137" t="str">
        <f>IFERROR(__xludf.DUMMYFUNCTION("""COMPUTED_VALUE"""),"Very engaged, however the taller gentleman did a fake face-first into the sand ""Fainting"" that we treated seriously. FFS.  Dave")</f>
        <v>Very engaged, however the taller gentleman did a fake face-first into the sand "Fainting" that we treated seriously. FFS.  Dave</v>
      </c>
      <c r="D17" s="214" t="str">
        <f>IFERROR(__xludf.DUMMYFUNCTION("""COMPUTED_VALUE"""),"Sat AM- Aria showed them Golden Page, and explained ""theater belongs to the ghosts now"" DG")</f>
        <v>Sat AM- Aria showed them Golden Page, and explained "theater belongs to the ghosts now" DG</v>
      </c>
      <c r="E17" s="214"/>
      <c r="F17" s="214"/>
    </row>
    <row r="18">
      <c r="A18" s="216" t="str">
        <f>IFERROR(__xludf.DUMMYFUNCTION("""COMPUTED_VALUE"""),"Malachi (Sunday)")</f>
        <v>Malachi (Sunday)</v>
      </c>
      <c r="B18" s="232" t="b">
        <f>IFERROR(__xludf.DUMMYFUNCTION("""COMPUTED_VALUE"""),FALSE)</f>
        <v>0</v>
      </c>
      <c r="C18" s="263"/>
      <c r="D18" s="86"/>
      <c r="E18" s="214"/>
      <c r="F18" s="214"/>
    </row>
    <row r="19">
      <c r="A19" s="32" t="str">
        <f>IFERROR(__xludf.DUMMYFUNCTION("""COMPUTED_VALUE"""),"Pixies")</f>
        <v>Pixies</v>
      </c>
      <c r="B19" s="48" t="b">
        <f>IFERROR(__xludf.DUMMYFUNCTION("""COMPUTED_VALUE"""),FALSE)</f>
        <v>0</v>
      </c>
      <c r="C19" s="138"/>
      <c r="D19" s="12"/>
      <c r="E19" s="214"/>
      <c r="F19" s="214"/>
    </row>
    <row r="20">
      <c r="A20" s="32"/>
      <c r="B20" s="48"/>
      <c r="C20" s="138"/>
      <c r="D20" s="12"/>
      <c r="E20" s="214"/>
      <c r="F20" s="214"/>
    </row>
    <row r="21">
      <c r="A21" s="32"/>
      <c r="B21" s="48"/>
      <c r="C21" s="222"/>
      <c r="D21" s="12"/>
      <c r="E21" s="214"/>
      <c r="F21" s="214"/>
    </row>
    <row r="22">
      <c r="A22" s="32" t="str">
        <f>IFERROR(__xludf.DUMMYFUNCTION("""COMPUTED_VALUE"""),"CHARGE INFO")</f>
        <v>CHARGE INFO</v>
      </c>
      <c r="B22" s="48" t="str">
        <f>IFERROR(__xludf.DUMMYFUNCTION("""COMPUTED_VALUE"""),"(Katherine Carmichael)")</f>
        <v>(Katherine Carmichael)</v>
      </c>
      <c r="C22" s="138"/>
      <c r="D22" s="12"/>
      <c r="E22" s="214"/>
      <c r="F22" s="214"/>
    </row>
    <row r="23">
      <c r="A23" s="32" t="str">
        <f>IFERROR(__xludf.DUMMYFUNCTION("""COMPUTED_VALUE"""),"Character")</f>
        <v>Character</v>
      </c>
      <c r="B23" s="48" t="str">
        <f>IFERROR(__xludf.DUMMYFUNCTION("""COMPUTED_VALUE"""),"Gave Info")</f>
        <v>Gave Info</v>
      </c>
      <c r="C23" s="222" t="str">
        <f>IFERROR(__xludf.DUMMYFUNCTION("""COMPUTED_VALUE"""),"Notes")</f>
        <v>Notes</v>
      </c>
      <c r="D23" s="12"/>
      <c r="E23" s="214"/>
      <c r="F23" s="214"/>
    </row>
    <row r="24">
      <c r="A24" s="32" t="str">
        <f>IFERROR(__xludf.DUMMYFUNCTION("""COMPUTED_VALUE"""),"Pearl Bryce")</f>
        <v>Pearl Bryce</v>
      </c>
      <c r="B24" s="48" t="b">
        <f>IFERROR(__xludf.DUMMYFUNCTION("""COMPUTED_VALUE"""),TRUE)</f>
        <v>1</v>
      </c>
      <c r="C24" s="138" t="str">
        <f>IFERROR(__xludf.DUMMYFUNCTION("""COMPUTED_VALUE"""),"Seem to at least like pearl! HOORAY. Ask her to help them investigate pixies, she said sure after she finishes the Katherine Carmicheal article (Friday Night)-TB Charge given, maker seems invested and doesn't like Verrin. Some other party members skeptica"&amp;"l of Katherine. They are asking who would benefit from besmirching Katherine (saturyday 1:45)-TB")</f>
        <v>Seem to at least like pearl! HOORAY. Ask her to help them investigate pixies, she said sure after she finishes the Katherine Carmicheal article (Friday Night)-TB Charge given, maker seems invested and doesn't like Verrin. Some other party members skeptical of Katherine. They are asking who would benefit from besmirching Katherine (saturyday 1:45)-TB</v>
      </c>
      <c r="D24" s="12"/>
      <c r="E24" s="214"/>
      <c r="F24" s="214"/>
    </row>
    <row r="25">
      <c r="A25" s="32" t="str">
        <f>IFERROR(__xludf.DUMMYFUNCTION("""COMPUTED_VALUE"""),"Mila")</f>
        <v>Mila</v>
      </c>
      <c r="B25" s="48" t="b">
        <f>IFERROR(__xludf.DUMMYFUNCTION("""COMPUTED_VALUE"""),FALSE)</f>
        <v>0</v>
      </c>
      <c r="C25" s="138"/>
      <c r="D25" s="12"/>
      <c r="E25" s="214"/>
      <c r="F25" s="214"/>
    </row>
    <row r="26">
      <c r="A26" s="32" t="str">
        <f>IFERROR(__xludf.DUMMYFUNCTION("""COMPUTED_VALUE"""),"Melados")</f>
        <v>Melados</v>
      </c>
      <c r="B26" s="48" t="b">
        <f>IFERROR(__xludf.DUMMYFUNCTION("""COMPUTED_VALUE"""),FALSE)</f>
        <v>0</v>
      </c>
      <c r="C26" s="138"/>
      <c r="D26" s="12"/>
      <c r="E26" s="214"/>
      <c r="F26" s="214"/>
    </row>
    <row r="27">
      <c r="A27" s="32" t="str">
        <f>IFERROR(__xludf.DUMMYFUNCTION("""COMPUTED_VALUE"""),"Jack Johnson")</f>
        <v>Jack Johnson</v>
      </c>
      <c r="B27" s="48" t="b">
        <f>IFERROR(__xludf.DUMMYFUNCTION("""COMPUTED_VALUE"""),FALSE)</f>
        <v>0</v>
      </c>
      <c r="C27" s="138"/>
      <c r="D27" s="12"/>
      <c r="E27" s="214"/>
      <c r="F27" s="214"/>
    </row>
    <row r="28">
      <c r="A28" s="32" t="str">
        <f>IFERROR(__xludf.DUMMYFUNCTION("""COMPUTED_VALUE"""),"Kyli Talespinner")</f>
        <v>Kyli Talespinner</v>
      </c>
      <c r="B28" s="48" t="b">
        <f>IFERROR(__xludf.DUMMYFUNCTION("""COMPUTED_VALUE"""),TRUE)</f>
        <v>1</v>
      </c>
      <c r="C28" s="222" t="str">
        <f>IFERROR(__xludf.DUMMYFUNCTION("""COMPUTED_VALUE"""),"Talked to party Sat 7:30pm in Tavern. Whole party was engaged but maybe not yet fully interested in the charge. MG")</f>
        <v>Talked to party Sat 7:30pm in Tavern. Whole party was engaged but maybe not yet fully interested in the charge. MG</v>
      </c>
      <c r="D28" s="12"/>
      <c r="E28" s="214"/>
      <c r="F28" s="214"/>
    </row>
    <row r="29">
      <c r="A29" s="32" t="str">
        <f>IFERROR(__xludf.DUMMYFUNCTION("""COMPUTED_VALUE"""),"Moxie")</f>
        <v>Moxie</v>
      </c>
      <c r="B29" s="48" t="b">
        <f>IFERROR(__xludf.DUMMYFUNCTION("""COMPUTED_VALUE"""),FALSE)</f>
        <v>0</v>
      </c>
      <c r="C29" s="138"/>
      <c r="D29" s="12"/>
      <c r="E29" s="214"/>
      <c r="F29" s="214"/>
    </row>
    <row r="30">
      <c r="A30" s="32" t="str">
        <f>IFERROR(__xludf.DUMMYFUNCTION("""COMPUTED_VALUE"""),"Vernon Gill")</f>
        <v>Vernon Gill</v>
      </c>
      <c r="B30" s="48" t="b">
        <f>IFERROR(__xludf.DUMMYFUNCTION("""COMPUTED_VALUE"""),TRUE)</f>
        <v>1</v>
      </c>
      <c r="C30" s="138" t="str">
        <f>IFERROR(__xludf.DUMMYFUNCTION("""COMPUTED_VALUE"""),"Fri 10:30pm-Keeperwantedto heal my arm, I briefly explained the attack and that it was exhibit 1 for Sunday's trial.")</f>
        <v>Fri 10:30pm-Keeperwantedto heal my arm, I briefly explained the attack and that it was exhibit 1 for Sunday's trial.</v>
      </c>
      <c r="D30" s="12" t="str">
        <f>IFERROR(__xludf.DUMMYFUNCTION("""COMPUTED_VALUE"""),"also grumbled about rising prices")</f>
        <v>also grumbled about rising prices</v>
      </c>
      <c r="E30" s="214"/>
      <c r="F30" s="214"/>
    </row>
    <row r="31">
      <c r="A31" s="32" t="str">
        <f>IFERROR(__xludf.DUMMYFUNCTION("""COMPUTED_VALUE"""),"Katherine Carmichael (before 10 pm)")</f>
        <v>Katherine Carmichael (before 10 pm)</v>
      </c>
      <c r="B31" s="48" t="b">
        <f>IFERROR(__xludf.DUMMYFUNCTION("""COMPUTED_VALUE"""),TRUE)</f>
        <v>1</v>
      </c>
      <c r="C31" s="138" t="str">
        <f>IFERROR(__xludf.DUMMYFUNCTION("""COMPUTED_VALUE"""),"spoke briefly with a couple members at breakfast; just pleasantries; Lincroft came over as well (to gush, of course) ")</f>
        <v>spoke briefly with a couple members at breakfast; just pleasantries; Lincroft came over as well (to gush, of course) </v>
      </c>
      <c r="D31" s="12"/>
      <c r="E31" s="214"/>
      <c r="F31" s="214"/>
    </row>
    <row r="32">
      <c r="A32" s="32" t="str">
        <f>IFERROR(__xludf.DUMMYFUNCTION("""COMPUTED_VALUE"""),"Nix Valerius")</f>
        <v>Nix Valerius</v>
      </c>
      <c r="B32" s="48" t="b">
        <f>IFERROR(__xludf.DUMMYFUNCTION("""COMPUTED_VALUE"""),TRUE)</f>
        <v>1</v>
      </c>
      <c r="C32" s="138" t="str">
        <f>IFERROR(__xludf.DUMMYFUNCTION("""COMPUTED_VALUE"""),"Most were engaged, understand that Vernon Gill sucks and Katherine Carmichael is awesome")</f>
        <v>Most were engaged, understand that Vernon Gill sucks and Katherine Carmichael is awesome</v>
      </c>
      <c r="D32" s="12"/>
      <c r="E32" s="214"/>
      <c r="F32" s="214"/>
    </row>
    <row r="33">
      <c r="A33" s="32" t="str">
        <f>IFERROR(__xludf.DUMMYFUNCTION("""COMPUTED_VALUE"""),"Angelica Sprink")</f>
        <v>Angelica Sprink</v>
      </c>
      <c r="B33" s="48" t="b">
        <f>IFERROR(__xludf.DUMMYFUNCTION("""COMPUTED_VALUE"""),TRUE)</f>
        <v>1</v>
      </c>
      <c r="C33" s="138" t="str">
        <f>IFERROR(__xludf.DUMMYFUNCTION("""COMPUTED_VALUE"""),"Got info to three members, got the message I was inspired 1:45 ")</f>
        <v>Got info to three members, got the message I was inspired 1:45 </v>
      </c>
      <c r="D33" s="12"/>
      <c r="E33" s="214"/>
      <c r="F33" s="214"/>
    </row>
    <row r="34">
      <c r="A34" s="32" t="str">
        <f>IFERROR(__xludf.DUMMYFUNCTION("""COMPUTED_VALUE"""),"Aria Morgan")</f>
        <v>Aria Morgan</v>
      </c>
      <c r="B34" s="48" t="b">
        <f>IFERROR(__xludf.DUMMYFUNCTION("""COMPUTED_VALUE"""),TRUE)</f>
        <v>1</v>
      </c>
      <c r="C34" s="138" t="str">
        <f>IFERROR(__xludf.DUMMYFUNCTION("""COMPUTED_VALUE"""),"Joined for breakfast, Pearl and Aria retold scene from Across the Prairie, party was very invested in how popular KC's books are, and how cool it is she has a crossbow just like Kit Carnage. 4/5 members were actively listening and engaged. DG")</f>
        <v>Joined for breakfast, Pearl and Aria retold scene from Across the Prairie, party was very invested in how popular KC's books are, and how cool it is she has a crossbow just like Kit Carnage. 4/5 members were actively listening and engaged. DG</v>
      </c>
      <c r="D34" s="12"/>
      <c r="E34" s="214"/>
      <c r="F34" s="214"/>
    </row>
    <row r="35">
      <c r="A35" s="32" t="str">
        <f>IFERROR(__xludf.DUMMYFUNCTION("""COMPUTED_VALUE"""),"Belle Bishop")</f>
        <v>Belle Bishop</v>
      </c>
      <c r="B35" s="48" t="b">
        <f>IFERROR(__xludf.DUMMYFUNCTION("""COMPUTED_VALUE"""),TRUE)</f>
        <v>1</v>
      </c>
      <c r="C35" s="138" t="str">
        <f>IFERROR(__xludf.DUMMYFUNCTION("""COMPUTED_VALUE"""),"Talked with them at lunch and they were interested in Katherine Carmichael's story - asked why she had come to town")</f>
        <v>Talked with them at lunch and they were interested in Katherine Carmichael's story - asked why she had come to town</v>
      </c>
      <c r="D35" s="12"/>
      <c r="E35" s="214"/>
      <c r="F35" s="214"/>
    </row>
    <row r="36">
      <c r="A36" s="32" t="str">
        <f>IFERROR(__xludf.DUMMYFUNCTION("""COMPUTED_VALUE"""),"Donna Peacock")</f>
        <v>Donna Peacock</v>
      </c>
      <c r="B36" s="48" t="b">
        <f>IFERROR(__xludf.DUMMYFUNCTION("""COMPUTED_VALUE"""),TRUE)</f>
        <v>1</v>
      </c>
      <c r="C36" s="138" t="str">
        <f>IFERROR(__xludf.DUMMYFUNCTION("""COMPUTED_VALUE"""),"Had a good chat sitting with two women in the party during lunch. -LBD")</f>
        <v>Had a good chat sitting with two women in the party during lunch. -LBD</v>
      </c>
      <c r="D36" s="12"/>
      <c r="E36" s="214"/>
      <c r="F36" s="214"/>
    </row>
    <row r="37">
      <c r="A37" s="32" t="str">
        <f>IFERROR(__xludf.DUMMYFUNCTION("""COMPUTED_VALUE"""),"Lexia")</f>
        <v>Lexia</v>
      </c>
      <c r="B37" s="48" t="b">
        <f>IFERROR(__xludf.DUMMYFUNCTION("""COMPUTED_VALUE"""),TRUE)</f>
        <v>1</v>
      </c>
      <c r="C37" s="138"/>
      <c r="D37" s="12"/>
      <c r="E37" s="214"/>
      <c r="F37" s="214"/>
    </row>
    <row r="38">
      <c r="A38" s="32" t="str">
        <f>IFERROR(__xludf.DUMMYFUNCTION("""COMPUTED_VALUE"""),"Lincroft Spence")</f>
        <v>Lincroft Spence</v>
      </c>
      <c r="B38" s="48" t="b">
        <f>IFERROR(__xludf.DUMMYFUNCTION("""COMPUTED_VALUE"""),TRUE)</f>
        <v>1</v>
      </c>
      <c r="C38" s="138" t="str">
        <f>IFERROR(__xludf.DUMMYFUNCTION("""COMPUTED_VALUE"""),"Chatted with Katherine Carmichael at breakfact and reinforced ""based on her life"", which thet had clearly already taken in")</f>
        <v>Chatted with Katherine Carmichael at breakfact and reinforced "based on her life", which thet had clearly already taken in</v>
      </c>
      <c r="D38" s="12"/>
      <c r="E38" s="214"/>
      <c r="F38" s="214"/>
    </row>
    <row r="39">
      <c r="A39" s="32" t="str">
        <f>IFERROR(__xludf.DUMMYFUNCTION("""COMPUTED_VALUE"""),"Karmin Smirch")</f>
        <v>Karmin Smirch</v>
      </c>
      <c r="B39" s="48" t="b">
        <f>IFERROR(__xludf.DUMMYFUNCTION("""COMPUTED_VALUE"""),TRUE)</f>
        <v>1</v>
      </c>
      <c r="C39" s="138" t="str">
        <f>IFERROR(__xludf.DUMMYFUNCTION("""COMPUTED_VALUE"""),"Chatted with them around 7pm Sat.  Deliveried the info.  They floated a potential framing.")</f>
        <v>Chatted with them around 7pm Sat.  Deliveried the info.  They floated a potential framing.</v>
      </c>
      <c r="D39" s="12"/>
      <c r="E39" s="214"/>
      <c r="F39" s="214"/>
    </row>
    <row r="40">
      <c r="A40" s="32" t="str">
        <f>IFERROR(__xludf.DUMMYFUNCTION("""COMPUTED_VALUE"""),"Bartleby Sprink")</f>
        <v>Bartleby Sprink</v>
      </c>
      <c r="B40" s="48" t="b">
        <f>IFERROR(__xludf.DUMMYFUNCTION("""COMPUTED_VALUE"""),FALSE)</f>
        <v>0</v>
      </c>
      <c r="C40" s="138"/>
      <c r="D40" s="12"/>
      <c r="E40" s="214"/>
      <c r="F40" s="214"/>
    </row>
    <row r="41">
      <c r="A41" s="32" t="str">
        <f>IFERROR(__xludf.DUMMYFUNCTION("""COMPUTED_VALUE"""),"Carmina Bordeaux")</f>
        <v>Carmina Bordeaux</v>
      </c>
      <c r="B41" s="48" t="b">
        <f>IFERROR(__xludf.DUMMYFUNCTION("""COMPUTED_VALUE"""),FALSE)</f>
        <v>0</v>
      </c>
      <c r="C41" s="138"/>
      <c r="D41" s="12"/>
      <c r="E41" s="214"/>
      <c r="F41" s="214"/>
    </row>
    <row r="42">
      <c r="A42" s="32" t="str">
        <f>IFERROR(__xludf.DUMMYFUNCTION("""COMPUTED_VALUE"""),"Edwin Davies")</f>
        <v>Edwin Davies</v>
      </c>
      <c r="B42" s="48" t="b">
        <f>IFERROR(__xludf.DUMMYFUNCTION("""COMPUTED_VALUE"""),TRUE)</f>
        <v>1</v>
      </c>
      <c r="C42" s="138" t="str">
        <f>IFERROR(__xludf.DUMMYFUNCTION("""COMPUTED_VALUE"""),"Told one member of the party how KC's charge wasn't surprising, as a natural consequence of allowing the drivel/so-called-""literature"" she writes to influence the minds of youth in Lyrian society.")</f>
        <v>Told one member of the party how KC's charge wasn't surprising, as a natural consequence of allowing the drivel/so-called-"literature" she writes to influence the minds of youth in Lyrian society.</v>
      </c>
      <c r="D42" s="12"/>
      <c r="E42" s="214"/>
      <c r="F42" s="214"/>
    </row>
    <row r="43">
      <c r="A43" s="32" t="str">
        <f>IFERROR(__xludf.DUMMYFUNCTION("""COMPUTED_VALUE"""),"Bonnie Stillwater")</f>
        <v>Bonnie Stillwater</v>
      </c>
      <c r="B43" s="48" t="b">
        <f>IFERROR(__xludf.DUMMYFUNCTION("""COMPUTED_VALUE"""),TRUE)</f>
        <v>1</v>
      </c>
      <c r="C43" s="138" t="str">
        <f>IFERROR(__xludf.DUMMYFUNCTION("""COMPUTED_VALUE"""),"Talked to at least 2 participants about KC's faintness at the sight of blood.  They asked how could that be if she's an epic hunter and adventurer jag")</f>
        <v>Talked to at least 2 participants about KC's faintness at the sight of blood.  They asked how could that be if she's an epic hunter and adventurer jag</v>
      </c>
      <c r="D43" s="12"/>
      <c r="E43" s="214"/>
      <c r="F43" s="214"/>
    </row>
    <row r="44">
      <c r="A44" s="32" t="str">
        <f>IFERROR(__xludf.DUMMYFUNCTION("""COMPUTED_VALUE"""),"Electra")</f>
        <v>Electra</v>
      </c>
      <c r="B44" s="48" t="b">
        <f>IFERROR(__xludf.DUMMYFUNCTION("""COMPUTED_VALUE"""),FALSE)</f>
        <v>0</v>
      </c>
      <c r="C44" s="138"/>
      <c r="D44" s="12"/>
      <c r="E44" s="214"/>
      <c r="F44" s="214"/>
    </row>
    <row r="45">
      <c r="A45" s="32" t="str">
        <f>IFERROR(__xludf.DUMMYFUNCTION("""COMPUTED_VALUE"""),"Katherine Carmichael (after 10 pm)")</f>
        <v>Katherine Carmichael (after 10 pm)</v>
      </c>
      <c r="B45" s="48" t="b">
        <f>IFERROR(__xludf.DUMMYFUNCTION("""COMPUTED_VALUE"""),FALSE)</f>
        <v>0</v>
      </c>
      <c r="C45" s="138"/>
      <c r="D45" s="12"/>
      <c r="E45" s="214"/>
      <c r="F45" s="214"/>
    </row>
    <row r="46">
      <c r="A46" s="32" t="str">
        <f>IFERROR(__xludf.DUMMYFUNCTION("""COMPUTED_VALUE"""),"Cameron Light-Astor")</f>
        <v>Cameron Light-Astor</v>
      </c>
      <c r="B46" s="48" t="b">
        <f>IFERROR(__xludf.DUMMYFUNCTION("""COMPUTED_VALUE"""),TRUE)</f>
        <v>1</v>
      </c>
      <c r="C46" s="138" t="str">
        <f>IFERROR(__xludf.DUMMYFUNCTION("""COMPUTED_VALUE"""),"Told 3-4 participants about Sgt Gill not knowing the song, and leaving him sad. They seemed entirely focused on the fact that he was sad and how to comfort him and not at all about the lack of knowledge of military songs. - RP")</f>
        <v>Told 3-4 participants about Sgt Gill not knowing the song, and leaving him sad. They seemed entirely focused on the fact that he was sad and how to comfort him and not at all about the lack of knowledge of military songs. - RP</v>
      </c>
      <c r="D46" s="12"/>
      <c r="E46" s="214"/>
      <c r="F46" s="214"/>
    </row>
    <row r="47">
      <c r="A47" s="214" t="str">
        <f>IFERROR(__xludf.DUMMYFUNCTION("""COMPUTED_VALUE"""),"Revelations")</f>
        <v>Revelations</v>
      </c>
      <c r="B47" s="12"/>
      <c r="C47" s="137"/>
      <c r="D47" s="214"/>
      <c r="E47" s="214"/>
      <c r="F47" s="214"/>
    </row>
    <row r="48">
      <c r="A48" s="214" t="str">
        <f>IFERROR(__xludf.DUMMYFUNCTION("""COMPUTED_VALUE"""),"Katherie Carmichael")</f>
        <v>Katherie Carmichael</v>
      </c>
      <c r="B48" s="12" t="b">
        <f>IFERROR(__xludf.DUMMYFUNCTION("""COMPUTED_VALUE"""),FALSE)</f>
        <v>0</v>
      </c>
      <c r="C48" s="137"/>
      <c r="D48" s="214"/>
      <c r="E48" s="214"/>
      <c r="F48" s="214"/>
    </row>
    <row r="49">
      <c r="A49" s="214" t="str">
        <f>IFERROR(__xludf.DUMMYFUNCTION("""COMPUTED_VALUE"""),"Pearl Bryce, Nix Valerius, Joni Peacock, Donna Peacock, Nina Bliss")</f>
        <v>Pearl Bryce, Nix Valerius, Joni Peacock, Donna Peacock, Nina Bliss</v>
      </c>
      <c r="B49" s="12" t="b">
        <f>IFERROR(__xludf.DUMMYFUNCTION("""COMPUTED_VALUE"""),FALSE)</f>
        <v>0</v>
      </c>
      <c r="C49" s="137"/>
      <c r="D49" s="214"/>
      <c r="E49" s="214"/>
      <c r="F49" s="214"/>
    </row>
    <row r="50">
      <c r="A50" s="214" t="str">
        <f>IFERROR(__xludf.DUMMYFUNCTION("""COMPUTED_VALUE"""),"Diesel")</f>
        <v>Diesel</v>
      </c>
      <c r="B50" s="12" t="b">
        <f>IFERROR(__xludf.DUMMYFUNCTION("""COMPUTED_VALUE"""),FALSE)</f>
        <v>0</v>
      </c>
      <c r="C50" s="137"/>
      <c r="D50" s="214"/>
      <c r="E50" s="214"/>
      <c r="F50" s="214"/>
    </row>
    <row r="51">
      <c r="A51" s="214"/>
      <c r="B51" s="12"/>
      <c r="C51" s="137"/>
      <c r="D51" s="214"/>
      <c r="E51" s="214"/>
      <c r="F51" s="214"/>
    </row>
    <row r="52">
      <c r="A52" s="214" t="str">
        <f>IFERROR(__xludf.DUMMYFUNCTION("""COMPUTED_VALUE"""),"GENERAL NOTES")</f>
        <v>GENERAL NOTES</v>
      </c>
      <c r="B52" s="12"/>
      <c r="C52" s="137"/>
      <c r="D52" s="214"/>
      <c r="E52" s="214"/>
      <c r="F52" s="214"/>
    </row>
    <row r="53">
      <c r="A53" s="214" t="str">
        <f>IFERROR(__xludf.DUMMYFUNCTION("""COMPUTED_VALUE"""),"JV-Fri-11pm-they were reviewing resourceslike spells and forming general strategies.")</f>
        <v>JV-Fri-11pm-they were reviewing resourceslike spells and forming general strategies.</v>
      </c>
      <c r="B53" s="12"/>
      <c r="C53" s="137"/>
      <c r="D53" s="214"/>
      <c r="E53" s="214"/>
      <c r="F53" s="214"/>
    </row>
    <row r="54">
      <c r="A54" s="214" t="str">
        <f>IFERROR(__xludf.DUMMYFUNCTION("""COMPUTED_VALUE"""),"AM - On Friday evening when they told us they were headed to FireWaterEarthAirBnb we (Cary and Belle) had a hilarious exchange with them in which we both apologized for my father and described him as ""a lot."" We told them about the mix-up and they were "&amp;"HIGHLY entertained. When we saw them later that night we asked how they were doing and how things went, and they said it was great, that they loved both of our parents, ""apart from the flatulence issue."" They they proceeded to tell us that they thought "&amp;"there might be some romantic energy between the two of them, which we found both preposterous and ""gross."" GREAT conversation. ")</f>
        <v>AM - On Friday evening when they told us they were headed to FireWaterEarthAirBnb we (Cary and Belle) had a hilarious exchange with them in which we both apologized for my father and described him as "a lot." We told them about the mix-up and they were HIGHLY entertained. When we saw them later that night we asked how they were doing and how things went, and they said it was great, that they loved both of our parents, "apart from the flatulence issue." They they proceeded to tell us that they thought there might be some romantic energy between the two of them, which we found both preposterous and "gross." GREAT conversation. </v>
      </c>
      <c r="B54" s="12"/>
      <c r="C54" s="137"/>
      <c r="D54" s="214"/>
      <c r="E54" s="214"/>
      <c r="F54" s="214"/>
    </row>
    <row r="55">
      <c r="A55" s="214" t="str">
        <f>IFERROR(__xludf.DUMMYFUNCTION("""COMPUTED_VALUE"""),"Did not pay for breakfast (Sat AM), was told they accidentally left their money in the cabin. Seemed pretty worried about having enough money to pay for things, they shared their chitter combat winnings with Arden this morning. Bonnie was tough on them bu"&amp;"t told them they needed to pay what was owed at lunch. DG")</f>
        <v>Did not pay for breakfast (Sat AM), was told they accidentally left their money in the cabin. Seemed pretty worried about having enough money to pay for things, they shared their chitter combat winnings with Arden this morning. Bonnie was tough on them but told them they needed to pay what was owed at lunch. DG</v>
      </c>
      <c r="B55" s="12"/>
      <c r="C55" s="137"/>
      <c r="D55" s="214"/>
      <c r="E55" s="214"/>
      <c r="F55" s="214"/>
    </row>
    <row r="56">
      <c r="A56" s="214" t="str">
        <f>IFERROR(__xludf.DUMMYFUNCTION("""COMPUTED_VALUE"""),"party photo taken -Mirin")</f>
        <v>party photo taken -Mirin</v>
      </c>
      <c r="B56" s="12"/>
      <c r="C56" s="137"/>
      <c r="D56" s="214"/>
      <c r="E56" s="214"/>
      <c r="F56" s="214"/>
    </row>
    <row r="57">
      <c r="A57" s="214" t="str">
        <f>IFERROR(__xludf.DUMMYFUNCTION("""COMPUTED_VALUE"""),"Caster used Gust of Wind spell against skeevers.  ")</f>
        <v>Caster used Gust of Wind spell against skeevers.  </v>
      </c>
      <c r="B57" s="12"/>
      <c r="C57" s="137"/>
      <c r="D57" s="214"/>
      <c r="E57" s="214"/>
      <c r="F57" s="214"/>
    </row>
    <row r="58">
      <c r="A58" s="214" t="str">
        <f>IFERROR(__xludf.DUMMYFUNCTION("""COMPUTED_VALUE"""),"Shared general info that Belle is effusive and sometimes forgets that Cari doesn't want attention called to him, e.g. at his birthday party; I hope she remembers that at the wedding. Saturday 10am. M.O.")</f>
        <v>Shared general info that Belle is effusive and sometimes forgets that Cari doesn't want attention called to him, e.g. at his birthday party; I hope she remembers that at the wedding. Saturday 10am. M.O.</v>
      </c>
      <c r="B58" s="12"/>
      <c r="C58" s="137"/>
      <c r="D58" s="214"/>
      <c r="E58" s="214"/>
      <c r="F58" s="214"/>
    </row>
    <row r="59">
      <c r="A59" s="214" t="str">
        <f>IFERROR(__xludf.DUMMYFUNCTION("""COMPUTED_VALUE"""),"Golden page great convo for Isaiah")</f>
        <v>Golden page great convo for Isaiah</v>
      </c>
      <c r="B59" s="12"/>
      <c r="C59" s="137"/>
      <c r="D59" s="214"/>
      <c r="E59" s="214"/>
      <c r="F59" s="214"/>
    </row>
    <row r="60">
      <c r="A60" s="214" t="str">
        <f>IFERROR(__xludf.DUMMYFUNCTION("""COMPUTED_VALUE"""),"Seemed worried about Wolven, but had a lovely Cup of Insight. - Kira")</f>
        <v>Seemed worried about Wolven, but had a lovely Cup of Insight. - Kira</v>
      </c>
      <c r="B60" s="12"/>
      <c r="C60" s="137"/>
      <c r="D60" s="214"/>
      <c r="E60" s="214"/>
      <c r="F60" s="214"/>
    </row>
    <row r="61">
      <c r="A61" s="214" t="str">
        <f>IFERROR(__xludf.DUMMYFUNCTION("""COMPUTED_VALUE"""),"Caster has a strong fairness drive - showed up in combat practice at Valerius house in strong views about how combat practice should be structured.  Traveler is less mobile and did not participate in combat training and appears to be some tension between "&amp;"the caster and the traveler as a result.  Caster was pushing to say traveler should be getting into combat.  - Neal, 1:30pm Sat")</f>
        <v>Caster has a strong fairness drive - showed up in combat practice at Valerius house in strong views about how combat practice should be structured.  Traveler is less mobile and did not participate in combat training and appears to be some tension between the caster and the traveler as a result.  Caster was pushing to say traveler should be getting into combat.  - Neal, 1:30pm Sat</v>
      </c>
      <c r="B61" s="12"/>
      <c r="C61" s="137"/>
      <c r="D61" s="214"/>
      <c r="E61" s="214"/>
      <c r="F61" s="214"/>
    </row>
    <row r="62">
      <c r="A62" s="214" t="str">
        <f>IFERROR(__xludf.DUMMYFUNCTION("""COMPUTED_VALUE"""),"Have golden page info re: Obsidian-Abigail")</f>
        <v>Have golden page info re: Obsidian-Abigail</v>
      </c>
      <c r="B62" s="12"/>
      <c r="C62" s="137"/>
      <c r="D62" s="214"/>
      <c r="E62" s="214"/>
      <c r="F62" s="214"/>
    </row>
    <row r="63">
      <c r="A63" s="214" t="str">
        <f>IFERROR(__xludf.DUMMYFUNCTION("""COMPUTED_VALUE"""),"6:30 Saturday SM -Gave them a great (if brief) Wolven fight at the bottom of Shepherd's Pass.  Their Caster did an illusion that the participants all had wings and the Wolven were all standing on 6"" square pillars over a hundred foot drop.  They made sho"&amp;"rt work of us and seemed to feel heroically clever.")</f>
        <v>6:30 Saturday SM -Gave them a great (if brief) Wolven fight at the bottom of Shepherd's Pass.  Their Caster did an illusion that the participants all had wings and the Wolven were all standing on 6" square pillars over a hundred foot drop.  They made short work of us and seemed to feel heroically clever.</v>
      </c>
      <c r="B63" s="12"/>
      <c r="C63" s="137"/>
      <c r="D63" s="214"/>
      <c r="E63" s="214"/>
      <c r="F63" s="214"/>
    </row>
    <row r="64">
      <c r="A64" s="214" t="str">
        <f>IFERROR(__xludf.DUMMYFUNCTION("""COMPUTED_VALUE"""),"Party snuck past mad lib ander wolven party, then came back and declared single combat to save the ""kidnapped"" ander")</f>
        <v>Party snuck past mad lib ander wolven party, then came back and declared single combat to save the "kidnapped" ander</v>
      </c>
      <c r="B64" s="12"/>
      <c r="C64" s="137"/>
      <c r="D64" s="214"/>
      <c r="E64" s="214"/>
      <c r="F64" s="214"/>
    </row>
    <row r="65">
      <c r="A65" s="214"/>
      <c r="B65" s="12"/>
      <c r="C65" s="137"/>
      <c r="D65" s="214"/>
      <c r="E65" s="214"/>
      <c r="F65" s="214"/>
    </row>
    <row r="66">
      <c r="A66" s="214"/>
      <c r="B66" s="12"/>
      <c r="C66" s="137"/>
      <c r="D66" s="214"/>
      <c r="E66" s="214"/>
      <c r="F66" s="214"/>
    </row>
    <row r="67">
      <c r="A67" s="214"/>
      <c r="B67" s="12"/>
      <c r="C67" s="137"/>
      <c r="D67" s="214"/>
      <c r="E67" s="214"/>
      <c r="F67" s="214"/>
    </row>
    <row r="68">
      <c r="A68" s="214"/>
      <c r="B68" s="12"/>
      <c r="C68" s="137"/>
      <c r="D68" s="214"/>
      <c r="E68" s="214"/>
      <c r="F68" s="214"/>
    </row>
    <row r="69">
      <c r="A69" s="214"/>
      <c r="B69" s="12"/>
      <c r="C69" s="137"/>
      <c r="D69" s="214"/>
      <c r="E69" s="214"/>
      <c r="F69" s="214"/>
    </row>
    <row r="70">
      <c r="A70" s="214"/>
      <c r="B70" s="12"/>
      <c r="C70" s="137"/>
      <c r="D70" s="214"/>
      <c r="E70" s="214"/>
      <c r="F70" s="214"/>
    </row>
    <row r="71">
      <c r="A71" s="214"/>
      <c r="B71" s="12"/>
      <c r="C71" s="137"/>
      <c r="D71" s="214"/>
      <c r="E71" s="214"/>
      <c r="F71" s="214"/>
    </row>
    <row r="72">
      <c r="A72" s="214"/>
      <c r="B72" s="12"/>
      <c r="C72" s="137"/>
      <c r="D72" s="214"/>
      <c r="E72" s="214"/>
      <c r="F72" s="214"/>
    </row>
    <row r="73">
      <c r="A73" s="214"/>
      <c r="B73" s="12"/>
      <c r="C73" s="137"/>
      <c r="D73" s="214"/>
      <c r="E73" s="214"/>
      <c r="F73" s="214"/>
    </row>
    <row r="74">
      <c r="A74" s="214"/>
      <c r="B74" s="12"/>
      <c r="C74" s="137"/>
      <c r="D74" s="214"/>
      <c r="E74" s="214"/>
      <c r="F74" s="214"/>
    </row>
    <row r="75">
      <c r="A75" s="214"/>
      <c r="B75" s="12"/>
      <c r="C75" s="137"/>
      <c r="D75" s="214"/>
      <c r="E75" s="214"/>
      <c r="F75" s="214"/>
    </row>
    <row r="76">
      <c r="A76" s="214"/>
      <c r="B76" s="12"/>
      <c r="C76" s="137"/>
      <c r="D76" s="214"/>
      <c r="E76" s="214"/>
      <c r="F76" s="214"/>
    </row>
    <row r="77">
      <c r="A77" s="214"/>
      <c r="B77" s="12"/>
      <c r="C77" s="137"/>
      <c r="D77" s="214"/>
      <c r="E77" s="214"/>
      <c r="F77" s="214"/>
    </row>
    <row r="78">
      <c r="B78" s="12"/>
      <c r="C78" s="137"/>
    </row>
    <row r="79">
      <c r="B79" s="12"/>
      <c r="C79" s="137"/>
    </row>
    <row r="80">
      <c r="B80" s="12"/>
      <c r="C80" s="137"/>
    </row>
    <row r="81">
      <c r="B81" s="12"/>
      <c r="C81" s="137"/>
    </row>
    <row r="82">
      <c r="B82" s="12"/>
      <c r="C82" s="137"/>
    </row>
    <row r="83">
      <c r="B83" s="12"/>
      <c r="C83" s="137"/>
    </row>
    <row r="84">
      <c r="B84" s="12"/>
      <c r="C84" s="137"/>
    </row>
    <row r="85">
      <c r="B85" s="12"/>
      <c r="C85" s="137"/>
    </row>
    <row r="86">
      <c r="B86" s="12"/>
      <c r="C86" s="137"/>
    </row>
    <row r="87">
      <c r="B87" s="12"/>
      <c r="C87" s="137"/>
    </row>
    <row r="88">
      <c r="B88" s="12"/>
      <c r="C88" s="137"/>
    </row>
    <row r="89">
      <c r="B89" s="12"/>
      <c r="C89" s="137"/>
    </row>
    <row r="90">
      <c r="B90" s="12"/>
      <c r="C90" s="137"/>
    </row>
    <row r="91">
      <c r="B91" s="12"/>
      <c r="C91" s="137"/>
    </row>
    <row r="92">
      <c r="B92" s="12"/>
      <c r="C92" s="137"/>
    </row>
    <row r="93">
      <c r="B93" s="12"/>
      <c r="C93" s="137"/>
    </row>
    <row r="94">
      <c r="B94" s="12"/>
      <c r="C94" s="137"/>
    </row>
    <row r="95">
      <c r="B95" s="12"/>
      <c r="C95" s="137"/>
    </row>
    <row r="96">
      <c r="B96" s="12"/>
      <c r="C96" s="137"/>
    </row>
    <row r="97">
      <c r="B97" s="12"/>
      <c r="C97" s="137"/>
    </row>
    <row r="98">
      <c r="B98" s="12"/>
      <c r="C98" s="137"/>
    </row>
    <row r="99">
      <c r="B99" s="12"/>
      <c r="C99" s="137"/>
    </row>
    <row r="100">
      <c r="B100" s="12"/>
      <c r="C100" s="137"/>
    </row>
    <row r="101">
      <c r="B101" s="12"/>
      <c r="C101" s="137"/>
    </row>
    <row r="102">
      <c r="B102" s="12"/>
      <c r="C102" s="137"/>
    </row>
    <row r="103">
      <c r="B103" s="12"/>
      <c r="C103" s="137"/>
    </row>
    <row r="104">
      <c r="B104" s="12"/>
      <c r="C104" s="137"/>
    </row>
    <row r="105">
      <c r="B105" s="12"/>
      <c r="C105" s="137"/>
    </row>
    <row r="106">
      <c r="B106" s="12"/>
      <c r="C106" s="137"/>
    </row>
    <row r="107">
      <c r="B107" s="12"/>
      <c r="C107" s="137"/>
    </row>
    <row r="108">
      <c r="B108" s="12"/>
      <c r="C108" s="137"/>
    </row>
    <row r="109">
      <c r="B109" s="12"/>
      <c r="C109" s="137"/>
    </row>
    <row r="110">
      <c r="B110" s="12"/>
      <c r="C110" s="137"/>
    </row>
    <row r="111">
      <c r="B111" s="12"/>
      <c r="C111" s="137"/>
    </row>
    <row r="112">
      <c r="B112" s="12"/>
      <c r="C112" s="137"/>
    </row>
    <row r="113">
      <c r="B113" s="12"/>
      <c r="C113" s="137"/>
    </row>
    <row r="114">
      <c r="B114" s="12"/>
      <c r="C114" s="137"/>
    </row>
    <row r="115">
      <c r="B115" s="12"/>
      <c r="C115" s="137"/>
    </row>
    <row r="116">
      <c r="B116" s="12"/>
      <c r="C116" s="137"/>
    </row>
    <row r="117">
      <c r="B117" s="12"/>
      <c r="C117" s="137"/>
    </row>
    <row r="118">
      <c r="B118" s="12"/>
      <c r="C118" s="137"/>
    </row>
    <row r="119">
      <c r="B119" s="12"/>
      <c r="C119" s="137"/>
    </row>
    <row r="120">
      <c r="B120" s="12"/>
      <c r="C120" s="137"/>
    </row>
    <row r="121">
      <c r="B121" s="12"/>
      <c r="C121" s="137"/>
    </row>
    <row r="122">
      <c r="B122" s="12"/>
      <c r="C122" s="137"/>
    </row>
    <row r="123">
      <c r="B123" s="12"/>
      <c r="C123" s="137"/>
    </row>
    <row r="124">
      <c r="B124" s="12"/>
      <c r="C124" s="137"/>
    </row>
    <row r="125">
      <c r="B125" s="12"/>
      <c r="C125" s="137"/>
    </row>
    <row r="126">
      <c r="B126" s="12"/>
      <c r="C126" s="137"/>
    </row>
    <row r="127">
      <c r="B127" s="12"/>
      <c r="C127" s="137"/>
    </row>
    <row r="128">
      <c r="B128" s="12"/>
      <c r="C128" s="137"/>
    </row>
    <row r="129">
      <c r="B129" s="12"/>
      <c r="C129" s="137"/>
    </row>
    <row r="130">
      <c r="B130" s="12"/>
      <c r="C130" s="137"/>
    </row>
    <row r="131">
      <c r="B131" s="12"/>
      <c r="C131" s="137"/>
    </row>
    <row r="132">
      <c r="B132" s="12"/>
      <c r="C132" s="137"/>
    </row>
    <row r="133">
      <c r="B133" s="12"/>
      <c r="C133" s="137"/>
    </row>
    <row r="134">
      <c r="B134" s="12"/>
      <c r="C134" s="137"/>
    </row>
    <row r="135">
      <c r="B135" s="12"/>
      <c r="C135" s="137"/>
    </row>
    <row r="136">
      <c r="B136" s="12"/>
      <c r="C136" s="137"/>
    </row>
    <row r="137">
      <c r="B137" s="12"/>
      <c r="C137" s="137"/>
    </row>
    <row r="138">
      <c r="B138" s="12"/>
      <c r="C138" s="137"/>
    </row>
    <row r="139">
      <c r="B139" s="12"/>
      <c r="C139" s="137"/>
    </row>
    <row r="140">
      <c r="B140" s="12"/>
      <c r="C140" s="137"/>
    </row>
    <row r="141">
      <c r="B141" s="12"/>
      <c r="C141" s="137"/>
    </row>
    <row r="142">
      <c r="B142" s="12"/>
      <c r="C142" s="137"/>
    </row>
    <row r="143">
      <c r="B143" s="12"/>
      <c r="C143" s="137"/>
    </row>
    <row r="144">
      <c r="B144" s="12"/>
      <c r="C144" s="137"/>
    </row>
    <row r="145">
      <c r="B145" s="12"/>
      <c r="C145" s="137"/>
    </row>
    <row r="146">
      <c r="B146" s="12"/>
      <c r="C146" s="137"/>
    </row>
    <row r="147">
      <c r="B147" s="12"/>
      <c r="C147" s="137"/>
    </row>
    <row r="148">
      <c r="B148" s="12"/>
      <c r="C148" s="137"/>
    </row>
    <row r="149">
      <c r="B149" s="12"/>
      <c r="C149" s="137"/>
    </row>
    <row r="150">
      <c r="B150" s="12"/>
      <c r="C150" s="137"/>
    </row>
    <row r="151">
      <c r="B151" s="12"/>
      <c r="C151" s="137"/>
    </row>
    <row r="152">
      <c r="B152" s="12"/>
      <c r="C152" s="137"/>
    </row>
    <row r="153">
      <c r="B153" s="12"/>
      <c r="C153" s="137"/>
    </row>
    <row r="154">
      <c r="B154" s="12"/>
      <c r="C154" s="137"/>
    </row>
    <row r="155">
      <c r="B155" s="12"/>
      <c r="C155" s="137"/>
    </row>
    <row r="156">
      <c r="B156" s="12"/>
      <c r="C156" s="137"/>
    </row>
    <row r="157">
      <c r="B157" s="12"/>
      <c r="C157" s="137"/>
    </row>
    <row r="158">
      <c r="B158" s="12"/>
      <c r="C158" s="137"/>
    </row>
    <row r="159">
      <c r="B159" s="12"/>
      <c r="C159" s="137"/>
    </row>
    <row r="160">
      <c r="B160" s="12"/>
      <c r="C160" s="137"/>
    </row>
    <row r="161">
      <c r="B161" s="12"/>
      <c r="C161" s="137"/>
    </row>
    <row r="162">
      <c r="B162" s="12"/>
      <c r="C162" s="137"/>
    </row>
    <row r="163">
      <c r="B163" s="12"/>
      <c r="C163" s="137"/>
    </row>
    <row r="164">
      <c r="B164" s="12"/>
      <c r="C164" s="137"/>
    </row>
    <row r="165">
      <c r="B165" s="12"/>
      <c r="C165" s="137"/>
    </row>
    <row r="166">
      <c r="B166" s="12"/>
      <c r="C166" s="137"/>
    </row>
    <row r="167">
      <c r="B167" s="12"/>
      <c r="C167" s="137"/>
    </row>
    <row r="168">
      <c r="B168" s="12"/>
      <c r="C168" s="137"/>
    </row>
    <row r="169">
      <c r="B169" s="12"/>
      <c r="C169" s="137"/>
    </row>
    <row r="170">
      <c r="B170" s="12"/>
      <c r="C170" s="137"/>
    </row>
    <row r="171">
      <c r="B171" s="12"/>
      <c r="C171" s="137"/>
    </row>
    <row r="172">
      <c r="B172" s="12"/>
      <c r="C172" s="137"/>
    </row>
    <row r="173">
      <c r="B173" s="12"/>
      <c r="C173" s="137"/>
    </row>
    <row r="174">
      <c r="B174" s="12"/>
      <c r="C174" s="137"/>
    </row>
    <row r="175">
      <c r="B175" s="12"/>
      <c r="C175" s="137"/>
    </row>
    <row r="176">
      <c r="B176" s="12"/>
      <c r="C176" s="137"/>
    </row>
    <row r="177">
      <c r="B177" s="12"/>
      <c r="C177" s="137"/>
    </row>
    <row r="178">
      <c r="B178" s="12"/>
      <c r="C178" s="137"/>
    </row>
    <row r="179">
      <c r="B179" s="12"/>
      <c r="C179" s="137"/>
    </row>
    <row r="180">
      <c r="B180" s="12"/>
      <c r="C180" s="137"/>
    </row>
    <row r="181">
      <c r="B181" s="12"/>
      <c r="C181" s="137"/>
    </row>
    <row r="182">
      <c r="B182" s="12"/>
      <c r="C182" s="137"/>
    </row>
    <row r="183">
      <c r="B183" s="12"/>
      <c r="C183" s="137"/>
    </row>
    <row r="184">
      <c r="B184" s="12"/>
      <c r="C184" s="137"/>
    </row>
    <row r="185">
      <c r="B185" s="12"/>
      <c r="C185" s="137"/>
    </row>
    <row r="186">
      <c r="B186" s="12"/>
      <c r="C186" s="137"/>
    </row>
    <row r="187">
      <c r="B187" s="12"/>
      <c r="C187" s="137"/>
    </row>
    <row r="188">
      <c r="B188" s="12"/>
      <c r="C188" s="137"/>
    </row>
    <row r="189">
      <c r="B189" s="12"/>
      <c r="C189" s="137"/>
    </row>
    <row r="190">
      <c r="B190" s="12"/>
      <c r="C190" s="137"/>
    </row>
    <row r="191">
      <c r="B191" s="12"/>
      <c r="C191" s="137"/>
    </row>
    <row r="192">
      <c r="B192" s="12"/>
      <c r="C192" s="137"/>
    </row>
    <row r="193">
      <c r="B193" s="12"/>
      <c r="C193" s="137"/>
    </row>
    <row r="194">
      <c r="B194" s="12"/>
      <c r="C194" s="137"/>
    </row>
    <row r="195">
      <c r="B195" s="12"/>
      <c r="C195" s="137"/>
    </row>
    <row r="196">
      <c r="B196" s="12"/>
      <c r="C196" s="137"/>
    </row>
    <row r="197">
      <c r="B197" s="12"/>
      <c r="C197" s="137"/>
    </row>
    <row r="198">
      <c r="B198" s="12"/>
      <c r="C198" s="137"/>
    </row>
    <row r="199">
      <c r="B199" s="12"/>
      <c r="C199" s="137"/>
    </row>
    <row r="200">
      <c r="B200" s="12"/>
      <c r="C200" s="137"/>
    </row>
    <row r="201">
      <c r="B201" s="12"/>
      <c r="C201" s="137"/>
    </row>
    <row r="202">
      <c r="B202" s="12"/>
      <c r="C202" s="137"/>
    </row>
    <row r="203">
      <c r="B203" s="12"/>
      <c r="C203" s="137"/>
    </row>
    <row r="204">
      <c r="B204" s="12"/>
      <c r="C204" s="137"/>
    </row>
    <row r="205">
      <c r="B205" s="12"/>
      <c r="C205" s="137"/>
    </row>
    <row r="206">
      <c r="B206" s="12"/>
      <c r="C206" s="137"/>
    </row>
    <row r="207">
      <c r="B207" s="12"/>
      <c r="C207" s="137"/>
    </row>
    <row r="208">
      <c r="B208" s="12"/>
      <c r="C208" s="137"/>
    </row>
    <row r="209">
      <c r="B209" s="12"/>
      <c r="C209" s="137"/>
    </row>
    <row r="210">
      <c r="B210" s="12"/>
      <c r="C210" s="137"/>
    </row>
    <row r="211">
      <c r="B211" s="12"/>
      <c r="C211" s="137"/>
    </row>
    <row r="212">
      <c r="B212" s="12"/>
      <c r="C212" s="137"/>
    </row>
    <row r="213">
      <c r="B213" s="12"/>
      <c r="C213" s="137"/>
    </row>
    <row r="214">
      <c r="B214" s="12"/>
      <c r="C214" s="137"/>
    </row>
    <row r="215">
      <c r="B215" s="12"/>
      <c r="C215" s="137"/>
    </row>
    <row r="216">
      <c r="B216" s="12"/>
      <c r="C216" s="137"/>
    </row>
    <row r="217">
      <c r="B217" s="12"/>
      <c r="C217" s="137"/>
    </row>
    <row r="218">
      <c r="B218" s="12"/>
      <c r="C218" s="137"/>
    </row>
    <row r="219">
      <c r="B219" s="12"/>
      <c r="C219" s="137"/>
    </row>
    <row r="220">
      <c r="B220" s="12"/>
      <c r="C220" s="137"/>
    </row>
    <row r="221">
      <c r="B221" s="12"/>
      <c r="C221" s="137"/>
    </row>
    <row r="222">
      <c r="B222" s="12"/>
      <c r="C222" s="137"/>
    </row>
    <row r="223">
      <c r="B223" s="12"/>
      <c r="C223" s="137"/>
    </row>
    <row r="224">
      <c r="B224" s="12"/>
      <c r="C224" s="137"/>
    </row>
    <row r="225">
      <c r="B225" s="12"/>
      <c r="C225" s="137"/>
    </row>
    <row r="226">
      <c r="B226" s="12"/>
      <c r="C226" s="137"/>
    </row>
    <row r="227">
      <c r="B227" s="12"/>
      <c r="C227" s="137"/>
    </row>
    <row r="228">
      <c r="B228" s="12"/>
      <c r="C228" s="137"/>
    </row>
    <row r="229">
      <c r="B229" s="12"/>
      <c r="C229" s="137"/>
    </row>
    <row r="230">
      <c r="B230" s="12"/>
      <c r="C230" s="137"/>
    </row>
    <row r="231">
      <c r="B231" s="12"/>
      <c r="C231" s="137"/>
    </row>
    <row r="232">
      <c r="B232" s="12"/>
      <c r="C232" s="137"/>
    </row>
    <row r="233">
      <c r="B233" s="12"/>
      <c r="C233" s="137"/>
    </row>
    <row r="234">
      <c r="B234" s="12"/>
      <c r="C234" s="137"/>
    </row>
    <row r="235">
      <c r="B235" s="12"/>
      <c r="C235" s="137"/>
    </row>
    <row r="236">
      <c r="B236" s="12"/>
      <c r="C236" s="137"/>
    </row>
    <row r="237">
      <c r="B237" s="12"/>
      <c r="C237" s="137"/>
    </row>
    <row r="238">
      <c r="B238" s="12"/>
      <c r="C238" s="137"/>
    </row>
    <row r="239">
      <c r="B239" s="12"/>
      <c r="C239" s="137"/>
    </row>
    <row r="240">
      <c r="B240" s="12"/>
      <c r="C240" s="137"/>
    </row>
    <row r="241">
      <c r="B241" s="12"/>
      <c r="C241" s="137"/>
    </row>
    <row r="242">
      <c r="B242" s="12"/>
      <c r="C242" s="137"/>
    </row>
    <row r="243">
      <c r="B243" s="12"/>
      <c r="C243" s="137"/>
    </row>
    <row r="244">
      <c r="B244" s="12"/>
      <c r="C244" s="137"/>
    </row>
    <row r="245">
      <c r="B245" s="12"/>
      <c r="C245" s="137"/>
    </row>
    <row r="246">
      <c r="B246" s="12"/>
      <c r="C246" s="137"/>
    </row>
    <row r="247">
      <c r="B247" s="12"/>
      <c r="C247" s="137"/>
    </row>
    <row r="248">
      <c r="B248" s="12"/>
      <c r="C248" s="137"/>
    </row>
    <row r="249">
      <c r="B249" s="12"/>
      <c r="C249" s="137"/>
    </row>
    <row r="250">
      <c r="B250" s="12"/>
      <c r="C250" s="137"/>
    </row>
    <row r="251">
      <c r="B251" s="12"/>
      <c r="C251" s="137"/>
    </row>
    <row r="252">
      <c r="B252" s="12"/>
      <c r="C252" s="137"/>
    </row>
    <row r="253">
      <c r="B253" s="12"/>
      <c r="C253" s="137"/>
    </row>
    <row r="254">
      <c r="B254" s="12"/>
      <c r="C254" s="137"/>
    </row>
    <row r="255">
      <c r="B255" s="12"/>
      <c r="C255" s="137"/>
    </row>
    <row r="256">
      <c r="B256" s="12"/>
      <c r="C256" s="137"/>
    </row>
    <row r="257">
      <c r="B257" s="12"/>
      <c r="C257" s="137"/>
    </row>
    <row r="258">
      <c r="B258" s="12"/>
      <c r="C258" s="137"/>
    </row>
    <row r="259">
      <c r="B259" s="12"/>
      <c r="C259" s="137"/>
    </row>
    <row r="260">
      <c r="B260" s="12"/>
      <c r="C260" s="137"/>
    </row>
    <row r="261">
      <c r="B261" s="12"/>
      <c r="C261" s="137"/>
    </row>
    <row r="262">
      <c r="B262" s="12"/>
      <c r="C262" s="137"/>
    </row>
    <row r="263">
      <c r="B263" s="12"/>
      <c r="C263" s="137"/>
    </row>
    <row r="264">
      <c r="B264" s="12"/>
      <c r="C264" s="137"/>
    </row>
    <row r="265">
      <c r="B265" s="12"/>
      <c r="C265" s="137"/>
    </row>
    <row r="266">
      <c r="B266" s="12"/>
      <c r="C266" s="137"/>
    </row>
    <row r="267">
      <c r="B267" s="12"/>
      <c r="C267" s="137"/>
    </row>
    <row r="268">
      <c r="B268" s="12"/>
      <c r="C268" s="137"/>
    </row>
    <row r="269">
      <c r="B269" s="12"/>
      <c r="C269" s="137"/>
    </row>
    <row r="270">
      <c r="B270" s="12"/>
      <c r="C270" s="137"/>
    </row>
    <row r="271">
      <c r="B271" s="12"/>
      <c r="C271" s="137"/>
    </row>
    <row r="272">
      <c r="B272" s="12"/>
      <c r="C272" s="137"/>
    </row>
    <row r="273">
      <c r="B273" s="12"/>
      <c r="C273" s="137"/>
    </row>
    <row r="274">
      <c r="B274" s="12"/>
      <c r="C274" s="137"/>
    </row>
    <row r="275">
      <c r="B275" s="12"/>
      <c r="C275" s="137"/>
    </row>
    <row r="276">
      <c r="B276" s="12"/>
      <c r="C276" s="137"/>
    </row>
    <row r="277">
      <c r="B277" s="12"/>
      <c r="C277" s="137"/>
    </row>
    <row r="278">
      <c r="B278" s="12"/>
      <c r="C278" s="137"/>
    </row>
    <row r="279">
      <c r="B279" s="12"/>
      <c r="C279" s="137"/>
    </row>
    <row r="280">
      <c r="B280" s="12"/>
      <c r="C280" s="137"/>
    </row>
    <row r="281">
      <c r="B281" s="12"/>
      <c r="C281" s="137"/>
    </row>
    <row r="282">
      <c r="B282" s="12"/>
      <c r="C282" s="137"/>
    </row>
    <row r="283">
      <c r="B283" s="12"/>
      <c r="C283" s="137"/>
    </row>
    <row r="284">
      <c r="B284" s="12"/>
      <c r="C284" s="137"/>
    </row>
    <row r="285">
      <c r="B285" s="12"/>
      <c r="C285" s="137"/>
    </row>
    <row r="286">
      <c r="B286" s="12"/>
      <c r="C286" s="137"/>
    </row>
    <row r="287">
      <c r="B287" s="12"/>
      <c r="C287" s="137"/>
    </row>
    <row r="288">
      <c r="B288" s="12"/>
      <c r="C288" s="137"/>
    </row>
    <row r="289">
      <c r="B289" s="12"/>
      <c r="C289" s="137"/>
    </row>
    <row r="290">
      <c r="B290" s="12"/>
      <c r="C290" s="137"/>
    </row>
    <row r="291">
      <c r="B291" s="12"/>
      <c r="C291" s="137"/>
    </row>
    <row r="292">
      <c r="B292" s="12"/>
      <c r="C292" s="137"/>
    </row>
    <row r="293">
      <c r="B293" s="12"/>
      <c r="C293" s="137"/>
    </row>
    <row r="294">
      <c r="B294" s="12"/>
      <c r="C294" s="137"/>
    </row>
    <row r="295">
      <c r="B295" s="12"/>
      <c r="C295" s="137"/>
    </row>
    <row r="296">
      <c r="B296" s="12"/>
      <c r="C296" s="137"/>
    </row>
    <row r="297">
      <c r="B297" s="12"/>
      <c r="C297" s="137"/>
    </row>
    <row r="298">
      <c r="B298" s="12"/>
      <c r="C298" s="137"/>
    </row>
    <row r="299">
      <c r="B299" s="12"/>
      <c r="C299" s="137"/>
    </row>
    <row r="300">
      <c r="B300" s="12"/>
      <c r="C300" s="137"/>
    </row>
    <row r="301">
      <c r="B301" s="12"/>
      <c r="C301" s="137"/>
    </row>
    <row r="302">
      <c r="B302" s="12"/>
      <c r="C302" s="137"/>
    </row>
    <row r="303">
      <c r="B303" s="12"/>
      <c r="C303" s="137"/>
    </row>
    <row r="304">
      <c r="B304" s="12"/>
      <c r="C304" s="137"/>
    </row>
    <row r="305">
      <c r="B305" s="12"/>
      <c r="C305" s="137"/>
    </row>
    <row r="306">
      <c r="B306" s="12"/>
      <c r="C306" s="137"/>
    </row>
    <row r="307">
      <c r="B307" s="12"/>
      <c r="C307" s="137"/>
    </row>
    <row r="308">
      <c r="B308" s="12"/>
      <c r="C308" s="137"/>
    </row>
    <row r="309">
      <c r="B309" s="12"/>
      <c r="C309" s="137"/>
    </row>
    <row r="310">
      <c r="B310" s="12"/>
      <c r="C310" s="137"/>
    </row>
    <row r="311">
      <c r="B311" s="12"/>
      <c r="C311" s="137"/>
    </row>
    <row r="312">
      <c r="B312" s="12"/>
      <c r="C312" s="137"/>
    </row>
    <row r="313">
      <c r="B313" s="12"/>
      <c r="C313" s="137"/>
    </row>
    <row r="314">
      <c r="B314" s="12"/>
      <c r="C314" s="137"/>
    </row>
    <row r="315">
      <c r="B315" s="12"/>
      <c r="C315" s="137"/>
    </row>
    <row r="316">
      <c r="B316" s="12"/>
      <c r="C316" s="137"/>
    </row>
    <row r="317">
      <c r="B317" s="12"/>
      <c r="C317" s="137"/>
    </row>
    <row r="318">
      <c r="B318" s="12"/>
      <c r="C318" s="137"/>
    </row>
    <row r="319">
      <c r="B319" s="12"/>
      <c r="C319" s="137"/>
    </row>
    <row r="320">
      <c r="B320" s="12"/>
      <c r="C320" s="137"/>
    </row>
    <row r="321">
      <c r="B321" s="12"/>
      <c r="C321" s="137"/>
    </row>
    <row r="322">
      <c r="B322" s="12"/>
      <c r="C322" s="137"/>
    </row>
    <row r="323">
      <c r="B323" s="12"/>
      <c r="C323" s="137"/>
    </row>
    <row r="324">
      <c r="B324" s="12"/>
      <c r="C324" s="137"/>
    </row>
    <row r="325">
      <c r="B325" s="12"/>
      <c r="C325" s="137"/>
    </row>
    <row r="326">
      <c r="B326" s="12"/>
      <c r="C326" s="137"/>
    </row>
    <row r="327">
      <c r="B327" s="12"/>
      <c r="C327" s="137"/>
    </row>
    <row r="328">
      <c r="B328" s="12"/>
      <c r="C328" s="137"/>
    </row>
    <row r="329">
      <c r="B329" s="12"/>
      <c r="C329" s="137"/>
    </row>
    <row r="330">
      <c r="B330" s="12"/>
      <c r="C330" s="137"/>
    </row>
    <row r="331">
      <c r="B331" s="12"/>
      <c r="C331" s="137"/>
    </row>
    <row r="332">
      <c r="B332" s="12"/>
      <c r="C332" s="137"/>
    </row>
    <row r="333">
      <c r="B333" s="12"/>
      <c r="C333" s="137"/>
    </row>
    <row r="334">
      <c r="B334" s="12"/>
      <c r="C334" s="137"/>
    </row>
    <row r="335">
      <c r="B335" s="12"/>
      <c r="C335" s="137"/>
    </row>
    <row r="336">
      <c r="B336" s="12"/>
      <c r="C336" s="137"/>
    </row>
    <row r="337">
      <c r="B337" s="12"/>
      <c r="C337" s="137"/>
    </row>
    <row r="338">
      <c r="B338" s="12"/>
      <c r="C338" s="137"/>
    </row>
    <row r="339">
      <c r="B339" s="12"/>
      <c r="C339" s="137"/>
    </row>
    <row r="340">
      <c r="B340" s="12"/>
      <c r="C340" s="137"/>
    </row>
    <row r="341">
      <c r="B341" s="12"/>
      <c r="C341" s="137"/>
    </row>
    <row r="342">
      <c r="B342" s="12"/>
      <c r="C342" s="137"/>
    </row>
    <row r="343">
      <c r="B343" s="12"/>
      <c r="C343" s="137"/>
    </row>
    <row r="344">
      <c r="B344" s="12"/>
      <c r="C344" s="137"/>
    </row>
    <row r="345">
      <c r="B345" s="12"/>
      <c r="C345" s="137"/>
    </row>
    <row r="346">
      <c r="B346" s="12"/>
      <c r="C346" s="137"/>
    </row>
    <row r="347">
      <c r="B347" s="12"/>
      <c r="C347" s="137"/>
    </row>
    <row r="348">
      <c r="B348" s="12"/>
      <c r="C348" s="137"/>
    </row>
    <row r="349">
      <c r="B349" s="12"/>
      <c r="C349" s="137"/>
    </row>
    <row r="350">
      <c r="B350" s="12"/>
      <c r="C350" s="137"/>
    </row>
    <row r="351">
      <c r="B351" s="12"/>
      <c r="C351" s="137"/>
    </row>
    <row r="352">
      <c r="B352" s="12"/>
      <c r="C352" s="137"/>
    </row>
    <row r="353">
      <c r="B353" s="12"/>
      <c r="C353" s="137"/>
    </row>
    <row r="354">
      <c r="B354" s="12"/>
      <c r="C354" s="137"/>
    </row>
    <row r="355">
      <c r="B355" s="12"/>
      <c r="C355" s="137"/>
    </row>
    <row r="356">
      <c r="B356" s="12"/>
      <c r="C356" s="137"/>
    </row>
    <row r="357">
      <c r="B357" s="12"/>
      <c r="C357" s="137"/>
    </row>
    <row r="358">
      <c r="B358" s="12"/>
      <c r="C358" s="137"/>
    </row>
    <row r="359">
      <c r="B359" s="12"/>
      <c r="C359" s="137"/>
    </row>
    <row r="360">
      <c r="B360" s="12"/>
      <c r="C360" s="137"/>
    </row>
    <row r="361">
      <c r="B361" s="12"/>
      <c r="C361" s="137"/>
    </row>
    <row r="362">
      <c r="B362" s="12"/>
      <c r="C362" s="137"/>
    </row>
    <row r="363">
      <c r="B363" s="12"/>
      <c r="C363" s="137"/>
    </row>
    <row r="364">
      <c r="B364" s="12"/>
      <c r="C364" s="137"/>
    </row>
    <row r="365">
      <c r="B365" s="12"/>
      <c r="C365" s="137"/>
    </row>
    <row r="366">
      <c r="B366" s="12"/>
      <c r="C366" s="137"/>
    </row>
    <row r="367">
      <c r="B367" s="12"/>
      <c r="C367" s="137"/>
    </row>
    <row r="368">
      <c r="B368" s="12"/>
      <c r="C368" s="137"/>
    </row>
    <row r="369">
      <c r="B369" s="12"/>
      <c r="C369" s="137"/>
    </row>
    <row r="370">
      <c r="B370" s="12"/>
      <c r="C370" s="137"/>
    </row>
    <row r="371">
      <c r="B371" s="12"/>
      <c r="C371" s="137"/>
    </row>
    <row r="372">
      <c r="B372" s="12"/>
      <c r="C372" s="137"/>
    </row>
    <row r="373">
      <c r="B373" s="12"/>
      <c r="C373" s="137"/>
    </row>
    <row r="374">
      <c r="B374" s="12"/>
      <c r="C374" s="137"/>
    </row>
    <row r="375">
      <c r="B375" s="12"/>
      <c r="C375" s="137"/>
    </row>
    <row r="376">
      <c r="B376" s="12"/>
      <c r="C376" s="137"/>
    </row>
    <row r="377">
      <c r="B377" s="12"/>
      <c r="C377" s="137"/>
    </row>
    <row r="378">
      <c r="B378" s="12"/>
      <c r="C378" s="137"/>
    </row>
    <row r="379">
      <c r="B379" s="12"/>
      <c r="C379" s="137"/>
    </row>
    <row r="380">
      <c r="B380" s="12"/>
      <c r="C380" s="137"/>
    </row>
    <row r="381">
      <c r="B381" s="12"/>
      <c r="C381" s="137"/>
    </row>
    <row r="382">
      <c r="B382" s="12"/>
      <c r="C382" s="137"/>
    </row>
    <row r="383">
      <c r="B383" s="12"/>
      <c r="C383" s="137"/>
    </row>
    <row r="384">
      <c r="B384" s="12"/>
      <c r="C384" s="137"/>
    </row>
    <row r="385">
      <c r="B385" s="12"/>
      <c r="C385" s="137"/>
    </row>
    <row r="386">
      <c r="B386" s="12"/>
      <c r="C386" s="137"/>
    </row>
    <row r="387">
      <c r="B387" s="12"/>
      <c r="C387" s="137"/>
    </row>
    <row r="388">
      <c r="B388" s="12"/>
      <c r="C388" s="137"/>
    </row>
    <row r="389">
      <c r="B389" s="12"/>
      <c r="C389" s="137"/>
    </row>
    <row r="390">
      <c r="B390" s="12"/>
      <c r="C390" s="137"/>
    </row>
    <row r="391">
      <c r="B391" s="12"/>
      <c r="C391" s="137"/>
    </row>
    <row r="392">
      <c r="B392" s="12"/>
      <c r="C392" s="137"/>
    </row>
    <row r="393">
      <c r="B393" s="12"/>
      <c r="C393" s="137"/>
    </row>
    <row r="394">
      <c r="B394" s="12"/>
      <c r="C394" s="137"/>
    </row>
    <row r="395">
      <c r="B395" s="12"/>
      <c r="C395" s="137"/>
    </row>
    <row r="396">
      <c r="B396" s="12"/>
      <c r="C396" s="137"/>
    </row>
    <row r="397">
      <c r="B397" s="12"/>
      <c r="C397" s="137"/>
    </row>
    <row r="398">
      <c r="B398" s="12"/>
      <c r="C398" s="137"/>
    </row>
    <row r="399">
      <c r="B399" s="12"/>
      <c r="C399" s="137"/>
    </row>
    <row r="400">
      <c r="B400" s="12"/>
      <c r="C400" s="137"/>
    </row>
    <row r="401">
      <c r="B401" s="12"/>
      <c r="C401" s="137"/>
    </row>
    <row r="402">
      <c r="B402" s="12"/>
      <c r="C402" s="137"/>
    </row>
    <row r="403">
      <c r="B403" s="12"/>
      <c r="C403" s="137"/>
    </row>
    <row r="404">
      <c r="B404" s="12"/>
      <c r="C404" s="137"/>
    </row>
    <row r="405">
      <c r="B405" s="12"/>
      <c r="C405" s="137"/>
    </row>
    <row r="406">
      <c r="B406" s="12"/>
      <c r="C406" s="137"/>
    </row>
    <row r="407">
      <c r="B407" s="12"/>
      <c r="C407" s="137"/>
    </row>
    <row r="408">
      <c r="B408" s="12"/>
      <c r="C408" s="137"/>
    </row>
    <row r="409">
      <c r="B409" s="12"/>
      <c r="C409" s="137"/>
    </row>
    <row r="410">
      <c r="B410" s="12"/>
      <c r="C410" s="137"/>
    </row>
    <row r="411">
      <c r="B411" s="12"/>
      <c r="C411" s="137"/>
    </row>
    <row r="412">
      <c r="B412" s="12"/>
      <c r="C412" s="137"/>
    </row>
    <row r="413">
      <c r="B413" s="12"/>
      <c r="C413" s="137"/>
    </row>
    <row r="414">
      <c r="B414" s="12"/>
      <c r="C414" s="137"/>
    </row>
    <row r="415">
      <c r="B415" s="12"/>
      <c r="C415" s="137"/>
    </row>
    <row r="416">
      <c r="B416" s="12"/>
      <c r="C416" s="137"/>
    </row>
    <row r="417">
      <c r="B417" s="12"/>
      <c r="C417" s="137"/>
    </row>
    <row r="418">
      <c r="B418" s="12"/>
      <c r="C418" s="137"/>
    </row>
    <row r="419">
      <c r="B419" s="12"/>
      <c r="C419" s="137"/>
    </row>
    <row r="420">
      <c r="B420" s="12"/>
      <c r="C420" s="137"/>
    </row>
    <row r="421">
      <c r="B421" s="12"/>
      <c r="C421" s="137"/>
    </row>
    <row r="422">
      <c r="B422" s="12"/>
      <c r="C422" s="137"/>
    </row>
    <row r="423">
      <c r="B423" s="12"/>
      <c r="C423" s="137"/>
    </row>
    <row r="424">
      <c r="B424" s="12"/>
      <c r="C424" s="137"/>
    </row>
    <row r="425">
      <c r="B425" s="12"/>
      <c r="C425" s="137"/>
    </row>
    <row r="426">
      <c r="B426" s="12"/>
      <c r="C426" s="137"/>
    </row>
    <row r="427">
      <c r="B427" s="12"/>
      <c r="C427" s="137"/>
    </row>
    <row r="428">
      <c r="B428" s="12"/>
      <c r="C428" s="137"/>
    </row>
    <row r="429">
      <c r="B429" s="12"/>
      <c r="C429" s="137"/>
    </row>
    <row r="430">
      <c r="B430" s="12"/>
      <c r="C430" s="137"/>
    </row>
    <row r="431">
      <c r="B431" s="12"/>
      <c r="C431" s="137"/>
    </row>
    <row r="432">
      <c r="B432" s="12"/>
      <c r="C432" s="137"/>
    </row>
    <row r="433">
      <c r="B433" s="12"/>
      <c r="C433" s="137"/>
    </row>
    <row r="434">
      <c r="B434" s="12"/>
      <c r="C434" s="137"/>
    </row>
    <row r="435">
      <c r="B435" s="12"/>
      <c r="C435" s="137"/>
    </row>
    <row r="436">
      <c r="B436" s="12"/>
      <c r="C436" s="137"/>
    </row>
    <row r="437">
      <c r="B437" s="12"/>
      <c r="C437" s="137"/>
    </row>
    <row r="438">
      <c r="B438" s="12"/>
      <c r="C438" s="137"/>
    </row>
    <row r="439">
      <c r="B439" s="12"/>
      <c r="C439" s="137"/>
    </row>
    <row r="440">
      <c r="B440" s="12"/>
      <c r="C440" s="137"/>
    </row>
    <row r="441">
      <c r="B441" s="12"/>
      <c r="C441" s="137"/>
    </row>
    <row r="442">
      <c r="B442" s="12"/>
      <c r="C442" s="137"/>
    </row>
    <row r="443">
      <c r="B443" s="12"/>
      <c r="C443" s="137"/>
    </row>
    <row r="444">
      <c r="B444" s="12"/>
      <c r="C444" s="137"/>
    </row>
    <row r="445">
      <c r="B445" s="12"/>
      <c r="C445" s="137"/>
    </row>
    <row r="446">
      <c r="B446" s="12"/>
      <c r="C446" s="137"/>
    </row>
    <row r="447">
      <c r="B447" s="12"/>
      <c r="C447" s="137"/>
    </row>
    <row r="448">
      <c r="B448" s="12"/>
      <c r="C448" s="137"/>
    </row>
    <row r="449">
      <c r="B449" s="12"/>
      <c r="C449" s="137"/>
    </row>
    <row r="450">
      <c r="B450" s="12"/>
      <c r="C450" s="137"/>
    </row>
    <row r="451">
      <c r="B451" s="12"/>
      <c r="C451" s="137"/>
    </row>
    <row r="452">
      <c r="B452" s="12"/>
      <c r="C452" s="137"/>
    </row>
    <row r="453">
      <c r="B453" s="12"/>
      <c r="C453" s="137"/>
    </row>
    <row r="454">
      <c r="B454" s="12"/>
      <c r="C454" s="137"/>
    </row>
    <row r="455">
      <c r="B455" s="12"/>
      <c r="C455" s="137"/>
    </row>
    <row r="456">
      <c r="B456" s="12"/>
      <c r="C456" s="137"/>
    </row>
    <row r="457">
      <c r="B457" s="12"/>
      <c r="C457" s="137"/>
    </row>
    <row r="458">
      <c r="B458" s="12"/>
      <c r="C458" s="137"/>
    </row>
    <row r="459">
      <c r="B459" s="12"/>
      <c r="C459" s="137"/>
    </row>
    <row r="460">
      <c r="B460" s="12"/>
      <c r="C460" s="137"/>
    </row>
    <row r="461">
      <c r="B461" s="12"/>
      <c r="C461" s="137"/>
    </row>
    <row r="462">
      <c r="B462" s="12"/>
      <c r="C462" s="137"/>
    </row>
    <row r="463">
      <c r="B463" s="12"/>
      <c r="C463" s="137"/>
    </row>
    <row r="464">
      <c r="B464" s="12"/>
      <c r="C464" s="137"/>
    </row>
    <row r="465">
      <c r="B465" s="12"/>
      <c r="C465" s="137"/>
    </row>
    <row r="466">
      <c r="B466" s="12"/>
      <c r="C466" s="137"/>
    </row>
    <row r="467">
      <c r="B467" s="12"/>
      <c r="C467" s="137"/>
    </row>
    <row r="468">
      <c r="B468" s="12"/>
      <c r="C468" s="137"/>
    </row>
    <row r="469">
      <c r="B469" s="12"/>
      <c r="C469" s="137"/>
    </row>
    <row r="470">
      <c r="B470" s="12"/>
      <c r="C470" s="137"/>
    </row>
    <row r="471">
      <c r="B471" s="12"/>
      <c r="C471" s="137"/>
    </row>
    <row r="472">
      <c r="B472" s="12"/>
      <c r="C472" s="137"/>
    </row>
    <row r="473">
      <c r="B473" s="12"/>
      <c r="C473" s="137"/>
    </row>
    <row r="474">
      <c r="B474" s="12"/>
      <c r="C474" s="137"/>
    </row>
    <row r="475">
      <c r="B475" s="12"/>
      <c r="C475" s="137"/>
    </row>
    <row r="476">
      <c r="B476" s="12"/>
      <c r="C476" s="137"/>
    </row>
    <row r="477">
      <c r="B477" s="12"/>
      <c r="C477" s="137"/>
    </row>
    <row r="478">
      <c r="B478" s="12"/>
      <c r="C478" s="137"/>
    </row>
    <row r="479">
      <c r="B479" s="12"/>
      <c r="C479" s="137"/>
    </row>
    <row r="480">
      <c r="B480" s="12"/>
      <c r="C480" s="137"/>
    </row>
    <row r="481">
      <c r="B481" s="12"/>
      <c r="C481" s="137"/>
    </row>
    <row r="482">
      <c r="B482" s="12"/>
      <c r="C482" s="137"/>
    </row>
    <row r="483">
      <c r="B483" s="12"/>
      <c r="C483" s="137"/>
    </row>
    <row r="484">
      <c r="B484" s="12"/>
      <c r="C484" s="137"/>
    </row>
    <row r="485">
      <c r="B485" s="12"/>
      <c r="C485" s="137"/>
    </row>
    <row r="486">
      <c r="B486" s="12"/>
      <c r="C486" s="137"/>
    </row>
    <row r="487">
      <c r="B487" s="12"/>
      <c r="C487" s="137"/>
    </row>
    <row r="488">
      <c r="B488" s="12"/>
      <c r="C488" s="137"/>
    </row>
    <row r="489">
      <c r="B489" s="12"/>
      <c r="C489" s="137"/>
    </row>
    <row r="490">
      <c r="B490" s="12"/>
      <c r="C490" s="137"/>
    </row>
    <row r="491">
      <c r="B491" s="12"/>
      <c r="C491" s="137"/>
    </row>
    <row r="492">
      <c r="B492" s="12"/>
      <c r="C492" s="137"/>
    </row>
    <row r="493">
      <c r="B493" s="12"/>
      <c r="C493" s="137"/>
    </row>
    <row r="494">
      <c r="B494" s="12"/>
      <c r="C494" s="137"/>
    </row>
    <row r="495">
      <c r="B495" s="12"/>
      <c r="C495" s="137"/>
    </row>
    <row r="496">
      <c r="B496" s="12"/>
      <c r="C496" s="137"/>
    </row>
    <row r="497">
      <c r="B497" s="12"/>
      <c r="C497" s="137"/>
    </row>
    <row r="498">
      <c r="B498" s="12"/>
      <c r="C498" s="137"/>
    </row>
    <row r="499">
      <c r="B499" s="12"/>
      <c r="C499" s="137"/>
    </row>
    <row r="500">
      <c r="B500" s="12"/>
      <c r="C500" s="137"/>
    </row>
    <row r="501">
      <c r="B501" s="12"/>
      <c r="C501" s="137"/>
    </row>
    <row r="502">
      <c r="B502" s="12"/>
      <c r="C502" s="137"/>
    </row>
    <row r="503">
      <c r="B503" s="12"/>
      <c r="C503" s="137"/>
    </row>
    <row r="504">
      <c r="B504" s="12"/>
      <c r="C504" s="137"/>
    </row>
    <row r="505">
      <c r="B505" s="12"/>
      <c r="C505" s="137"/>
    </row>
    <row r="506">
      <c r="B506" s="12"/>
      <c r="C506" s="137"/>
    </row>
    <row r="507">
      <c r="B507" s="12"/>
      <c r="C507" s="137"/>
    </row>
    <row r="508">
      <c r="B508" s="12"/>
      <c r="C508" s="137"/>
    </row>
    <row r="509">
      <c r="B509" s="12"/>
      <c r="C509" s="137"/>
    </row>
    <row r="510">
      <c r="B510" s="12"/>
      <c r="C510" s="137"/>
    </row>
    <row r="511">
      <c r="B511" s="12"/>
      <c r="C511" s="137"/>
    </row>
    <row r="512">
      <c r="B512" s="12"/>
      <c r="C512" s="137"/>
    </row>
    <row r="513">
      <c r="B513" s="12"/>
      <c r="C513" s="137"/>
    </row>
    <row r="514">
      <c r="B514" s="12"/>
      <c r="C514" s="137"/>
    </row>
    <row r="515">
      <c r="B515" s="12"/>
      <c r="C515" s="137"/>
    </row>
    <row r="516">
      <c r="B516" s="12"/>
      <c r="C516" s="137"/>
    </row>
    <row r="517">
      <c r="B517" s="12"/>
      <c r="C517" s="137"/>
    </row>
    <row r="518">
      <c r="B518" s="12"/>
      <c r="C518" s="137"/>
    </row>
    <row r="519">
      <c r="B519" s="12"/>
      <c r="C519" s="137"/>
    </row>
    <row r="520">
      <c r="B520" s="12"/>
      <c r="C520" s="137"/>
    </row>
    <row r="521">
      <c r="B521" s="12"/>
      <c r="C521" s="137"/>
    </row>
    <row r="522">
      <c r="B522" s="12"/>
      <c r="C522" s="137"/>
    </row>
    <row r="523">
      <c r="B523" s="12"/>
      <c r="C523" s="137"/>
    </row>
    <row r="524">
      <c r="B524" s="12"/>
      <c r="C524" s="137"/>
    </row>
    <row r="525">
      <c r="B525" s="12"/>
      <c r="C525" s="137"/>
    </row>
    <row r="526">
      <c r="B526" s="12"/>
      <c r="C526" s="137"/>
    </row>
    <row r="527">
      <c r="B527" s="12"/>
      <c r="C527" s="137"/>
    </row>
    <row r="528">
      <c r="B528" s="12"/>
      <c r="C528" s="137"/>
    </row>
    <row r="529">
      <c r="B529" s="12"/>
      <c r="C529" s="137"/>
    </row>
    <row r="530">
      <c r="B530" s="12"/>
      <c r="C530" s="137"/>
    </row>
    <row r="531">
      <c r="B531" s="12"/>
      <c r="C531" s="137"/>
    </row>
    <row r="532">
      <c r="B532" s="12"/>
      <c r="C532" s="137"/>
    </row>
    <row r="533">
      <c r="B533" s="12"/>
      <c r="C533" s="137"/>
    </row>
    <row r="534">
      <c r="B534" s="12"/>
      <c r="C534" s="137"/>
    </row>
    <row r="535">
      <c r="B535" s="12"/>
      <c r="C535" s="137"/>
    </row>
    <row r="536">
      <c r="B536" s="12"/>
      <c r="C536" s="137"/>
    </row>
    <row r="537">
      <c r="B537" s="12"/>
      <c r="C537" s="137"/>
    </row>
    <row r="538">
      <c r="B538" s="12"/>
      <c r="C538" s="137"/>
    </row>
    <row r="539">
      <c r="B539" s="12"/>
      <c r="C539" s="137"/>
    </row>
    <row r="540">
      <c r="B540" s="12"/>
      <c r="C540" s="137"/>
    </row>
    <row r="541">
      <c r="B541" s="12"/>
      <c r="C541" s="137"/>
    </row>
    <row r="542">
      <c r="B542" s="12"/>
      <c r="C542" s="137"/>
    </row>
    <row r="543">
      <c r="B543" s="12"/>
      <c r="C543" s="137"/>
    </row>
    <row r="544">
      <c r="B544" s="12"/>
      <c r="C544" s="137"/>
    </row>
    <row r="545">
      <c r="B545" s="12"/>
      <c r="C545" s="137"/>
    </row>
    <row r="546">
      <c r="B546" s="12"/>
      <c r="C546" s="137"/>
    </row>
    <row r="547">
      <c r="B547" s="12"/>
      <c r="C547" s="137"/>
    </row>
    <row r="548">
      <c r="B548" s="12"/>
      <c r="C548" s="137"/>
    </row>
    <row r="549">
      <c r="B549" s="12"/>
      <c r="C549" s="137"/>
    </row>
    <row r="550">
      <c r="B550" s="12"/>
      <c r="C550" s="137"/>
    </row>
    <row r="551">
      <c r="B551" s="12"/>
      <c r="C551" s="137"/>
    </row>
    <row r="552">
      <c r="B552" s="12"/>
      <c r="C552" s="137"/>
    </row>
    <row r="553">
      <c r="B553" s="12"/>
      <c r="C553" s="137"/>
    </row>
    <row r="554">
      <c r="B554" s="12"/>
      <c r="C554" s="137"/>
    </row>
    <row r="555">
      <c r="B555" s="12"/>
      <c r="C555" s="137"/>
    </row>
    <row r="556">
      <c r="B556" s="12"/>
      <c r="C556" s="137"/>
    </row>
    <row r="557">
      <c r="B557" s="12"/>
      <c r="C557" s="137"/>
    </row>
    <row r="558">
      <c r="B558" s="12"/>
      <c r="C558" s="137"/>
    </row>
    <row r="559">
      <c r="B559" s="12"/>
      <c r="C559" s="137"/>
    </row>
    <row r="560">
      <c r="B560" s="12"/>
      <c r="C560" s="137"/>
    </row>
    <row r="561">
      <c r="B561" s="12"/>
      <c r="C561" s="137"/>
    </row>
    <row r="562">
      <c r="B562" s="12"/>
      <c r="C562" s="137"/>
    </row>
    <row r="563">
      <c r="B563" s="12"/>
      <c r="C563" s="137"/>
    </row>
    <row r="564">
      <c r="B564" s="12"/>
      <c r="C564" s="137"/>
    </row>
    <row r="565">
      <c r="B565" s="12"/>
      <c r="C565" s="137"/>
    </row>
    <row r="566">
      <c r="B566" s="12"/>
      <c r="C566" s="137"/>
    </row>
    <row r="567">
      <c r="B567" s="12"/>
      <c r="C567" s="137"/>
    </row>
    <row r="568">
      <c r="B568" s="12"/>
      <c r="C568" s="137"/>
    </row>
    <row r="569">
      <c r="B569" s="12"/>
      <c r="C569" s="137"/>
    </row>
    <row r="570">
      <c r="B570" s="12"/>
      <c r="C570" s="137"/>
    </row>
    <row r="571">
      <c r="B571" s="12"/>
      <c r="C571" s="137"/>
    </row>
    <row r="572">
      <c r="B572" s="12"/>
      <c r="C572" s="137"/>
    </row>
    <row r="573">
      <c r="B573" s="12"/>
      <c r="C573" s="137"/>
    </row>
    <row r="574">
      <c r="B574" s="12"/>
      <c r="C574" s="137"/>
    </row>
    <row r="575">
      <c r="B575" s="12"/>
      <c r="C575" s="137"/>
    </row>
    <row r="576">
      <c r="B576" s="12"/>
      <c r="C576" s="137"/>
    </row>
    <row r="577">
      <c r="B577" s="12"/>
      <c r="C577" s="137"/>
    </row>
    <row r="578">
      <c r="B578" s="12"/>
      <c r="C578" s="137"/>
    </row>
    <row r="579">
      <c r="B579" s="12"/>
      <c r="C579" s="137"/>
    </row>
    <row r="580">
      <c r="B580" s="12"/>
      <c r="C580" s="137"/>
    </row>
    <row r="581">
      <c r="B581" s="12"/>
      <c r="C581" s="137"/>
    </row>
    <row r="582">
      <c r="B582" s="12"/>
      <c r="C582" s="137"/>
    </row>
    <row r="583">
      <c r="B583" s="12"/>
      <c r="C583" s="137"/>
    </row>
    <row r="584">
      <c r="B584" s="12"/>
      <c r="C584" s="137"/>
    </row>
    <row r="585">
      <c r="B585" s="12"/>
      <c r="C585" s="137"/>
    </row>
    <row r="586">
      <c r="B586" s="12"/>
      <c r="C586" s="137"/>
    </row>
    <row r="587">
      <c r="B587" s="12"/>
      <c r="C587" s="137"/>
    </row>
    <row r="588">
      <c r="B588" s="12"/>
      <c r="C588" s="137"/>
    </row>
    <row r="589">
      <c r="B589" s="12"/>
      <c r="C589" s="137"/>
    </row>
    <row r="590">
      <c r="B590" s="12"/>
      <c r="C590" s="137"/>
    </row>
    <row r="591">
      <c r="B591" s="12"/>
      <c r="C591" s="137"/>
    </row>
    <row r="592">
      <c r="B592" s="12"/>
      <c r="C592" s="137"/>
    </row>
    <row r="593">
      <c r="B593" s="12"/>
      <c r="C593" s="137"/>
    </row>
    <row r="594">
      <c r="B594" s="12"/>
      <c r="C594" s="137"/>
    </row>
    <row r="595">
      <c r="B595" s="12"/>
      <c r="C595" s="137"/>
    </row>
    <row r="596">
      <c r="B596" s="12"/>
      <c r="C596" s="137"/>
    </row>
    <row r="597">
      <c r="B597" s="12"/>
      <c r="C597" s="137"/>
    </row>
    <row r="598">
      <c r="B598" s="12"/>
      <c r="C598" s="137"/>
    </row>
    <row r="599">
      <c r="B599" s="12"/>
      <c r="C599" s="137"/>
    </row>
    <row r="600">
      <c r="B600" s="12"/>
      <c r="C600" s="137"/>
    </row>
    <row r="601">
      <c r="B601" s="12"/>
      <c r="C601" s="137"/>
    </row>
    <row r="602">
      <c r="B602" s="12"/>
      <c r="C602" s="137"/>
    </row>
    <row r="603">
      <c r="B603" s="12"/>
      <c r="C603" s="137"/>
    </row>
    <row r="604">
      <c r="B604" s="12"/>
      <c r="C604" s="137"/>
    </row>
    <row r="605">
      <c r="B605" s="12"/>
      <c r="C605" s="137"/>
    </row>
    <row r="606">
      <c r="B606" s="12"/>
      <c r="C606" s="137"/>
    </row>
    <row r="607">
      <c r="B607" s="12"/>
      <c r="C607" s="137"/>
    </row>
    <row r="608">
      <c r="B608" s="12"/>
      <c r="C608" s="137"/>
    </row>
    <row r="609">
      <c r="B609" s="12"/>
      <c r="C609" s="137"/>
    </row>
    <row r="610">
      <c r="B610" s="12"/>
      <c r="C610" s="137"/>
    </row>
    <row r="611">
      <c r="B611" s="12"/>
      <c r="C611" s="137"/>
    </row>
    <row r="612">
      <c r="B612" s="12"/>
      <c r="C612" s="137"/>
    </row>
    <row r="613">
      <c r="B613" s="12"/>
      <c r="C613" s="137"/>
    </row>
    <row r="614">
      <c r="B614" s="12"/>
      <c r="C614" s="137"/>
    </row>
    <row r="615">
      <c r="B615" s="12"/>
      <c r="C615" s="137"/>
    </row>
    <row r="616">
      <c r="B616" s="12"/>
      <c r="C616" s="137"/>
    </row>
    <row r="617">
      <c r="B617" s="12"/>
      <c r="C617" s="137"/>
    </row>
    <row r="618">
      <c r="B618" s="12"/>
      <c r="C618" s="137"/>
    </row>
    <row r="619">
      <c r="B619" s="12"/>
      <c r="C619" s="137"/>
    </row>
    <row r="620">
      <c r="B620" s="12"/>
      <c r="C620" s="137"/>
    </row>
    <row r="621">
      <c r="B621" s="12"/>
      <c r="C621" s="137"/>
    </row>
    <row r="622">
      <c r="B622" s="12"/>
      <c r="C622" s="137"/>
    </row>
    <row r="623">
      <c r="B623" s="12"/>
      <c r="C623" s="137"/>
    </row>
    <row r="624">
      <c r="B624" s="12"/>
      <c r="C624" s="137"/>
    </row>
    <row r="625">
      <c r="B625" s="12"/>
      <c r="C625" s="137"/>
    </row>
    <row r="626">
      <c r="B626" s="12"/>
      <c r="C626" s="137"/>
    </row>
    <row r="627">
      <c r="B627" s="12"/>
      <c r="C627" s="137"/>
    </row>
    <row r="628">
      <c r="B628" s="12"/>
      <c r="C628" s="137"/>
    </row>
    <row r="629">
      <c r="B629" s="12"/>
      <c r="C629" s="137"/>
    </row>
    <row r="630">
      <c r="B630" s="12"/>
      <c r="C630" s="137"/>
    </row>
    <row r="631">
      <c r="B631" s="12"/>
      <c r="C631" s="137"/>
    </row>
    <row r="632">
      <c r="B632" s="12"/>
      <c r="C632" s="137"/>
    </row>
    <row r="633">
      <c r="B633" s="12"/>
      <c r="C633" s="137"/>
    </row>
    <row r="634">
      <c r="B634" s="12"/>
      <c r="C634" s="137"/>
    </row>
    <row r="635">
      <c r="B635" s="12"/>
      <c r="C635" s="137"/>
    </row>
    <row r="636">
      <c r="B636" s="12"/>
      <c r="C636" s="137"/>
    </row>
    <row r="637">
      <c r="B637" s="12"/>
      <c r="C637" s="137"/>
    </row>
    <row r="638">
      <c r="B638" s="12"/>
      <c r="C638" s="137"/>
    </row>
    <row r="639">
      <c r="B639" s="12"/>
      <c r="C639" s="137"/>
    </row>
    <row r="640">
      <c r="B640" s="12"/>
      <c r="C640" s="137"/>
    </row>
    <row r="641">
      <c r="B641" s="12"/>
      <c r="C641" s="137"/>
    </row>
    <row r="642">
      <c r="B642" s="12"/>
      <c r="C642" s="137"/>
    </row>
    <row r="643">
      <c r="B643" s="12"/>
      <c r="C643" s="137"/>
    </row>
    <row r="644">
      <c r="B644" s="12"/>
      <c r="C644" s="137"/>
    </row>
    <row r="645">
      <c r="B645" s="12"/>
      <c r="C645" s="137"/>
    </row>
    <row r="646">
      <c r="B646" s="12"/>
      <c r="C646" s="137"/>
    </row>
    <row r="647">
      <c r="B647" s="12"/>
      <c r="C647" s="137"/>
    </row>
    <row r="648">
      <c r="B648" s="12"/>
      <c r="C648" s="137"/>
    </row>
    <row r="649">
      <c r="B649" s="12"/>
      <c r="C649" s="137"/>
    </row>
    <row r="650">
      <c r="B650" s="12"/>
      <c r="C650" s="137"/>
    </row>
    <row r="651">
      <c r="B651" s="12"/>
      <c r="C651" s="137"/>
    </row>
    <row r="652">
      <c r="B652" s="12"/>
      <c r="C652" s="137"/>
    </row>
    <row r="653">
      <c r="B653" s="12"/>
      <c r="C653" s="137"/>
    </row>
    <row r="654">
      <c r="B654" s="12"/>
      <c r="C654" s="137"/>
    </row>
    <row r="655">
      <c r="B655" s="12"/>
      <c r="C655" s="137"/>
    </row>
    <row r="656">
      <c r="B656" s="12"/>
      <c r="C656" s="137"/>
    </row>
    <row r="657">
      <c r="B657" s="12"/>
      <c r="C657" s="137"/>
    </row>
    <row r="658">
      <c r="B658" s="12"/>
      <c r="C658" s="137"/>
    </row>
    <row r="659">
      <c r="B659" s="12"/>
      <c r="C659" s="137"/>
    </row>
    <row r="660">
      <c r="B660" s="12"/>
      <c r="C660" s="137"/>
    </row>
    <row r="661">
      <c r="B661" s="12"/>
      <c r="C661" s="137"/>
    </row>
    <row r="662">
      <c r="B662" s="12"/>
      <c r="C662" s="137"/>
    </row>
    <row r="663">
      <c r="B663" s="12"/>
      <c r="C663" s="137"/>
    </row>
    <row r="664">
      <c r="B664" s="12"/>
      <c r="C664" s="137"/>
    </row>
    <row r="665">
      <c r="B665" s="12"/>
      <c r="C665" s="137"/>
    </row>
    <row r="666">
      <c r="B666" s="12"/>
      <c r="C666" s="137"/>
    </row>
    <row r="667">
      <c r="B667" s="12"/>
      <c r="C667" s="137"/>
    </row>
    <row r="668">
      <c r="B668" s="12"/>
      <c r="C668" s="137"/>
    </row>
    <row r="669">
      <c r="B669" s="12"/>
      <c r="C669" s="137"/>
    </row>
    <row r="670">
      <c r="B670" s="12"/>
      <c r="C670" s="137"/>
    </row>
    <row r="671">
      <c r="B671" s="12"/>
      <c r="C671" s="137"/>
    </row>
    <row r="672">
      <c r="B672" s="12"/>
      <c r="C672" s="137"/>
    </row>
    <row r="673">
      <c r="B673" s="12"/>
      <c r="C673" s="137"/>
    </row>
    <row r="674">
      <c r="B674" s="12"/>
      <c r="C674" s="137"/>
    </row>
    <row r="675">
      <c r="B675" s="12"/>
      <c r="C675" s="137"/>
    </row>
    <row r="676">
      <c r="B676" s="12"/>
      <c r="C676" s="137"/>
    </row>
    <row r="677">
      <c r="B677" s="12"/>
      <c r="C677" s="137"/>
    </row>
    <row r="678">
      <c r="B678" s="12"/>
      <c r="C678" s="137"/>
    </row>
    <row r="679">
      <c r="B679" s="12"/>
      <c r="C679" s="137"/>
    </row>
    <row r="680">
      <c r="B680" s="12"/>
      <c r="C680" s="137"/>
    </row>
    <row r="681">
      <c r="B681" s="12"/>
      <c r="C681" s="137"/>
    </row>
    <row r="682">
      <c r="B682" s="12"/>
      <c r="C682" s="137"/>
    </row>
    <row r="683">
      <c r="B683" s="12"/>
      <c r="C683" s="137"/>
    </row>
    <row r="684">
      <c r="B684" s="12"/>
      <c r="C684" s="137"/>
    </row>
    <row r="685">
      <c r="B685" s="12"/>
      <c r="C685" s="137"/>
    </row>
    <row r="686">
      <c r="B686" s="12"/>
      <c r="C686" s="137"/>
    </row>
    <row r="687">
      <c r="B687" s="12"/>
      <c r="C687" s="137"/>
    </row>
    <row r="688">
      <c r="B688" s="12"/>
      <c r="C688" s="137"/>
    </row>
    <row r="689">
      <c r="B689" s="12"/>
      <c r="C689" s="137"/>
    </row>
    <row r="690">
      <c r="B690" s="12"/>
      <c r="C690" s="137"/>
    </row>
    <row r="691">
      <c r="B691" s="12"/>
      <c r="C691" s="137"/>
    </row>
    <row r="692">
      <c r="B692" s="12"/>
      <c r="C692" s="137"/>
    </row>
    <row r="693">
      <c r="B693" s="12"/>
      <c r="C693" s="137"/>
    </row>
    <row r="694">
      <c r="B694" s="12"/>
      <c r="C694" s="137"/>
    </row>
    <row r="695">
      <c r="B695" s="12"/>
      <c r="C695" s="137"/>
    </row>
    <row r="696">
      <c r="B696" s="12"/>
      <c r="C696" s="137"/>
    </row>
    <row r="697">
      <c r="B697" s="12"/>
      <c r="C697" s="137"/>
    </row>
    <row r="698">
      <c r="B698" s="12"/>
      <c r="C698" s="137"/>
    </row>
    <row r="699">
      <c r="B699" s="12"/>
      <c r="C699" s="137"/>
    </row>
    <row r="700">
      <c r="B700" s="12"/>
      <c r="C700" s="137"/>
    </row>
    <row r="701">
      <c r="B701" s="12"/>
      <c r="C701" s="137"/>
    </row>
    <row r="702">
      <c r="B702" s="12"/>
      <c r="C702" s="137"/>
    </row>
    <row r="703">
      <c r="B703" s="12"/>
      <c r="C703" s="137"/>
    </row>
    <row r="704">
      <c r="B704" s="12"/>
      <c r="C704" s="137"/>
    </row>
    <row r="705">
      <c r="B705" s="12"/>
      <c r="C705" s="137"/>
    </row>
    <row r="706">
      <c r="B706" s="12"/>
      <c r="C706" s="137"/>
    </row>
    <row r="707">
      <c r="B707" s="12"/>
      <c r="C707" s="137"/>
    </row>
    <row r="708">
      <c r="B708" s="12"/>
      <c r="C708" s="137"/>
    </row>
    <row r="709">
      <c r="B709" s="12"/>
      <c r="C709" s="137"/>
    </row>
    <row r="710">
      <c r="B710" s="12"/>
      <c r="C710" s="137"/>
    </row>
    <row r="711">
      <c r="B711" s="12"/>
      <c r="C711" s="137"/>
    </row>
    <row r="712">
      <c r="B712" s="12"/>
      <c r="C712" s="137"/>
    </row>
    <row r="713">
      <c r="B713" s="12"/>
      <c r="C713" s="137"/>
    </row>
    <row r="714">
      <c r="B714" s="12"/>
      <c r="C714" s="137"/>
    </row>
    <row r="715">
      <c r="B715" s="12"/>
      <c r="C715" s="137"/>
    </row>
    <row r="716">
      <c r="B716" s="12"/>
      <c r="C716" s="137"/>
    </row>
    <row r="717">
      <c r="B717" s="12"/>
      <c r="C717" s="137"/>
    </row>
    <row r="718">
      <c r="B718" s="12"/>
      <c r="C718" s="137"/>
    </row>
    <row r="719">
      <c r="B719" s="12"/>
      <c r="C719" s="137"/>
    </row>
    <row r="720">
      <c r="B720" s="12"/>
      <c r="C720" s="137"/>
    </row>
    <row r="721">
      <c r="B721" s="12"/>
      <c r="C721" s="137"/>
    </row>
    <row r="722">
      <c r="B722" s="12"/>
      <c r="C722" s="137"/>
    </row>
    <row r="723">
      <c r="B723" s="12"/>
      <c r="C723" s="137"/>
    </row>
    <row r="724">
      <c r="B724" s="12"/>
      <c r="C724" s="137"/>
    </row>
    <row r="725">
      <c r="B725" s="12"/>
      <c r="C725" s="137"/>
    </row>
    <row r="726">
      <c r="B726" s="12"/>
      <c r="C726" s="137"/>
    </row>
    <row r="727">
      <c r="B727" s="12"/>
      <c r="C727" s="137"/>
    </row>
    <row r="728">
      <c r="B728" s="12"/>
      <c r="C728" s="137"/>
    </row>
    <row r="729">
      <c r="B729" s="12"/>
      <c r="C729" s="137"/>
    </row>
    <row r="730">
      <c r="B730" s="12"/>
      <c r="C730" s="137"/>
    </row>
    <row r="731">
      <c r="B731" s="12"/>
      <c r="C731" s="137"/>
    </row>
    <row r="732">
      <c r="B732" s="12"/>
      <c r="C732" s="137"/>
    </row>
    <row r="733">
      <c r="B733" s="12"/>
      <c r="C733" s="137"/>
    </row>
    <row r="734">
      <c r="B734" s="12"/>
      <c r="C734" s="137"/>
    </row>
    <row r="735">
      <c r="B735" s="12"/>
      <c r="C735" s="137"/>
    </row>
    <row r="736">
      <c r="B736" s="12"/>
      <c r="C736" s="137"/>
    </row>
    <row r="737">
      <c r="B737" s="12"/>
      <c r="C737" s="137"/>
    </row>
    <row r="738">
      <c r="B738" s="12"/>
      <c r="C738" s="137"/>
    </row>
    <row r="739">
      <c r="B739" s="12"/>
      <c r="C739" s="137"/>
    </row>
    <row r="740">
      <c r="B740" s="12"/>
      <c r="C740" s="137"/>
    </row>
    <row r="741">
      <c r="B741" s="12"/>
      <c r="C741" s="137"/>
    </row>
    <row r="742">
      <c r="B742" s="12"/>
      <c r="C742" s="137"/>
    </row>
    <row r="743">
      <c r="B743" s="12"/>
      <c r="C743" s="137"/>
    </row>
    <row r="744">
      <c r="B744" s="12"/>
      <c r="C744" s="137"/>
    </row>
    <row r="745">
      <c r="B745" s="12"/>
      <c r="C745" s="137"/>
    </row>
    <row r="746">
      <c r="B746" s="12"/>
      <c r="C746" s="137"/>
    </row>
    <row r="747">
      <c r="B747" s="12"/>
      <c r="C747" s="137"/>
    </row>
    <row r="748">
      <c r="B748" s="12"/>
      <c r="C748" s="137"/>
    </row>
    <row r="749">
      <c r="B749" s="12"/>
      <c r="C749" s="137"/>
    </row>
    <row r="750">
      <c r="B750" s="12"/>
      <c r="C750" s="137"/>
    </row>
    <row r="751">
      <c r="B751" s="12"/>
      <c r="C751" s="137"/>
    </row>
    <row r="752">
      <c r="B752" s="12"/>
      <c r="C752" s="137"/>
    </row>
    <row r="753">
      <c r="B753" s="12"/>
      <c r="C753" s="137"/>
    </row>
    <row r="754">
      <c r="B754" s="12"/>
      <c r="C754" s="137"/>
    </row>
    <row r="755">
      <c r="B755" s="12"/>
      <c r="C755" s="137"/>
    </row>
    <row r="756">
      <c r="B756" s="12"/>
      <c r="C756" s="137"/>
    </row>
    <row r="757">
      <c r="B757" s="12"/>
      <c r="C757" s="137"/>
    </row>
    <row r="758">
      <c r="B758" s="12"/>
      <c r="C758" s="137"/>
    </row>
    <row r="759">
      <c r="B759" s="12"/>
      <c r="C759" s="137"/>
    </row>
    <row r="760">
      <c r="B760" s="12"/>
      <c r="C760" s="137"/>
    </row>
    <row r="761">
      <c r="B761" s="12"/>
      <c r="C761" s="137"/>
    </row>
    <row r="762">
      <c r="B762" s="12"/>
      <c r="C762" s="137"/>
    </row>
    <row r="763">
      <c r="B763" s="12"/>
      <c r="C763" s="137"/>
    </row>
    <row r="764">
      <c r="B764" s="12"/>
      <c r="C764" s="137"/>
    </row>
    <row r="765">
      <c r="B765" s="12"/>
      <c r="C765" s="137"/>
    </row>
    <row r="766">
      <c r="B766" s="12"/>
      <c r="C766" s="137"/>
    </row>
    <row r="767">
      <c r="B767" s="12"/>
      <c r="C767" s="137"/>
    </row>
    <row r="768">
      <c r="B768" s="12"/>
      <c r="C768" s="137"/>
    </row>
    <row r="769">
      <c r="B769" s="12"/>
      <c r="C769" s="137"/>
    </row>
    <row r="770">
      <c r="B770" s="12"/>
      <c r="C770" s="137"/>
    </row>
    <row r="771">
      <c r="B771" s="12"/>
      <c r="C771" s="137"/>
    </row>
    <row r="772">
      <c r="B772" s="12"/>
      <c r="C772" s="137"/>
    </row>
    <row r="773">
      <c r="B773" s="12"/>
      <c r="C773" s="137"/>
    </row>
    <row r="774">
      <c r="B774" s="12"/>
      <c r="C774" s="137"/>
    </row>
    <row r="775">
      <c r="B775" s="12"/>
      <c r="C775" s="137"/>
    </row>
    <row r="776">
      <c r="B776" s="12"/>
      <c r="C776" s="137"/>
    </row>
    <row r="777">
      <c r="B777" s="12"/>
      <c r="C777" s="137"/>
    </row>
    <row r="778">
      <c r="B778" s="12"/>
      <c r="C778" s="137"/>
    </row>
    <row r="779">
      <c r="B779" s="12"/>
      <c r="C779" s="137"/>
    </row>
    <row r="780">
      <c r="B780" s="12"/>
      <c r="C780" s="137"/>
    </row>
    <row r="781">
      <c r="B781" s="12"/>
      <c r="C781" s="137"/>
    </row>
    <row r="782">
      <c r="B782" s="12"/>
      <c r="C782" s="137"/>
    </row>
    <row r="783">
      <c r="B783" s="12"/>
      <c r="C783" s="137"/>
    </row>
    <row r="784">
      <c r="B784" s="12"/>
      <c r="C784" s="137"/>
    </row>
    <row r="785">
      <c r="B785" s="12"/>
      <c r="C785" s="137"/>
    </row>
    <row r="786">
      <c r="B786" s="12"/>
      <c r="C786" s="137"/>
    </row>
    <row r="787">
      <c r="B787" s="12"/>
      <c r="C787" s="137"/>
    </row>
    <row r="788">
      <c r="B788" s="12"/>
      <c r="C788" s="137"/>
    </row>
    <row r="789">
      <c r="B789" s="12"/>
      <c r="C789" s="137"/>
    </row>
    <row r="790">
      <c r="B790" s="12"/>
      <c r="C790" s="137"/>
    </row>
    <row r="791">
      <c r="B791" s="12"/>
      <c r="C791" s="137"/>
    </row>
    <row r="792">
      <c r="B792" s="12"/>
      <c r="C792" s="137"/>
    </row>
    <row r="793">
      <c r="B793" s="12"/>
      <c r="C793" s="137"/>
    </row>
    <row r="794">
      <c r="B794" s="12"/>
      <c r="C794" s="137"/>
    </row>
    <row r="795">
      <c r="B795" s="12"/>
      <c r="C795" s="137"/>
    </row>
    <row r="796">
      <c r="B796" s="12"/>
      <c r="C796" s="137"/>
    </row>
    <row r="797">
      <c r="B797" s="12"/>
      <c r="C797" s="137"/>
    </row>
    <row r="798">
      <c r="B798" s="12"/>
      <c r="C798" s="137"/>
    </row>
    <row r="799">
      <c r="B799" s="12"/>
      <c r="C799" s="137"/>
    </row>
    <row r="800">
      <c r="B800" s="12"/>
      <c r="C800" s="137"/>
    </row>
    <row r="801">
      <c r="B801" s="12"/>
      <c r="C801" s="137"/>
    </row>
    <row r="802">
      <c r="B802" s="12"/>
      <c r="C802" s="137"/>
    </row>
    <row r="803">
      <c r="B803" s="12"/>
      <c r="C803" s="137"/>
    </row>
    <row r="804">
      <c r="B804" s="12"/>
      <c r="C804" s="137"/>
    </row>
    <row r="805">
      <c r="B805" s="12"/>
      <c r="C805" s="137"/>
    </row>
    <row r="806">
      <c r="B806" s="12"/>
      <c r="C806" s="137"/>
    </row>
    <row r="807">
      <c r="B807" s="12"/>
      <c r="C807" s="137"/>
    </row>
    <row r="808">
      <c r="B808" s="12"/>
      <c r="C808" s="137"/>
    </row>
    <row r="809">
      <c r="B809" s="12"/>
      <c r="C809" s="137"/>
    </row>
    <row r="810">
      <c r="B810" s="12"/>
      <c r="C810" s="137"/>
    </row>
    <row r="811">
      <c r="B811" s="12"/>
      <c r="C811" s="137"/>
    </row>
    <row r="812">
      <c r="B812" s="12"/>
      <c r="C812" s="137"/>
    </row>
    <row r="813">
      <c r="B813" s="12"/>
      <c r="C813" s="137"/>
    </row>
    <row r="814">
      <c r="B814" s="12"/>
      <c r="C814" s="137"/>
    </row>
    <row r="815">
      <c r="B815" s="12"/>
      <c r="C815" s="137"/>
    </row>
    <row r="816">
      <c r="B816" s="12"/>
      <c r="C816" s="137"/>
    </row>
    <row r="817">
      <c r="B817" s="12"/>
      <c r="C817" s="137"/>
    </row>
    <row r="818">
      <c r="B818" s="12"/>
      <c r="C818" s="137"/>
    </row>
    <row r="819">
      <c r="B819" s="12"/>
      <c r="C819" s="137"/>
    </row>
    <row r="820">
      <c r="B820" s="12"/>
      <c r="C820" s="137"/>
    </row>
    <row r="821">
      <c r="B821" s="12"/>
      <c r="C821" s="137"/>
    </row>
    <row r="822">
      <c r="B822" s="12"/>
      <c r="C822" s="137"/>
    </row>
    <row r="823">
      <c r="B823" s="12"/>
      <c r="C823" s="137"/>
    </row>
    <row r="824">
      <c r="B824" s="12"/>
      <c r="C824" s="137"/>
    </row>
    <row r="825">
      <c r="B825" s="12"/>
      <c r="C825" s="137"/>
    </row>
    <row r="826">
      <c r="B826" s="12"/>
      <c r="C826" s="137"/>
    </row>
    <row r="827">
      <c r="B827" s="12"/>
      <c r="C827" s="137"/>
    </row>
    <row r="828">
      <c r="B828" s="12"/>
      <c r="C828" s="137"/>
    </row>
    <row r="829">
      <c r="B829" s="12"/>
      <c r="C829" s="137"/>
    </row>
    <row r="830">
      <c r="B830" s="12"/>
      <c r="C830" s="137"/>
    </row>
    <row r="831">
      <c r="B831" s="12"/>
      <c r="C831" s="137"/>
    </row>
    <row r="832">
      <c r="B832" s="12"/>
      <c r="C832" s="137"/>
    </row>
    <row r="833">
      <c r="B833" s="12"/>
      <c r="C833" s="137"/>
    </row>
    <row r="834">
      <c r="B834" s="12"/>
      <c r="C834" s="137"/>
    </row>
    <row r="835">
      <c r="B835" s="12"/>
      <c r="C835" s="137"/>
    </row>
    <row r="836">
      <c r="B836" s="12"/>
      <c r="C836" s="137"/>
    </row>
    <row r="837">
      <c r="B837" s="12"/>
      <c r="C837" s="137"/>
    </row>
    <row r="838">
      <c r="B838" s="12"/>
      <c r="C838" s="137"/>
    </row>
    <row r="839">
      <c r="B839" s="12"/>
      <c r="C839" s="137"/>
    </row>
    <row r="840">
      <c r="B840" s="12"/>
      <c r="C840" s="137"/>
    </row>
    <row r="841">
      <c r="B841" s="12"/>
      <c r="C841" s="137"/>
    </row>
    <row r="842">
      <c r="B842" s="12"/>
      <c r="C842" s="137"/>
    </row>
    <row r="843">
      <c r="B843" s="12"/>
      <c r="C843" s="137"/>
    </row>
    <row r="844">
      <c r="B844" s="12"/>
      <c r="C844" s="137"/>
    </row>
    <row r="845">
      <c r="B845" s="12"/>
      <c r="C845" s="137"/>
    </row>
    <row r="846">
      <c r="B846" s="12"/>
      <c r="C846" s="137"/>
    </row>
    <row r="847">
      <c r="B847" s="12"/>
      <c r="C847" s="137"/>
    </row>
    <row r="848">
      <c r="B848" s="12"/>
      <c r="C848" s="137"/>
    </row>
    <row r="849">
      <c r="B849" s="12"/>
      <c r="C849" s="137"/>
    </row>
    <row r="850">
      <c r="B850" s="12"/>
      <c r="C850" s="137"/>
    </row>
    <row r="851">
      <c r="B851" s="12"/>
      <c r="C851" s="137"/>
    </row>
    <row r="852">
      <c r="B852" s="12"/>
      <c r="C852" s="137"/>
    </row>
    <row r="853">
      <c r="B853" s="12"/>
      <c r="C853" s="137"/>
    </row>
    <row r="854">
      <c r="B854" s="12"/>
      <c r="C854" s="137"/>
    </row>
    <row r="855">
      <c r="B855" s="12"/>
      <c r="C855" s="137"/>
    </row>
    <row r="856">
      <c r="B856" s="12"/>
      <c r="C856" s="137"/>
    </row>
    <row r="857">
      <c r="B857" s="12"/>
      <c r="C857" s="137"/>
    </row>
    <row r="858">
      <c r="B858" s="12"/>
      <c r="C858" s="137"/>
    </row>
    <row r="859">
      <c r="B859" s="12"/>
      <c r="C859" s="137"/>
    </row>
    <row r="860">
      <c r="B860" s="12"/>
      <c r="C860" s="137"/>
    </row>
    <row r="861">
      <c r="B861" s="12"/>
      <c r="C861" s="137"/>
    </row>
    <row r="862">
      <c r="B862" s="12"/>
      <c r="C862" s="137"/>
    </row>
    <row r="863">
      <c r="B863" s="12"/>
      <c r="C863" s="137"/>
    </row>
    <row r="864">
      <c r="B864" s="12"/>
      <c r="C864" s="137"/>
    </row>
    <row r="865">
      <c r="B865" s="12"/>
      <c r="C865" s="137"/>
    </row>
    <row r="866">
      <c r="B866" s="12"/>
      <c r="C866" s="137"/>
    </row>
    <row r="867">
      <c r="B867" s="12"/>
      <c r="C867" s="137"/>
    </row>
    <row r="868">
      <c r="B868" s="12"/>
      <c r="C868" s="137"/>
    </row>
    <row r="869">
      <c r="B869" s="12"/>
      <c r="C869" s="137"/>
    </row>
    <row r="870">
      <c r="B870" s="12"/>
      <c r="C870" s="137"/>
    </row>
    <row r="871">
      <c r="B871" s="12"/>
      <c r="C871" s="137"/>
    </row>
    <row r="872">
      <c r="B872" s="12"/>
      <c r="C872" s="137"/>
    </row>
    <row r="873">
      <c r="B873" s="12"/>
      <c r="C873" s="137"/>
    </row>
    <row r="874">
      <c r="B874" s="12"/>
      <c r="C874" s="137"/>
    </row>
    <row r="875">
      <c r="B875" s="12"/>
      <c r="C875" s="137"/>
    </row>
    <row r="876">
      <c r="B876" s="12"/>
      <c r="C876" s="137"/>
    </row>
    <row r="877">
      <c r="B877" s="12"/>
      <c r="C877" s="137"/>
    </row>
    <row r="878">
      <c r="B878" s="12"/>
      <c r="C878" s="137"/>
    </row>
    <row r="879">
      <c r="B879" s="12"/>
      <c r="C879" s="137"/>
    </row>
    <row r="880">
      <c r="B880" s="12"/>
      <c r="C880" s="137"/>
    </row>
    <row r="881">
      <c r="B881" s="12"/>
      <c r="C881" s="137"/>
    </row>
    <row r="882">
      <c r="B882" s="12"/>
      <c r="C882" s="137"/>
    </row>
    <row r="883">
      <c r="B883" s="12"/>
      <c r="C883" s="137"/>
    </row>
    <row r="884">
      <c r="B884" s="12"/>
      <c r="C884" s="137"/>
    </row>
    <row r="885">
      <c r="B885" s="12"/>
      <c r="C885" s="137"/>
    </row>
    <row r="886">
      <c r="B886" s="12"/>
      <c r="C886" s="137"/>
    </row>
    <row r="887">
      <c r="B887" s="12"/>
      <c r="C887" s="137"/>
    </row>
    <row r="888">
      <c r="B888" s="12"/>
      <c r="C888" s="137"/>
    </row>
    <row r="889">
      <c r="B889" s="12"/>
      <c r="C889" s="137"/>
    </row>
    <row r="890">
      <c r="B890" s="12"/>
      <c r="C890" s="137"/>
    </row>
    <row r="891">
      <c r="B891" s="12"/>
      <c r="C891" s="137"/>
    </row>
    <row r="892">
      <c r="B892" s="12"/>
      <c r="C892" s="137"/>
    </row>
    <row r="893">
      <c r="B893" s="12"/>
      <c r="C893" s="137"/>
    </row>
    <row r="894">
      <c r="B894" s="12"/>
      <c r="C894" s="137"/>
    </row>
    <row r="895">
      <c r="B895" s="12"/>
      <c r="C895" s="137"/>
    </row>
    <row r="896">
      <c r="B896" s="12"/>
      <c r="C896" s="137"/>
    </row>
    <row r="897">
      <c r="B897" s="12"/>
      <c r="C897" s="137"/>
    </row>
    <row r="898">
      <c r="B898" s="12"/>
      <c r="C898" s="137"/>
    </row>
    <row r="899">
      <c r="B899" s="12"/>
      <c r="C899" s="137"/>
    </row>
    <row r="900">
      <c r="B900" s="12"/>
      <c r="C900" s="137"/>
    </row>
    <row r="901">
      <c r="B901" s="12"/>
      <c r="C901" s="137"/>
    </row>
    <row r="902">
      <c r="B902" s="12"/>
      <c r="C902" s="137"/>
    </row>
    <row r="903">
      <c r="B903" s="12"/>
      <c r="C903" s="137"/>
    </row>
    <row r="904">
      <c r="B904" s="12"/>
      <c r="C904" s="137"/>
    </row>
    <row r="905">
      <c r="B905" s="12"/>
      <c r="C905" s="137"/>
    </row>
    <row r="906">
      <c r="B906" s="12"/>
      <c r="C906" s="137"/>
    </row>
    <row r="907">
      <c r="B907" s="12"/>
      <c r="C907" s="137"/>
    </row>
    <row r="908">
      <c r="B908" s="12"/>
      <c r="C908" s="137"/>
    </row>
    <row r="909">
      <c r="B909" s="12"/>
      <c r="C909" s="137"/>
    </row>
    <row r="910">
      <c r="B910" s="12"/>
      <c r="C910" s="137"/>
    </row>
    <row r="911">
      <c r="B911" s="12"/>
      <c r="C911" s="137"/>
    </row>
    <row r="912">
      <c r="B912" s="12"/>
      <c r="C912" s="137"/>
    </row>
    <row r="913">
      <c r="B913" s="12"/>
      <c r="C913" s="137"/>
    </row>
    <row r="914">
      <c r="B914" s="12"/>
      <c r="C914" s="137"/>
    </row>
    <row r="915">
      <c r="B915" s="12"/>
      <c r="C915" s="137"/>
    </row>
    <row r="916">
      <c r="B916" s="12"/>
      <c r="C916" s="137"/>
    </row>
    <row r="917">
      <c r="B917" s="12"/>
      <c r="C917" s="137"/>
    </row>
    <row r="918">
      <c r="B918" s="12"/>
      <c r="C918" s="137"/>
    </row>
    <row r="919">
      <c r="B919" s="12"/>
      <c r="C919" s="137"/>
    </row>
    <row r="920">
      <c r="B920" s="12"/>
      <c r="C920" s="137"/>
    </row>
    <row r="921">
      <c r="B921" s="12"/>
      <c r="C921" s="137"/>
    </row>
    <row r="922">
      <c r="B922" s="12"/>
      <c r="C922" s="137"/>
    </row>
    <row r="923">
      <c r="B923" s="12"/>
      <c r="C923" s="137"/>
    </row>
    <row r="924">
      <c r="B924" s="12"/>
      <c r="C924" s="137"/>
    </row>
    <row r="925">
      <c r="B925" s="12"/>
      <c r="C925" s="137"/>
    </row>
    <row r="926">
      <c r="B926" s="12"/>
      <c r="C926" s="137"/>
    </row>
    <row r="927">
      <c r="B927" s="12"/>
      <c r="C927" s="137"/>
    </row>
    <row r="928">
      <c r="B928" s="12"/>
      <c r="C928" s="137"/>
    </row>
    <row r="929">
      <c r="B929" s="12"/>
      <c r="C929" s="137"/>
    </row>
    <row r="930">
      <c r="B930" s="12"/>
      <c r="C930" s="137"/>
    </row>
    <row r="931">
      <c r="B931" s="12"/>
      <c r="C931" s="137"/>
    </row>
    <row r="932">
      <c r="B932" s="12"/>
      <c r="C932" s="137"/>
    </row>
    <row r="933">
      <c r="B933" s="12"/>
      <c r="C933" s="137"/>
    </row>
    <row r="934">
      <c r="B934" s="12"/>
      <c r="C934" s="137"/>
    </row>
    <row r="935">
      <c r="B935" s="12"/>
      <c r="C935" s="137"/>
    </row>
    <row r="936">
      <c r="B936" s="12"/>
      <c r="C936" s="137"/>
    </row>
    <row r="937">
      <c r="B937" s="12"/>
      <c r="C937" s="137"/>
    </row>
    <row r="938">
      <c r="B938" s="12"/>
      <c r="C938" s="137"/>
    </row>
    <row r="939">
      <c r="B939" s="12"/>
      <c r="C939" s="137"/>
    </row>
    <row r="940">
      <c r="B940" s="12"/>
      <c r="C940" s="137"/>
    </row>
    <row r="941">
      <c r="B941" s="12"/>
      <c r="C941" s="137"/>
    </row>
    <row r="942">
      <c r="B942" s="12"/>
      <c r="C942" s="137"/>
    </row>
    <row r="943">
      <c r="B943" s="12"/>
      <c r="C943" s="137"/>
    </row>
    <row r="944">
      <c r="B944" s="12"/>
      <c r="C944" s="137"/>
    </row>
    <row r="945">
      <c r="B945" s="12"/>
      <c r="C945" s="137"/>
    </row>
    <row r="946">
      <c r="B946" s="12"/>
      <c r="C946" s="137"/>
    </row>
    <row r="947">
      <c r="B947" s="12"/>
      <c r="C947" s="137"/>
    </row>
    <row r="948">
      <c r="B948" s="12"/>
      <c r="C948" s="137"/>
    </row>
    <row r="949">
      <c r="B949" s="12"/>
      <c r="C949" s="137"/>
    </row>
    <row r="950">
      <c r="B950" s="12"/>
      <c r="C950" s="137"/>
    </row>
    <row r="951">
      <c r="B951" s="12"/>
      <c r="C951" s="137"/>
    </row>
    <row r="952">
      <c r="B952" s="12"/>
      <c r="C952" s="137"/>
    </row>
    <row r="953">
      <c r="B953" s="12"/>
      <c r="C953" s="137"/>
    </row>
    <row r="954">
      <c r="B954" s="12"/>
      <c r="C954" s="137"/>
    </row>
    <row r="955">
      <c r="B955" s="12"/>
      <c r="C955" s="137"/>
    </row>
    <row r="956">
      <c r="B956" s="12"/>
      <c r="C956" s="137"/>
    </row>
    <row r="957">
      <c r="B957" s="12"/>
      <c r="C957" s="137"/>
    </row>
    <row r="958">
      <c r="B958" s="12"/>
      <c r="C958" s="137"/>
    </row>
    <row r="959">
      <c r="B959" s="12"/>
      <c r="C959" s="137"/>
    </row>
    <row r="960">
      <c r="B960" s="12"/>
      <c r="C960" s="137"/>
    </row>
    <row r="961">
      <c r="B961" s="12"/>
      <c r="C961" s="137"/>
    </row>
    <row r="962">
      <c r="B962" s="12"/>
      <c r="C962" s="137"/>
    </row>
    <row r="963">
      <c r="B963" s="12"/>
      <c r="C963" s="137"/>
    </row>
    <row r="964">
      <c r="B964" s="12"/>
      <c r="C964" s="137"/>
    </row>
    <row r="965">
      <c r="B965" s="12"/>
      <c r="C965" s="137"/>
    </row>
    <row r="966">
      <c r="B966" s="12"/>
      <c r="C966" s="137"/>
    </row>
    <row r="967">
      <c r="B967" s="12"/>
      <c r="C967" s="137"/>
    </row>
    <row r="968">
      <c r="B968" s="12"/>
      <c r="C968" s="137"/>
    </row>
    <row r="969">
      <c r="B969" s="12"/>
      <c r="C969" s="137"/>
    </row>
    <row r="970">
      <c r="B970" s="12"/>
      <c r="C970" s="137"/>
    </row>
    <row r="971">
      <c r="B971" s="12"/>
      <c r="C971" s="137"/>
    </row>
    <row r="972">
      <c r="B972" s="12"/>
      <c r="C972" s="137"/>
    </row>
    <row r="973">
      <c r="B973" s="12"/>
      <c r="C973" s="137"/>
    </row>
    <row r="974">
      <c r="B974" s="12"/>
      <c r="C974" s="137"/>
    </row>
    <row r="975">
      <c r="B975" s="12"/>
      <c r="C975" s="137"/>
    </row>
    <row r="976">
      <c r="B976" s="12"/>
      <c r="C976" s="137"/>
    </row>
    <row r="977">
      <c r="B977" s="12"/>
      <c r="C977" s="137"/>
    </row>
    <row r="978">
      <c r="B978" s="12"/>
      <c r="C978" s="137"/>
    </row>
    <row r="979">
      <c r="B979" s="12"/>
      <c r="C979" s="137"/>
    </row>
    <row r="980">
      <c r="B980" s="12"/>
      <c r="C980" s="137"/>
    </row>
    <row r="981">
      <c r="B981" s="12"/>
      <c r="C981" s="137"/>
    </row>
    <row r="982">
      <c r="B982" s="12"/>
      <c r="C982" s="137"/>
    </row>
    <row r="983">
      <c r="B983" s="12"/>
      <c r="C983" s="137"/>
    </row>
    <row r="984">
      <c r="B984" s="12"/>
      <c r="C984" s="137"/>
    </row>
    <row r="985">
      <c r="B985" s="12"/>
      <c r="C985" s="137"/>
    </row>
    <row r="986">
      <c r="B986" s="12"/>
      <c r="C986" s="137"/>
    </row>
    <row r="987">
      <c r="B987" s="12"/>
      <c r="C987" s="137"/>
    </row>
    <row r="988">
      <c r="B988" s="12"/>
      <c r="C988" s="137"/>
    </row>
    <row r="989">
      <c r="B989" s="12"/>
      <c r="C989" s="137"/>
    </row>
    <row r="990">
      <c r="B990" s="12"/>
      <c r="C990" s="137"/>
    </row>
    <row r="991">
      <c r="B991" s="12"/>
      <c r="C991" s="137"/>
    </row>
    <row r="992">
      <c r="B992" s="12"/>
      <c r="C992" s="137"/>
    </row>
    <row r="993">
      <c r="B993" s="12"/>
      <c r="C993" s="137"/>
    </row>
    <row r="994">
      <c r="B994" s="12"/>
      <c r="C994" s="137"/>
    </row>
    <row r="995">
      <c r="B995" s="12"/>
      <c r="C995" s="137"/>
    </row>
    <row r="996">
      <c r="B996" s="12"/>
      <c r="C996" s="137"/>
    </row>
    <row r="997">
      <c r="B997" s="12"/>
      <c r="C997" s="137"/>
    </row>
    <row r="998">
      <c r="B998" s="12"/>
      <c r="C998" s="137"/>
    </row>
    <row r="999">
      <c r="B999" s="12"/>
      <c r="C999" s="137"/>
    </row>
    <row r="1000">
      <c r="B1000" s="12"/>
      <c r="C1000" s="137"/>
    </row>
    <row r="1001">
      <c r="B1001" s="12"/>
      <c r="C1001" s="137"/>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workbookViewId="0"/>
  </sheetViews>
  <sheetFormatPr customHeight="1" defaultColWidth="12.63" defaultRowHeight="15.75"/>
  <cols>
    <col customWidth="1" min="1" max="1" width="21.38"/>
    <col customWidth="1" min="2" max="2" width="15.13"/>
    <col customWidth="1" min="3" max="3" width="68.75"/>
    <col customWidth="1" min="4" max="4" width="9.0"/>
    <col customWidth="1" min="10" max="10" width="11.0"/>
  </cols>
  <sheetData>
    <row r="1">
      <c r="A1" s="304" t="str">
        <f>IFERROR(__xludf.DUMMYFUNCTION("IMPORTRANGE(""https://docs.google.com/spreadsheets/d/1PPFix0KE5FV0_ekB8X93l4fBTTlhI3_4FnP7klgfg_Y/edit?gid=0#gid=0"", ""Elsewhich!a1:f100"")"),"ELSEWHICH")</f>
        <v>ELSEWHICH</v>
      </c>
      <c r="B1" s="291"/>
      <c r="C1" s="292" t="str">
        <f>IFERROR(__xludf.DUMMYFUNCTION("""COMPUTED_VALUE"""),"Elvie (Christine Huebbe)")</f>
        <v>Elvie (Christine Huebbe)</v>
      </c>
      <c r="D1" s="293"/>
      <c r="E1" s="293"/>
      <c r="F1" s="298"/>
      <c r="G1" s="298"/>
      <c r="H1" s="298"/>
      <c r="I1" s="298"/>
      <c r="J1" s="298"/>
      <c r="K1" s="293"/>
      <c r="L1" s="293"/>
      <c r="M1" s="293"/>
      <c r="N1" s="293"/>
      <c r="O1" s="293"/>
      <c r="P1" s="293"/>
      <c r="Q1" s="293"/>
      <c r="R1" s="293"/>
      <c r="S1" s="293"/>
      <c r="T1" s="293"/>
      <c r="U1" s="293"/>
      <c r="V1" s="293"/>
      <c r="W1" s="293"/>
      <c r="X1" s="293"/>
      <c r="Y1" s="293"/>
    </row>
    <row r="2">
      <c r="A2" s="214"/>
      <c r="B2" s="12"/>
      <c r="C2" s="137"/>
      <c r="D2" s="214"/>
      <c r="E2" s="260" t="str">
        <f>IFERROR(__xludf.DUMMYFUNCTION("""COMPUTED_VALUE"""),"Caster")</f>
        <v>Caster</v>
      </c>
      <c r="F2" s="214" t="str">
        <f>IFERROR(__xludf.DUMMYFUNCTION("""COMPUTED_VALUE"""),"Zinfandel ""Del"" Sans; grey wizard hat")</f>
        <v>Zinfandel "Del" Sans; grey wizard hat</v>
      </c>
    </row>
    <row r="3">
      <c r="A3" s="262" t="str">
        <f>IFERROR(__xludf.DUMMYFUNCTION("""COMPUTED_VALUE"""),"PARTY PATH")</f>
        <v>PARTY PATH</v>
      </c>
      <c r="B3" s="12"/>
      <c r="C3" s="137"/>
      <c r="D3" s="214"/>
      <c r="E3" s="260" t="str">
        <f>IFERROR(__xludf.DUMMYFUNCTION("""COMPUTED_VALUE"""),"Keeper")</f>
        <v>Keeper</v>
      </c>
      <c r="F3" s="214" t="str">
        <f>IFERROR(__xludf.DUMMYFUNCTION("""COMPUTED_VALUE"""),"Sylus; black cloak w/grapes")</f>
        <v>Sylus; black cloak w/grapes</v>
      </c>
    </row>
    <row r="4">
      <c r="A4" s="8" t="str">
        <f>IFERROR(__xludf.DUMMYFUNCTION("""COMPUTED_VALUE"""),"Character")</f>
        <v>Character</v>
      </c>
      <c r="B4" s="86" t="str">
        <f>IFERROR(__xludf.DUMMYFUNCTION("""COMPUTED_VALUE"""),"Gave Item/Info")</f>
        <v>Gave Item/Info</v>
      </c>
      <c r="C4" s="263" t="str">
        <f>IFERROR(__xludf.DUMMYFUNCTION("""COMPUTED_VALUE"""),"Notes")</f>
        <v>Notes</v>
      </c>
      <c r="D4" s="214"/>
      <c r="E4" s="260" t="str">
        <f>IFERROR(__xludf.DUMMYFUNCTION("""COMPUTED_VALUE"""),"Maker")</f>
        <v>Maker</v>
      </c>
      <c r="F4" s="214" t="str">
        <f>IFERROR(__xludf.DUMMYFUNCTION("""COMPUTED_VALUE"""),"Riesling ""Ries""; Grey vest w/grape pin")</f>
        <v>Riesling "Ries"; Grey vest w/grape pin</v>
      </c>
    </row>
    <row r="5">
      <c r="A5" s="32" t="str">
        <f>IFERROR(__xludf.DUMMYFUNCTION("""COMPUTED_VALUE"""),"Electra")</f>
        <v>Electra</v>
      </c>
      <c r="B5" s="48" t="b">
        <f>IFERROR(__xludf.DUMMYFUNCTION("""COMPUTED_VALUE"""),FALSE)</f>
        <v>0</v>
      </c>
      <c r="C5" s="138"/>
      <c r="D5" s="214"/>
      <c r="E5" s="260" t="str">
        <f>IFERROR(__xludf.DUMMYFUNCTION("""COMPUTED_VALUE"""),"Ranger")</f>
        <v>Ranger</v>
      </c>
      <c r="F5" s="214" t="str">
        <f>IFERROR(__xludf.DUMMYFUNCTION("""COMPUTED_VALUE"""),"Runcible Spoon; Elsewhich tabard, cloak")</f>
        <v>Runcible Spoon; Elsewhich tabard, cloak</v>
      </c>
    </row>
    <row r="6">
      <c r="A6" s="32" t="str">
        <f>IFERROR(__xludf.DUMMYFUNCTION("""COMPUTED_VALUE"""),"Ember")</f>
        <v>Ember</v>
      </c>
      <c r="B6" s="48" t="b">
        <f>IFERROR(__xludf.DUMMYFUNCTION("""COMPUTED_VALUE"""),TRUE)</f>
        <v>1</v>
      </c>
      <c r="C6" s="222" t="str">
        <f>IFERROR(__xludf.DUMMYFUNCTION("""COMPUTED_VALUE"""),"Very engaged in overall plot (knows about memory gap, trial, wedding, etc). Had to remind them to ask me about the cup after 2 other concentrations so may be a little unfocused or just overwhelmed by tavern. Definitely approaching in a larp-like capacity "&amp;"(but not necessarily in a bad way) -Mirin")</f>
        <v>Very engaged in overall plot (knows about memory gap, trial, wedding, etc). Had to remind them to ask me about the cup after 2 other concentrations so may be a little unfocused or just overwhelmed by tavern. Definitely approaching in a larp-like capacity (but not necessarily in a bad way) -Mirin</v>
      </c>
      <c r="D6" s="214"/>
      <c r="E6" s="260" t="str">
        <f>IFERROR(__xludf.DUMMYFUNCTION("""COMPUTED_VALUE"""),"Seeker")</f>
        <v>Seeker</v>
      </c>
      <c r="F6" s="214" t="str">
        <f>IFERROR(__xludf.DUMMYFUNCTION("""COMPUTED_VALUE"""),"Cabernet ""Bernie"" grey shawl cloak")</f>
        <v>Cabernet "Bernie" grey shawl cloak</v>
      </c>
    </row>
    <row r="7">
      <c r="A7" s="32" t="str">
        <f>IFERROR(__xludf.DUMMYFUNCTION("""COMPUTED_VALUE"""),"Kira")</f>
        <v>Kira</v>
      </c>
      <c r="B7" s="12" t="b">
        <f>IFERROR(__xludf.DUMMYFUNCTION("""COMPUTED_VALUE"""),TRUE)</f>
        <v>1</v>
      </c>
      <c r="C7" s="138" t="str">
        <f>IFERROR(__xludf.DUMMYFUNCTION("""COMPUTED_VALUE"""),"Super into the Elsewich lore they concocted together in a really fun way. They're super friendly, invited Kira to visit Elsewich already, funny. They didn't immediately associate hex with Kira, so that's a win - only asked one follow up question about his"&amp;"tory of hex in Macai, so Kira will emphasize curiosity about hex during Dreadwright ritual to give them another point of reference. - Kels")</f>
        <v>Super into the Elsewich lore they concocted together in a really fun way. They're super friendly, invited Kira to visit Elsewich already, funny. They didn't immediately associate hex with Kira, so that's a win - only asked one follow up question about history of hex in Macai, so Kira will emphasize curiosity about hex during Dreadwright ritual to give them another point of reference. - Kels</v>
      </c>
      <c r="D7" s="214"/>
      <c r="E7" s="260" t="str">
        <f>IFERROR(__xludf.DUMMYFUNCTION("""COMPUTED_VALUE"""),"Traveler")</f>
        <v>Traveler</v>
      </c>
      <c r="F7" s="214" t="str">
        <f>IFERROR(__xludf.DUMMYFUNCTION("""COMPUTED_VALUE"""),"Gill Sans; grey shirt &amp; vest")</f>
        <v>Gill Sans; grey shirt &amp; vest</v>
      </c>
    </row>
    <row r="8">
      <c r="A8" s="32" t="str">
        <f>IFERROR(__xludf.DUMMYFUNCTION("""COMPUTED_VALUE"""),"Kerrick Dealbinder")</f>
        <v>Kerrick Dealbinder</v>
      </c>
      <c r="B8" s="48" t="b">
        <f>IFERROR(__xludf.DUMMYFUNCTION("""COMPUTED_VALUE"""),TRUE)</f>
        <v>1</v>
      </c>
      <c r="C8" s="138" t="str">
        <f>IFERROR(__xludf.DUMMYFUNCTION("""COMPUTED_VALUE"""),"Very engaged group. Both in terms of being deep and insightful for the Cup ritual, but also with levity and ""buying into the bit""")</f>
        <v>Very engaged group. Both in terms of being deep and insightful for the Cup ritual, but also with levity and "buying into the bit"</v>
      </c>
      <c r="D8" s="214"/>
      <c r="E8" s="214"/>
      <c r="F8" s="214"/>
    </row>
    <row r="9">
      <c r="A9" s="32" t="str">
        <f>IFERROR(__xludf.DUMMYFUNCTION("""COMPUTED_VALUE"""),"Mila")</f>
        <v>Mila</v>
      </c>
      <c r="B9" s="48" t="b">
        <f>IFERROR(__xludf.DUMMYFUNCTION("""COMPUTED_VALUE"""),TRUE)</f>
        <v>1</v>
      </c>
      <c r="C9" s="222" t="str">
        <f>IFERROR(__xludf.DUMMYFUNCTION("""COMPUTED_VALUE"""),"very engaged, were making plans together")</f>
        <v>very engaged, were making plans together</v>
      </c>
      <c r="D9" s="214"/>
      <c r="E9" s="214"/>
      <c r="F9" s="214"/>
    </row>
    <row r="10">
      <c r="A10" s="32" t="str">
        <f>IFERROR(__xludf.DUMMYFUNCTION("""COMPUTED_VALUE"""),"Danny Donovan")</f>
        <v>Danny Donovan</v>
      </c>
      <c r="B10" s="48" t="b">
        <f>IFERROR(__xludf.DUMMYFUNCTION("""COMPUTED_VALUE"""),TRUE)</f>
        <v>1</v>
      </c>
      <c r="C10" s="138" t="str">
        <f>IFERROR(__xludf.DUMMYFUNCTION("""COMPUTED_VALUE"""),"they have done the chaloenge (while Dannty was not there) but he has not seen them to give them the cup. Cup delivered (Jen P)")</f>
        <v>they have done the chaloenge (while Dannty was not there) but he has not seen them to give them the cup. Cup delivered (Jen P)</v>
      </c>
      <c r="D10" s="214"/>
      <c r="E10" s="214"/>
      <c r="F10" s="214"/>
    </row>
    <row r="11">
      <c r="A11" s="32" t="str">
        <f>IFERROR(__xludf.DUMMYFUNCTION("""COMPUTED_VALUE"""),"Teknos (Don't Give Item)")</f>
        <v>Teknos (Don't Give Item)</v>
      </c>
      <c r="B11" s="48" t="b">
        <f>IFERROR(__xludf.DUMMYFUNCTION("""COMPUTED_VALUE"""),TRUE)</f>
        <v>1</v>
      </c>
      <c r="C11" s="138"/>
      <c r="D11" s="214"/>
      <c r="E11" s="214"/>
      <c r="F11" s="214"/>
    </row>
    <row r="12">
      <c r="A12" s="214" t="str">
        <f>IFERROR(__xludf.DUMMYFUNCTION("""COMPUTED_VALUE"""),"Belle Bishop")</f>
        <v>Belle Bishop</v>
      </c>
      <c r="B12" s="48" t="b">
        <f>IFERROR(__xludf.DUMMYFUNCTION("""COMPUTED_VALUE"""),TRUE)</f>
        <v>1</v>
      </c>
      <c r="C12" s="138" t="str">
        <f>IFERROR(__xludf.DUMMYFUNCTION("""COMPUTED_VALUE"""),"After lunch I did ""What Kind of Tree Are You?"" Challenge with them, and they provided thoughtful, empathetic answers in both rounds - What kind of tree? and What month of the year? Gave them gold laceleaf pendant. ")</f>
        <v>After lunch I did "What Kind of Tree Are You?" Challenge with them, and they provided thoughtful, empathetic answers in both rounds - What kind of tree? and What month of the year? Gave them gold laceleaf pendant. </v>
      </c>
      <c r="D12" s="214"/>
      <c r="E12" s="214"/>
      <c r="F12" s="214"/>
    </row>
    <row r="13">
      <c r="A13" s="214" t="str">
        <f>IFERROR(__xludf.DUMMYFUNCTION("""COMPUTED_VALUE"""),"Donna Peacock")</f>
        <v>Donna Peacock</v>
      </c>
      <c r="B13" s="12" t="b">
        <f>IFERROR(__xludf.DUMMYFUNCTION("""COMPUTED_VALUE"""),TRUE)</f>
        <v>1</v>
      </c>
      <c r="C13" s="138" t="str">
        <f>IFERROR(__xludf.DUMMYFUNCTION("""COMPUTED_VALUE"""),"Really good party, had lots of fun and laughter during Perfect Square. - Eli")</f>
        <v>Really good party, had lots of fun and laughter during Perfect Square. - Eli</v>
      </c>
      <c r="D13" s="214"/>
      <c r="E13" s="214"/>
      <c r="F13" s="214"/>
    </row>
    <row r="14">
      <c r="A14" s="214" t="str">
        <f>IFERROR(__xludf.DUMMYFUNCTION("""COMPUTED_VALUE"""),"Fenwick Michaels")</f>
        <v>Fenwick Michaels</v>
      </c>
      <c r="B14" s="12" t="b">
        <f>IFERROR(__xludf.DUMMYFUNCTION("""COMPUTED_VALUE"""),TRUE)</f>
        <v>1</v>
      </c>
      <c r="C14" s="138"/>
      <c r="D14" s="214"/>
      <c r="E14" s="214"/>
      <c r="F14" s="214"/>
    </row>
    <row r="15">
      <c r="A15" s="32" t="str">
        <f>IFERROR(__xludf.DUMMYFUNCTION("""COMPUTED_VALUE"""),"Pearl Bryce")</f>
        <v>Pearl Bryce</v>
      </c>
      <c r="B15" s="12" t="b">
        <f>IFERROR(__xludf.DUMMYFUNCTION("""COMPUTED_VALUE"""),TRUE)</f>
        <v>1</v>
      </c>
      <c r="C15" s="138" t="str">
        <f>IFERROR(__xludf.DUMMYFUNCTION("""COMPUTED_VALUE"""),"Given around 11:30Am already starting to solve connect bow with the path on the first read.*")</f>
        <v>Given around 11:30Am already starting to solve connect bow with the path on the first read.*</v>
      </c>
      <c r="D15" s="214"/>
      <c r="E15" s="214"/>
      <c r="F15" s="214"/>
    </row>
    <row r="16">
      <c r="A16" s="214" t="str">
        <f>IFERROR(__xludf.DUMMYFUNCTION("""COMPUTED_VALUE"""),"Samuelson")</f>
        <v>Samuelson</v>
      </c>
      <c r="B16" s="12" t="b">
        <f>IFERROR(__xludf.DUMMYFUNCTION("""COMPUTED_VALUE"""),TRUE)</f>
        <v>1</v>
      </c>
      <c r="C16" s="137" t="str">
        <f>IFERROR(__xludf.DUMMYFUNCTION("""COMPUTED_VALUE"""),"Asked about Doveroot Friday night at 10:30 pm.  Told them I would have it with me tomorrow. Surprised me at dinner Saturday by declaring it to be my King's Day, and gave me a card and a back of candy as well as 3 commands. I asked for a reference with the"&amp;"ir Duke/Duchess, for them to do a random act of propriety, and a random act of kindness.")</f>
        <v>Asked about Doveroot Friday night at 10:30 pm.  Told them I would have it with me tomorrow. Surprised me at dinner Saturday by declaring it to be my King's Day, and gave me a card and a back of candy as well as 3 commands. I asked for a reference with their Duke/Duchess, for them to do a random act of propriety, and a random act of kindness.</v>
      </c>
      <c r="D16" s="214"/>
      <c r="E16" s="214"/>
      <c r="F16" s="214"/>
    </row>
    <row r="17">
      <c r="A17" s="216" t="str">
        <f>IFERROR(__xludf.DUMMYFUNCTION("""COMPUTED_VALUE"""),"Mind of a Madman")</f>
        <v>Mind of a Madman</v>
      </c>
      <c r="B17" s="216" t="b">
        <f>IFERROR(__xludf.DUMMYFUNCTION("""COMPUTED_VALUE"""),TRUE)</f>
        <v>1</v>
      </c>
      <c r="C17" s="137" t="str">
        <f>IFERROR(__xludf.DUMMYFUNCTION("""COMPUTED_VALUE"""),"approached MoaM very much like 4 people and 2 people. Even after we probed, they pretty much didn't get it.  (""Grapes are better in a bunch... but then you kinda just need to go it alone.""  Ah well (KLH)")</f>
        <v>approached MoaM very much like 4 people and 2 people. Even after we probed, they pretty much didn't get it.  ("Grapes are better in a bunch... but then you kinda just need to go it alone."  Ah well (KLH)</v>
      </c>
      <c r="D17" s="214"/>
      <c r="E17" s="214"/>
      <c r="F17" s="214"/>
    </row>
    <row r="18">
      <c r="A18" s="216" t="str">
        <f>IFERROR(__xludf.DUMMYFUNCTION("""COMPUTED_VALUE"""),"Teknos (Sunday)")</f>
        <v>Teknos (Sunday)</v>
      </c>
      <c r="B18" s="232" t="b">
        <f>IFERROR(__xludf.DUMMYFUNCTION("""COMPUTED_VALUE"""),TRUE)</f>
        <v>1</v>
      </c>
      <c r="C18" s="263"/>
      <c r="D18" s="86"/>
      <c r="E18" s="214"/>
      <c r="F18" s="214"/>
    </row>
    <row r="19">
      <c r="A19" s="32" t="str">
        <f>IFERROR(__xludf.DUMMYFUNCTION("""COMPUTED_VALUE"""),"Kira")</f>
        <v>Kira</v>
      </c>
      <c r="B19" s="48" t="b">
        <f>IFERROR(__xludf.DUMMYFUNCTION("""COMPUTED_VALUE"""),FALSE)</f>
        <v>0</v>
      </c>
      <c r="C19" s="138"/>
      <c r="D19" s="12"/>
      <c r="E19" s="214"/>
      <c r="F19" s="214"/>
    </row>
    <row r="20">
      <c r="A20" s="32"/>
      <c r="B20" s="48"/>
      <c r="C20" s="138"/>
      <c r="D20" s="12"/>
      <c r="E20" s="214"/>
      <c r="F20" s="214"/>
    </row>
    <row r="21">
      <c r="A21" s="32"/>
      <c r="B21" s="48"/>
      <c r="C21" s="222"/>
      <c r="D21" s="12"/>
      <c r="E21" s="214"/>
      <c r="F21" s="214"/>
    </row>
    <row r="22">
      <c r="A22" s="32" t="str">
        <f>IFERROR(__xludf.DUMMYFUNCTION("""COMPUTED_VALUE"""),"CHARGE INFO")</f>
        <v>CHARGE INFO</v>
      </c>
      <c r="B22" s="48" t="str">
        <f>IFERROR(__xludf.DUMMYFUNCTION("""COMPUTED_VALUE"""),"(Evelyn)")</f>
        <v>(Evelyn)</v>
      </c>
      <c r="C22" s="138"/>
      <c r="D22" s="12"/>
      <c r="E22" s="214"/>
      <c r="F22" s="214"/>
    </row>
    <row r="23">
      <c r="A23" s="32" t="str">
        <f>IFERROR(__xludf.DUMMYFUNCTION("""COMPUTED_VALUE"""),"Character")</f>
        <v>Character</v>
      </c>
      <c r="B23" s="48" t="str">
        <f>IFERROR(__xludf.DUMMYFUNCTION("""COMPUTED_VALUE"""),"Gave Info")</f>
        <v>Gave Info</v>
      </c>
      <c r="C23" s="222" t="str">
        <f>IFERROR(__xludf.DUMMYFUNCTION("""COMPUTED_VALUE"""),"Notes")</f>
        <v>Notes</v>
      </c>
      <c r="D23" s="12"/>
      <c r="E23" s="214"/>
      <c r="F23" s="214"/>
    </row>
    <row r="24">
      <c r="A24" s="32" t="str">
        <f>IFERROR(__xludf.DUMMYFUNCTION("""COMPUTED_VALUE"""),"Ember")</f>
        <v>Ember</v>
      </c>
      <c r="B24" s="48" t="b">
        <f>IFERROR(__xludf.DUMMYFUNCTION("""COMPUTED_VALUE"""),TRUE)</f>
        <v>1</v>
      </c>
      <c r="C24" s="138" t="str">
        <f>IFERROR(__xludf.DUMMYFUNCTION("""COMPUTED_VALUE"""),"They are very pro Ember as of Fri night -Mirin")</f>
        <v>They are very pro Ember as of Fri night -Mirin</v>
      </c>
      <c r="D24" s="12"/>
      <c r="E24" s="214"/>
      <c r="F24" s="214"/>
    </row>
    <row r="25">
      <c r="A25" s="32" t="str">
        <f>IFERROR(__xludf.DUMMYFUNCTION("""COMPUTED_VALUE"""),"Teknos")</f>
        <v>Teknos</v>
      </c>
      <c r="B25" s="48" t="b">
        <f>IFERROR(__xludf.DUMMYFUNCTION("""COMPUTED_VALUE"""),FALSE)</f>
        <v>0</v>
      </c>
      <c r="C25" s="138"/>
      <c r="D25" s="12"/>
      <c r="E25" s="214"/>
      <c r="F25" s="214"/>
    </row>
    <row r="26">
      <c r="A26" s="32" t="str">
        <f>IFERROR(__xludf.DUMMYFUNCTION("""COMPUTED_VALUE"""),"Buzzkill")</f>
        <v>Buzzkill</v>
      </c>
      <c r="B26" s="48" t="b">
        <f>IFERROR(__xludf.DUMMYFUNCTION("""COMPUTED_VALUE"""),FALSE)</f>
        <v>0</v>
      </c>
      <c r="C26" s="138"/>
      <c r="D26" s="12"/>
      <c r="E26" s="214"/>
      <c r="F26" s="214"/>
    </row>
    <row r="27">
      <c r="A27" s="32" t="str">
        <f>IFERROR(__xludf.DUMMYFUNCTION("""COMPUTED_VALUE"""),"Obsidian")</f>
        <v>Obsidian</v>
      </c>
      <c r="B27" s="48" t="b">
        <f>IFERROR(__xludf.DUMMYFUNCTION("""COMPUTED_VALUE"""),FALSE)</f>
        <v>0</v>
      </c>
      <c r="C27" s="138"/>
      <c r="D27" s="12"/>
      <c r="E27" s="214"/>
      <c r="F27" s="214"/>
    </row>
    <row r="28">
      <c r="A28" s="32" t="str">
        <f>IFERROR(__xludf.DUMMYFUNCTION("""COMPUTED_VALUE"""),"Poppy Golden")</f>
        <v>Poppy Golden</v>
      </c>
      <c r="B28" s="48" t="b">
        <f>IFERROR(__xludf.DUMMYFUNCTION("""COMPUTED_VALUE"""),TRUE)</f>
        <v>1</v>
      </c>
      <c r="C28" s="222"/>
      <c r="D28" s="12"/>
      <c r="E28" s="214"/>
      <c r="F28" s="214"/>
    </row>
    <row r="29">
      <c r="A29" s="32" t="str">
        <f>IFERROR(__xludf.DUMMYFUNCTION("""COMPUTED_VALUE"""),"Moxie")</f>
        <v>Moxie</v>
      </c>
      <c r="B29" s="48" t="b">
        <f>IFERROR(__xludf.DUMMYFUNCTION("""COMPUTED_VALUE"""),FALSE)</f>
        <v>0</v>
      </c>
      <c r="C29" s="138"/>
      <c r="D29" s="12"/>
      <c r="E29" s="214"/>
      <c r="F29" s="214"/>
    </row>
    <row r="30">
      <c r="A30" s="32" t="str">
        <f>IFERROR(__xludf.DUMMYFUNCTION("""COMPUTED_VALUE"""),"Evelyn")</f>
        <v>Evelyn</v>
      </c>
      <c r="B30" s="48" t="b">
        <f>IFERROR(__xludf.DUMMYFUNCTION("""COMPUTED_VALUE"""),TRUE)</f>
        <v>1</v>
      </c>
      <c r="C30" s="138" t="str">
        <f>IFERROR(__xludf.DUMMYFUNCTION("""COMPUTED_VALUE"""),"Buzzkill introduced Elsewhich to me and said they would be investigating my charge.  I told them I didn't do it..  They are thinking it was an animal.")</f>
        <v>Buzzkill introduced Elsewhich to me and said they would be investigating my charge.  I told them I didn't do it..  They are thinking it was an animal.</v>
      </c>
      <c r="D30" s="12"/>
      <c r="E30" s="214"/>
      <c r="F30" s="214"/>
    </row>
    <row r="31">
      <c r="A31" s="32" t="str">
        <f>IFERROR(__xludf.DUMMYFUNCTION("""COMPUTED_VALUE"""),"Karmin Smirch")</f>
        <v>Karmin Smirch</v>
      </c>
      <c r="B31" s="48" t="b">
        <f>IFERROR(__xludf.DUMMYFUNCTION("""COMPUTED_VALUE"""),TRUE)</f>
        <v>1</v>
      </c>
      <c r="C31" s="138" t="str">
        <f>IFERROR(__xludf.DUMMYFUNCTION("""COMPUTED_VALUE"""),"I told them about the knocked-ver merchandise in the same conversation in which Karla mentioned the ""gross mess of hair.""")</f>
        <v>I told them about the knocked-ver merchandise in the same conversation in which Karla mentioned the "gross mess of hair."</v>
      </c>
      <c r="D31" s="12"/>
      <c r="E31" s="214"/>
      <c r="F31" s="214"/>
    </row>
    <row r="32">
      <c r="A32" s="32" t="str">
        <f>IFERROR(__xludf.DUMMYFUNCTION("""COMPUTED_VALUE"""),"Nina Bliss")</f>
        <v>Nina Bliss</v>
      </c>
      <c r="B32" s="48" t="b">
        <f>IFERROR(__xludf.DUMMYFUNCTION("""COMPUTED_VALUE"""),TRUE)</f>
        <v>1</v>
      </c>
      <c r="C32" s="138" t="str">
        <f>IFERROR(__xludf.DUMMYFUNCTION("""COMPUTED_VALUE"""),"Already suspect it's an animal of some kind - Sat noon")</f>
        <v>Already suspect it's an animal of some kind - Sat noon</v>
      </c>
      <c r="D32" s="12"/>
      <c r="E32" s="214"/>
      <c r="F32" s="214"/>
    </row>
    <row r="33">
      <c r="A33" s="32" t="str">
        <f>IFERROR(__xludf.DUMMYFUNCTION("""COMPUTED_VALUE"""),"Phineas Smirch")</f>
        <v>Phineas Smirch</v>
      </c>
      <c r="B33" s="48" t="b">
        <f>IFERROR(__xludf.DUMMYFUNCTION("""COMPUTED_VALUE"""),TRUE)</f>
        <v>1</v>
      </c>
      <c r="C33" s="138" t="str">
        <f>IFERROR(__xludf.DUMMYFUNCTION("""COMPUTED_VALUE"""),"Phineas and Karmin gave full blast to one engaged oarty menber")</f>
        <v>Phineas and Karmin gave full blast to one engaged oarty menber</v>
      </c>
      <c r="D33" s="12"/>
      <c r="E33" s="214"/>
      <c r="F33" s="214"/>
    </row>
    <row r="34">
      <c r="A34" s="32" t="str">
        <f>IFERROR(__xludf.DUMMYFUNCTION("""COMPUTED_VALUE"""),"Dramina")</f>
        <v>Dramina</v>
      </c>
      <c r="B34" s="48" t="b">
        <f>IFERROR(__xludf.DUMMYFUNCTION("""COMPUTED_VALUE"""),TRUE)</f>
        <v>1</v>
      </c>
      <c r="C34" s="138" t="str">
        <f>IFERROR(__xludf.DUMMYFUNCTION("""COMPUTED_VALUE"""),"Talked with four of them and they have already started to think about it being a large cat BT 9:30am sat")</f>
        <v>Talked with four of them and they have already started to think about it being a large cat BT 9:30am sat</v>
      </c>
      <c r="D34" s="12"/>
      <c r="E34" s="214"/>
      <c r="F34" s="214"/>
    </row>
    <row r="35">
      <c r="A35" s="32" t="str">
        <f>IFERROR(__xludf.DUMMYFUNCTION("""COMPUTED_VALUE"""),"Ursula Smirch")</f>
        <v>Ursula Smirch</v>
      </c>
      <c r="B35" s="48" t="b">
        <f>IFERROR(__xludf.DUMMYFUNCTION("""COMPUTED_VALUE"""),TRUE)</f>
        <v>1</v>
      </c>
      <c r="C35" s="138"/>
      <c r="D35" s="12"/>
      <c r="E35" s="214"/>
      <c r="F35" s="214"/>
    </row>
    <row r="36">
      <c r="A36" s="32" t="str">
        <f>IFERROR(__xludf.DUMMYFUNCTION("""COMPUTED_VALUE"""),"Pascal Valerius")</f>
        <v>Pascal Valerius</v>
      </c>
      <c r="B36" s="48" t="b">
        <f>IFERROR(__xludf.DUMMYFUNCTION("""COMPUTED_VALUE"""),FALSE)</f>
        <v>0</v>
      </c>
      <c r="C36" s="138"/>
      <c r="D36" s="12"/>
      <c r="E36" s="214"/>
      <c r="F36" s="214"/>
    </row>
    <row r="37">
      <c r="A37" s="32" t="str">
        <f>IFERROR(__xludf.DUMMYFUNCTION("""COMPUTED_VALUE"""),"Natasha")</f>
        <v>Natasha</v>
      </c>
      <c r="B37" s="48" t="b">
        <f>IFERROR(__xludf.DUMMYFUNCTION("""COMPUTED_VALUE"""),FALSE)</f>
        <v>0</v>
      </c>
      <c r="C37" s="138"/>
      <c r="D37" s="12"/>
      <c r="E37" s="214"/>
      <c r="F37" s="214"/>
    </row>
    <row r="38">
      <c r="A38" s="32" t="str">
        <f>IFERROR(__xludf.DUMMYFUNCTION("""COMPUTED_VALUE"""),"Karla Smirch")</f>
        <v>Karla Smirch</v>
      </c>
      <c r="B38" s="48" t="b">
        <f>IFERROR(__xludf.DUMMYFUNCTION("""COMPUTED_VALUE"""),TRUE)</f>
        <v>1</v>
      </c>
      <c r="C38" s="138" t="str">
        <f>IFERROR(__xludf.DUMMYFUNCTION("""COMPUTED_VALUE"""),"Entire party at breakfast very engaged with Karla when she was talking about the mean lady and the ball of hair")</f>
        <v>Entire party at breakfast very engaged with Karla when she was talking about the mean lady and the ball of hair</v>
      </c>
      <c r="D38" s="12"/>
      <c r="E38" s="214"/>
      <c r="F38" s="214"/>
    </row>
    <row r="39">
      <c r="A39" s="32" t="str">
        <f>IFERROR(__xludf.DUMMYFUNCTION("""COMPUTED_VALUE"""),"Milton Peacock")</f>
        <v>Milton Peacock</v>
      </c>
      <c r="B39" s="48" t="b">
        <f>IFERROR(__xludf.DUMMYFUNCTION("""COMPUTED_VALUE"""),FALSE)</f>
        <v>0</v>
      </c>
      <c r="C39" s="138"/>
      <c r="D39" s="12"/>
      <c r="E39" s="214"/>
      <c r="F39" s="214"/>
    </row>
    <row r="40">
      <c r="A40" s="32" t="str">
        <f>IFERROR(__xludf.DUMMYFUNCTION("""COMPUTED_VALUE"""),"Kerrick Dealbinder")</f>
        <v>Kerrick Dealbinder</v>
      </c>
      <c r="B40" s="48" t="b">
        <f>IFERROR(__xludf.DUMMYFUNCTION("""COMPUTED_VALUE"""),FALSE)</f>
        <v>0</v>
      </c>
      <c r="C40" s="138"/>
      <c r="D40" s="12"/>
      <c r="E40" s="214"/>
      <c r="F40" s="214"/>
    </row>
    <row r="41">
      <c r="A41" s="32" t="str">
        <f>IFERROR(__xludf.DUMMYFUNCTION("""COMPUTED_VALUE"""),"Floria")</f>
        <v>Floria</v>
      </c>
      <c r="B41" s="48" t="b">
        <f>IFERROR(__xludf.DUMMYFUNCTION("""COMPUTED_VALUE"""),TRUE)</f>
        <v>1</v>
      </c>
      <c r="C41" s="138" t="str">
        <f>IFERROR(__xludf.DUMMYFUNCTION("""COMPUTED_VALUE"""),"Talked to three of them, they were interested, they were very sweet. They mentioned other info they had heard about the Smirches. -MFL")</f>
        <v>Talked to three of them, they were interested, they were very sweet. They mentioned other info they had heard about the Smirches. -MFL</v>
      </c>
      <c r="D41" s="12"/>
      <c r="E41" s="214"/>
      <c r="F41" s="214"/>
    </row>
    <row r="42">
      <c r="A42" s="32" t="str">
        <f>IFERROR(__xludf.DUMMYFUNCTION("""COMPUTED_VALUE"""),"Tanya Peacock")</f>
        <v>Tanya Peacock</v>
      </c>
      <c r="B42" s="48" t="b">
        <f>IFERROR(__xludf.DUMMYFUNCTION("""COMPUTED_VALUE"""),FALSE)</f>
        <v>0</v>
      </c>
      <c r="C42" s="138"/>
      <c r="D42" s="12"/>
      <c r="E42" s="214"/>
      <c r="F42" s="214"/>
    </row>
    <row r="43">
      <c r="A43" s="32" t="str">
        <f>IFERROR(__xludf.DUMMYFUNCTION("""COMPUTED_VALUE"""),"Dorito")</f>
        <v>Dorito</v>
      </c>
      <c r="B43" s="48" t="b">
        <f>IFERROR(__xludf.DUMMYFUNCTION("""COMPUTED_VALUE"""),TRUE)</f>
        <v>1</v>
      </c>
      <c r="C43" s="138" t="str">
        <f>IFERROR(__xludf.DUMMYFUNCTION("""COMPUTED_VALUE"""),"ember is cool - they think so too. Talked up how leather and fur look good on her, esp fur ER")</f>
        <v>ember is cool - they think so too. Talked up how leather and fur look good on her, esp fur ER</v>
      </c>
      <c r="D43" s="12"/>
      <c r="E43" s="214"/>
      <c r="F43" s="214"/>
    </row>
    <row r="44">
      <c r="A44" s="32" t="str">
        <f>IFERROR(__xludf.DUMMYFUNCTION("""COMPUTED_VALUE"""),"Bartelby Sprink")</f>
        <v>Bartelby Sprink</v>
      </c>
      <c r="B44" s="48" t="b">
        <f>IFERROR(__xludf.DUMMYFUNCTION("""COMPUTED_VALUE"""),FALSE)</f>
        <v>0</v>
      </c>
      <c r="C44" s="138"/>
      <c r="D44" s="12"/>
      <c r="E44" s="214"/>
      <c r="F44" s="214"/>
    </row>
    <row r="45">
      <c r="A45" s="32" t="str">
        <f>IFERROR(__xludf.DUMMYFUNCTION("""COMPUTED_VALUE"""),"Umberto Dunn")</f>
        <v>Umberto Dunn</v>
      </c>
      <c r="B45" s="48" t="b">
        <f>IFERROR(__xludf.DUMMYFUNCTION("""COMPUTED_VALUE"""),TRUE)</f>
        <v>1</v>
      </c>
      <c r="C45" s="138" t="str">
        <f>IFERROR(__xludf.DUMMYFUNCTION("""COMPUTED_VALUE"""),"They are super into Ember and very engaged.  Already gelled as a party and great fun Fri night. - BW")</f>
        <v>They are super into Ember and very engaged.  Already gelled as a party and great fun Fri night. - BW</v>
      </c>
      <c r="D45" s="12"/>
      <c r="E45" s="214"/>
      <c r="F45" s="214"/>
    </row>
    <row r="46">
      <c r="A46" s="32" t="str">
        <f>IFERROR(__xludf.DUMMYFUNCTION("""COMPUTED_VALUE"""),"Aleeya Witchborn")</f>
        <v>Aleeya Witchborn</v>
      </c>
      <c r="B46" s="48" t="b">
        <f>IFERROR(__xludf.DUMMYFUNCTION("""COMPUTED_VALUE"""),TRUE)</f>
        <v>1</v>
      </c>
      <c r="C46" s="138"/>
      <c r="D46" s="12"/>
      <c r="E46" s="214"/>
      <c r="F46" s="214"/>
    </row>
    <row r="47">
      <c r="A47" s="214" t="str">
        <f>IFERROR(__xludf.DUMMYFUNCTION("""COMPUTED_VALUE"""),"Joni Peacock")</f>
        <v>Joni Peacock</v>
      </c>
      <c r="B47" s="12" t="b">
        <f>IFERROR(__xludf.DUMMYFUNCTION("""COMPUTED_VALUE"""),FALSE)</f>
        <v>0</v>
      </c>
      <c r="C47" s="137"/>
      <c r="D47" s="214"/>
      <c r="E47" s="214"/>
      <c r="F47" s="214"/>
    </row>
    <row r="48">
      <c r="A48" s="214" t="str">
        <f>IFERROR(__xludf.DUMMYFUNCTION("""COMPUTED_VALUE"""),"Miscellania")</f>
        <v>Miscellania</v>
      </c>
      <c r="B48" s="12" t="b">
        <f>IFERROR(__xludf.DUMMYFUNCTION("""COMPUTED_VALUE"""),FALSE)</f>
        <v>0</v>
      </c>
      <c r="C48" s="137"/>
      <c r="D48" s="214"/>
      <c r="E48" s="214"/>
      <c r="F48" s="214"/>
    </row>
    <row r="49">
      <c r="A49" s="214" t="str">
        <f>IFERROR(__xludf.DUMMYFUNCTION("""COMPUTED_VALUE"""),"Bailey")</f>
        <v>Bailey</v>
      </c>
      <c r="B49" s="12" t="b">
        <f>IFERROR(__xludf.DUMMYFUNCTION("""COMPUTED_VALUE"""),TRUE)</f>
        <v>1</v>
      </c>
      <c r="C49" s="137" t="str">
        <f>IFERROR(__xludf.DUMMYFUNCTION("""COMPUTED_VALUE"""),"Asked me if I knew any cats. Seemed too much of a cluehammer to mention Ember. Saw them again, they straight up asked me if Ember was like me, I said ""she likes me""")</f>
        <v>Asked me if I knew any cats. Seemed too much of a cluehammer to mention Ember. Saw them again, they straight up asked me if Ember was like me, I said "she likes me"</v>
      </c>
      <c r="D49" s="214"/>
      <c r="E49" s="214"/>
      <c r="F49" s="214"/>
    </row>
    <row r="50">
      <c r="A50" s="214" t="str">
        <f>IFERROR(__xludf.DUMMYFUNCTION("""COMPUTED_VALUE"""),"Quinoa")</f>
        <v>Quinoa</v>
      </c>
      <c r="B50" s="12" t="b">
        <f>IFERROR(__xludf.DUMMYFUNCTION("""COMPUTED_VALUE"""),TRUE)</f>
        <v>1</v>
      </c>
      <c r="C50" s="137" t="str">
        <f>IFERROR(__xludf.DUMMYFUNCTION("""COMPUTED_VALUE"""),"Gave the info to one party member. They seemed very interested, and Elvie confirmed that they're suspicious of Ember so it probably landed.")</f>
        <v>Gave the info to one party member. They seemed very interested, and Elvie confirmed that they're suspicious of Ember so it probably landed.</v>
      </c>
      <c r="D50" s="214"/>
      <c r="E50" s="214"/>
      <c r="F50" s="214"/>
    </row>
    <row r="51">
      <c r="A51" s="214" t="str">
        <f>IFERROR(__xludf.DUMMYFUNCTION("""COMPUTED_VALUE"""),"Isaiah Cooke")</f>
        <v>Isaiah Cooke</v>
      </c>
      <c r="B51" s="12" t="b">
        <f>IFERROR(__xludf.DUMMYFUNCTION("""COMPUTED_VALUE"""),FALSE)</f>
        <v>0</v>
      </c>
      <c r="C51" s="137"/>
      <c r="D51" s="214"/>
      <c r="E51" s="214"/>
      <c r="F51" s="214"/>
    </row>
    <row r="52">
      <c r="A52" s="214" t="str">
        <f>IFERROR(__xludf.DUMMYFUNCTION("""COMPUTED_VALUE"""),"Orion Wilde")</f>
        <v>Orion Wilde</v>
      </c>
      <c r="B52" s="12" t="b">
        <f>IFERROR(__xludf.DUMMYFUNCTION("""COMPUTED_VALUE"""),TRUE)</f>
        <v>1</v>
      </c>
      <c r="C52" s="137" t="str">
        <f>IFERROR(__xludf.DUMMYFUNCTION("""COMPUTED_VALUE"""),"They seem pretty clear on this being Ember ... not 100% ""she's a cat"" but close. -TR Sat. 11pm")</f>
        <v>They seem pretty clear on this being Ember ... not 100% "she's a cat" but close. -TR Sat. 11pm</v>
      </c>
      <c r="D52" s="214"/>
      <c r="E52" s="214"/>
      <c r="F52" s="214"/>
    </row>
    <row r="53">
      <c r="A53" s="214" t="str">
        <f>IFERROR(__xludf.DUMMYFUNCTION("""COMPUTED_VALUE"""),"Revelations")</f>
        <v>Revelations</v>
      </c>
      <c r="B53" s="12"/>
      <c r="C53" s="137"/>
      <c r="D53" s="214"/>
      <c r="E53" s="214"/>
      <c r="F53" s="214"/>
    </row>
    <row r="54">
      <c r="A54" s="214" t="str">
        <f>IFERROR(__xludf.DUMMYFUNCTION("""COMPUTED_VALUE"""),"Bailey (Again)")</f>
        <v>Bailey (Again)</v>
      </c>
      <c r="B54" s="12" t="b">
        <f>IFERROR(__xludf.DUMMYFUNCTION("""COMPUTED_VALUE"""),FALSE)</f>
        <v>0</v>
      </c>
      <c r="C54" s="137"/>
      <c r="D54" s="214"/>
      <c r="E54" s="214"/>
      <c r="F54" s="214"/>
    </row>
    <row r="55">
      <c r="A55" s="214" t="str">
        <f>IFERROR(__xludf.DUMMYFUNCTION("""COMPUTED_VALUE"""),"Teknos")</f>
        <v>Teknos</v>
      </c>
      <c r="B55" s="12" t="b">
        <f>IFERROR(__xludf.DUMMYFUNCTION("""COMPUTED_VALUE"""),FALSE)</f>
        <v>0</v>
      </c>
      <c r="C55" s="137"/>
      <c r="D55" s="214"/>
      <c r="E55" s="214"/>
      <c r="F55" s="214"/>
    </row>
    <row r="56">
      <c r="A56" s="214" t="str">
        <f>IFERROR(__xludf.DUMMYFUNCTION("""COMPUTED_VALUE"""),"Ember")</f>
        <v>Ember</v>
      </c>
      <c r="B56" s="12" t="b">
        <f>IFERROR(__xludf.DUMMYFUNCTION("""COMPUTED_VALUE"""),FALSE)</f>
        <v>0</v>
      </c>
      <c r="C56" s="137"/>
      <c r="D56" s="214"/>
      <c r="E56" s="214"/>
      <c r="F56" s="214"/>
    </row>
    <row r="57">
      <c r="A57" s="214" t="str">
        <f>IFERROR(__xludf.DUMMYFUNCTION("""COMPUTED_VALUE"""),"Buzzkill")</f>
        <v>Buzzkill</v>
      </c>
      <c r="B57" s="12" t="b">
        <f>IFERROR(__xludf.DUMMYFUNCTION("""COMPUTED_VALUE"""),FALSE)</f>
        <v>0</v>
      </c>
      <c r="C57" s="137"/>
      <c r="D57" s="214"/>
      <c r="E57" s="214"/>
      <c r="F57" s="214"/>
    </row>
    <row r="58">
      <c r="A58" s="214"/>
      <c r="B58" s="12"/>
      <c r="C58" s="137"/>
      <c r="D58" s="214"/>
      <c r="E58" s="214"/>
      <c r="F58" s="214"/>
    </row>
    <row r="59">
      <c r="A59" s="214"/>
      <c r="B59" s="12"/>
      <c r="C59" s="137"/>
      <c r="D59" s="214"/>
      <c r="E59" s="214"/>
      <c r="F59" s="214"/>
    </row>
    <row r="60">
      <c r="A60" s="214" t="str">
        <f>IFERROR(__xludf.DUMMYFUNCTION("""COMPUTED_VALUE"""),"GENERAL NOTES")</f>
        <v>GENERAL NOTES</v>
      </c>
      <c r="B60" s="12"/>
      <c r="C60" s="137"/>
      <c r="D60" s="214"/>
      <c r="E60" s="214"/>
      <c r="F60" s="214"/>
    </row>
    <row r="61">
      <c r="A61" s="214" t="str">
        <f>IFERROR(__xludf.DUMMYFUNCTION("""COMPUTED_VALUE"""),"Read runes re: Lorelei sword with Kemma: lightning, mountain, candle (EC)")</f>
        <v>Read runes re: Lorelei sword with Kemma: lightning, mountain, candle (EC)</v>
      </c>
      <c r="B61" s="12"/>
      <c r="C61" s="137"/>
      <c r="D61" s="214"/>
      <c r="E61" s="214"/>
      <c r="F61" s="214"/>
    </row>
    <row r="62">
      <c r="A62" s="214" t="str">
        <f>IFERROR(__xludf.DUMMYFUNCTION("""COMPUTED_VALUE"""),"Very friendly, said they would shout ""Kora"" and run up the hill if they were attacked (CL)")</f>
        <v>Very friendly, said they would shout "Kora" and run up the hill if they were attacked (CL)</v>
      </c>
      <c r="B62" s="12"/>
      <c r="C62" s="137"/>
      <c r="D62" s="214"/>
      <c r="E62" s="214"/>
      <c r="F62" s="214"/>
    </row>
    <row r="63">
      <c r="A63" s="214" t="str">
        <f>IFERROR(__xludf.DUMMYFUNCTION("""COMPUTED_VALUE"""),"They gave Kira nickname ""Shadeslinger."" Kerrick was away and after talking to the traveler, I said ""oh, Kerrick is like a traveler, just really cool!"" (referring to his crown) Hilariously offended, nickname was born. (Kels)")</f>
        <v>They gave Kira nickname "Shadeslinger." Kerrick was away and after talking to the traveler, I said "oh, Kerrick is like a traveler, just really cool!" (referring to his crown) Hilariously offended, nickname was born. (Kels)</v>
      </c>
      <c r="B63" s="12"/>
      <c r="C63" s="137"/>
      <c r="D63" s="214"/>
      <c r="E63" s="214"/>
      <c r="F63" s="214"/>
    </row>
    <row r="64">
      <c r="A64" s="214" t="str">
        <f>IFERROR(__xludf.DUMMYFUNCTION("""COMPUTED_VALUE"""),"Told full party about Golden Note for Samuelson. - Mike S")</f>
        <v>Told full party about Golden Note for Samuelson. - Mike S</v>
      </c>
      <c r="B64" s="12"/>
      <c r="C64" s="137"/>
      <c r="D64" s="214"/>
      <c r="E64" s="214"/>
      <c r="F64" s="214"/>
    </row>
    <row r="65">
      <c r="A65" s="214" t="str">
        <f>IFERROR(__xludf.DUMMYFUNCTION("""COMPUTED_VALUE"""),".Ander #2 restored 2 free hits. Party in good spirits.")</f>
        <v>.Ander #2 restored 2 free hits. Party in good spirits.</v>
      </c>
      <c r="B65" s="12"/>
      <c r="C65" s="137"/>
      <c r="D65" s="214"/>
      <c r="E65" s="214"/>
      <c r="F65" s="214"/>
    </row>
    <row r="66">
      <c r="A66" s="214" t="str">
        <f>IFERROR(__xludf.DUMMYFUNCTION("""COMPUTED_VALUE"""),"Party photo taken -Mirin")</f>
        <v>Party photo taken -Mirin</v>
      </c>
      <c r="B66" s="12"/>
      <c r="C66" s="137"/>
      <c r="D66" s="214"/>
      <c r="E66" s="214"/>
      <c r="F66" s="214"/>
    </row>
    <row r="67">
      <c r="A67" s="214" t="str">
        <f>IFERROR(__xludf.DUMMYFUNCTION("""COMPUTED_VALUE"""),"They think Ember and Shadow might be a thing? -Mirin")</f>
        <v>They think Ember and Shadow might be a thing? -Mirin</v>
      </c>
      <c r="B67" s="12"/>
      <c r="C67" s="137"/>
      <c r="D67" s="214"/>
      <c r="E67" s="214"/>
      <c r="F67" s="214"/>
    </row>
    <row r="68">
      <c r="A68" s="214" t="str">
        <f>IFERROR(__xludf.DUMMYFUNCTION("""COMPUTED_VALUE"""),"They have a beautiful woodblock card print of a drunk sheep, and they write down personal notes or information for us on the back. Very talkative group as a whole. --TR")</f>
        <v>They have a beautiful woodblock card print of a drunk sheep, and they write down personal notes or information for us on the back. Very talkative group as a whole. --TR</v>
      </c>
      <c r="B68" s="12"/>
      <c r="C68" s="137"/>
      <c r="D68" s="214"/>
      <c r="E68" s="214"/>
      <c r="F68" s="214"/>
    </row>
    <row r="69">
      <c r="A69" s="214" t="str">
        <f>IFERROR(__xludf.DUMMYFUNCTION("""COMPUTED_VALUE"""),"They wrote down their story from Tinker Bill's challenge and left us a beautiful card with it all! - DN")</f>
        <v>They wrote down their story from Tinker Bill's challenge and left us a beautiful card with it all! - DN</v>
      </c>
      <c r="B69" s="12"/>
      <c r="C69" s="137"/>
      <c r="D69" s="214"/>
      <c r="E69" s="214"/>
      <c r="F69" s="214"/>
    </row>
    <row r="70">
      <c r="A70" s="214" t="str">
        <f>IFERROR(__xludf.DUMMYFUNCTION("""COMPUTED_VALUE"""),"Had combat training at Valerius house and did well.  Party was having fun.  - Neal, 1pm Sat")</f>
        <v>Had combat training at Valerius house and did well.  Party was having fun.  - Neal, 1pm Sat</v>
      </c>
      <c r="B70" s="12"/>
      <c r="C70" s="137"/>
      <c r="D70" s="214"/>
      <c r="E70" s="214"/>
      <c r="F70" s="214"/>
    </row>
    <row r="71">
      <c r="A71" s="214" t="str">
        <f>IFERROR(__xludf.DUMMYFUNCTION("""COMPUTED_VALUE"""),"Scheduled meeting for 9:45 with reporter from elsewhich - Mike Dion, 2pm Sat")</f>
        <v>Scheduled meeting for 9:45 with reporter from elsewhich - Mike Dion, 2pm Sat</v>
      </c>
      <c r="B71" s="12"/>
      <c r="C71" s="137"/>
      <c r="D71" s="214"/>
      <c r="E71" s="214"/>
      <c r="F71" s="214"/>
    </row>
    <row r="72">
      <c r="A72" s="214" t="str">
        <f>IFERROR(__xludf.DUMMYFUNCTION("""COMPUTED_VALUE"""),"Pretty sure it's a cat, think maybe it's Buzzkill's. -Ab, Sat lunch")</f>
        <v>Pretty sure it's a cat, think maybe it's Buzzkill's. -Ab, Sat lunch</v>
      </c>
      <c r="B72" s="12"/>
      <c r="C72" s="137"/>
      <c r="D72" s="214"/>
      <c r="E72" s="214"/>
      <c r="F72" s="214"/>
    </row>
    <row r="73">
      <c r="A73" s="214" t="str">
        <f>IFERROR(__xludf.DUMMYFUNCTION("""COMPUTED_VALUE"""),"Didn't really ""get it"" when we challenged them to think about their stated value for ""grapes are better as a bunch"" but did a lot of individualism in Mind of a Mad Man. - Kels")</f>
        <v>Didn't really "get it" when we challenged them to think about their stated value for "grapes are better as a bunch" but did a lot of individualism in Mind of a Mad Man. - Kels</v>
      </c>
      <c r="B73" s="12"/>
      <c r="C73" s="137"/>
      <c r="D73" s="214"/>
      <c r="E73" s="214"/>
      <c r="F73" s="214"/>
    </row>
    <row r="74">
      <c r="A74" s="214" t="str">
        <f>IFERROR(__xludf.DUMMYFUNCTION("""COMPUTED_VALUE"""),"Before soul speaking last night the maker said ""Guys do you think Ember is a cat in the same way Bailey is dog?""-TB")</f>
        <v>Before soul speaking last night the maker said "Guys do you think Ember is a cat in the same way Bailey is dog?"-TB</v>
      </c>
      <c r="B74" s="12"/>
      <c r="C74" s="137"/>
      <c r="D74" s="214"/>
      <c r="E74" s="214"/>
      <c r="F74" s="214"/>
    </row>
    <row r="75">
      <c r="A75" s="214"/>
      <c r="B75" s="12"/>
      <c r="C75" s="137"/>
      <c r="D75" s="214"/>
      <c r="E75" s="214"/>
      <c r="F75" s="214"/>
    </row>
    <row r="76">
      <c r="A76" s="214"/>
      <c r="B76" s="12"/>
      <c r="C76" s="137"/>
      <c r="D76" s="214"/>
      <c r="E76" s="214"/>
      <c r="F76" s="214"/>
    </row>
    <row r="77">
      <c r="A77" s="214"/>
      <c r="B77" s="12"/>
      <c r="C77" s="137"/>
      <c r="D77" s="214"/>
      <c r="E77" s="214"/>
      <c r="F77" s="214"/>
    </row>
    <row r="78">
      <c r="A78" s="214"/>
      <c r="B78" s="12"/>
      <c r="C78" s="137"/>
      <c r="D78" s="214"/>
      <c r="E78" s="214"/>
      <c r="F78" s="214"/>
    </row>
    <row r="79">
      <c r="A79" s="214"/>
      <c r="B79" s="12"/>
      <c r="C79" s="137"/>
      <c r="D79" s="214"/>
      <c r="E79" s="214"/>
      <c r="F79" s="214"/>
    </row>
    <row r="80">
      <c r="A80" s="214"/>
      <c r="B80" s="12"/>
      <c r="C80" s="137"/>
      <c r="D80" s="214"/>
      <c r="E80" s="214"/>
      <c r="F80" s="214"/>
    </row>
    <row r="81">
      <c r="A81" s="214"/>
      <c r="B81" s="12"/>
      <c r="C81" s="137"/>
      <c r="D81" s="214"/>
      <c r="E81" s="214"/>
      <c r="F81" s="214"/>
    </row>
    <row r="82">
      <c r="A82" s="214"/>
      <c r="B82" s="12"/>
      <c r="C82" s="137"/>
      <c r="D82" s="214"/>
      <c r="E82" s="214"/>
      <c r="F82" s="214"/>
    </row>
    <row r="83">
      <c r="A83" s="214"/>
      <c r="B83" s="12"/>
      <c r="C83" s="137"/>
      <c r="D83" s="214"/>
      <c r="E83" s="214"/>
      <c r="F83" s="214"/>
    </row>
    <row r="84">
      <c r="A84" s="214"/>
      <c r="B84" s="12"/>
      <c r="C84" s="137"/>
      <c r="D84" s="214"/>
      <c r="E84" s="214"/>
      <c r="F84" s="214"/>
    </row>
    <row r="85">
      <c r="A85" s="214"/>
      <c r="B85" s="12"/>
      <c r="C85" s="137"/>
      <c r="D85" s="214"/>
      <c r="E85" s="214"/>
      <c r="F85" s="214"/>
    </row>
    <row r="86">
      <c r="B86" s="12"/>
      <c r="C86" s="137"/>
    </row>
    <row r="87">
      <c r="B87" s="12"/>
      <c r="C87" s="137"/>
    </row>
    <row r="88">
      <c r="B88" s="12"/>
      <c r="C88" s="137"/>
    </row>
    <row r="89">
      <c r="B89" s="12"/>
      <c r="C89" s="137"/>
    </row>
    <row r="90">
      <c r="B90" s="12"/>
      <c r="C90" s="137"/>
    </row>
    <row r="91">
      <c r="B91" s="12"/>
      <c r="C91" s="137"/>
    </row>
    <row r="92">
      <c r="B92" s="12"/>
      <c r="C92" s="137"/>
    </row>
    <row r="93">
      <c r="B93" s="12"/>
      <c r="C93" s="137"/>
    </row>
    <row r="94">
      <c r="B94" s="12"/>
      <c r="C94" s="137"/>
    </row>
    <row r="95">
      <c r="B95" s="12"/>
      <c r="C95" s="137"/>
    </row>
    <row r="96">
      <c r="B96" s="12"/>
      <c r="C96" s="137"/>
    </row>
    <row r="97">
      <c r="B97" s="12"/>
      <c r="C97" s="137"/>
    </row>
    <row r="98">
      <c r="B98" s="12"/>
      <c r="C98" s="137"/>
    </row>
    <row r="99">
      <c r="B99" s="12"/>
      <c r="C99" s="137"/>
    </row>
    <row r="100">
      <c r="B100" s="12"/>
      <c r="C100" s="137"/>
    </row>
    <row r="101">
      <c r="B101" s="12"/>
      <c r="C101" s="137"/>
    </row>
    <row r="102">
      <c r="B102" s="12"/>
      <c r="C102" s="137"/>
    </row>
    <row r="103">
      <c r="B103" s="12"/>
      <c r="C103" s="137"/>
    </row>
    <row r="104">
      <c r="B104" s="12"/>
      <c r="C104" s="137"/>
    </row>
    <row r="105">
      <c r="B105" s="12"/>
      <c r="C105" s="137"/>
    </row>
    <row r="106">
      <c r="B106" s="12"/>
      <c r="C106" s="137"/>
    </row>
    <row r="107">
      <c r="B107" s="12"/>
      <c r="C107" s="137"/>
    </row>
    <row r="108">
      <c r="B108" s="12"/>
      <c r="C108" s="137"/>
    </row>
    <row r="109">
      <c r="B109" s="12"/>
      <c r="C109" s="137"/>
    </row>
    <row r="110">
      <c r="B110" s="12"/>
      <c r="C110" s="137"/>
    </row>
    <row r="111">
      <c r="B111" s="12"/>
      <c r="C111" s="137"/>
    </row>
    <row r="112">
      <c r="B112" s="12"/>
      <c r="C112" s="137"/>
    </row>
    <row r="113">
      <c r="B113" s="12"/>
      <c r="C113" s="137"/>
    </row>
    <row r="114">
      <c r="B114" s="12"/>
      <c r="C114" s="137"/>
    </row>
    <row r="115">
      <c r="B115" s="12"/>
      <c r="C115" s="137"/>
    </row>
    <row r="116">
      <c r="B116" s="12"/>
      <c r="C116" s="137"/>
    </row>
    <row r="117">
      <c r="B117" s="12"/>
      <c r="C117" s="137"/>
    </row>
    <row r="118">
      <c r="B118" s="12"/>
      <c r="C118" s="137"/>
    </row>
    <row r="119">
      <c r="B119" s="12"/>
      <c r="C119" s="137"/>
    </row>
    <row r="120">
      <c r="B120" s="12"/>
      <c r="C120" s="137"/>
    </row>
    <row r="121">
      <c r="B121" s="12"/>
      <c r="C121" s="137"/>
    </row>
    <row r="122">
      <c r="B122" s="12"/>
      <c r="C122" s="137"/>
    </row>
    <row r="123">
      <c r="B123" s="12"/>
      <c r="C123" s="137"/>
    </row>
    <row r="124">
      <c r="B124" s="12"/>
      <c r="C124" s="137"/>
    </row>
    <row r="125">
      <c r="B125" s="12"/>
      <c r="C125" s="137"/>
    </row>
    <row r="126">
      <c r="B126" s="12"/>
      <c r="C126" s="137"/>
    </row>
    <row r="127">
      <c r="B127" s="12"/>
      <c r="C127" s="137"/>
    </row>
    <row r="128">
      <c r="B128" s="12"/>
      <c r="C128" s="137"/>
    </row>
    <row r="129">
      <c r="B129" s="12"/>
      <c r="C129" s="137"/>
    </row>
    <row r="130">
      <c r="B130" s="12"/>
      <c r="C130" s="137"/>
    </row>
    <row r="131">
      <c r="B131" s="12"/>
      <c r="C131" s="137"/>
    </row>
    <row r="132">
      <c r="B132" s="12"/>
      <c r="C132" s="137"/>
    </row>
    <row r="133">
      <c r="B133" s="12"/>
      <c r="C133" s="137"/>
    </row>
    <row r="134">
      <c r="B134" s="12"/>
      <c r="C134" s="137"/>
    </row>
    <row r="135">
      <c r="B135" s="12"/>
      <c r="C135" s="137"/>
    </row>
    <row r="136">
      <c r="B136" s="12"/>
      <c r="C136" s="137"/>
    </row>
    <row r="137">
      <c r="B137" s="12"/>
      <c r="C137" s="137"/>
    </row>
    <row r="138">
      <c r="B138" s="12"/>
      <c r="C138" s="137"/>
    </row>
    <row r="139">
      <c r="B139" s="12"/>
      <c r="C139" s="137"/>
    </row>
    <row r="140">
      <c r="B140" s="12"/>
      <c r="C140" s="137"/>
    </row>
    <row r="141">
      <c r="B141" s="12"/>
      <c r="C141" s="137"/>
    </row>
    <row r="142">
      <c r="B142" s="12"/>
      <c r="C142" s="137"/>
    </row>
    <row r="143">
      <c r="B143" s="12"/>
      <c r="C143" s="137"/>
    </row>
    <row r="144">
      <c r="B144" s="12"/>
      <c r="C144" s="137"/>
    </row>
    <row r="145">
      <c r="B145" s="12"/>
      <c r="C145" s="137"/>
    </row>
    <row r="146">
      <c r="B146" s="12"/>
      <c r="C146" s="137"/>
    </row>
    <row r="147">
      <c r="B147" s="12"/>
      <c r="C147" s="137"/>
    </row>
    <row r="148">
      <c r="B148" s="12"/>
      <c r="C148" s="137"/>
    </row>
    <row r="149">
      <c r="B149" s="12"/>
      <c r="C149" s="137"/>
    </row>
    <row r="150">
      <c r="B150" s="12"/>
      <c r="C150" s="137"/>
    </row>
    <row r="151">
      <c r="B151" s="12"/>
      <c r="C151" s="137"/>
    </row>
    <row r="152">
      <c r="B152" s="12"/>
      <c r="C152" s="137"/>
    </row>
    <row r="153">
      <c r="B153" s="12"/>
      <c r="C153" s="137"/>
    </row>
    <row r="154">
      <c r="B154" s="12"/>
      <c r="C154" s="137"/>
    </row>
    <row r="155">
      <c r="B155" s="12"/>
      <c r="C155" s="137"/>
    </row>
    <row r="156">
      <c r="B156" s="12"/>
      <c r="C156" s="137"/>
    </row>
    <row r="157">
      <c r="B157" s="12"/>
      <c r="C157" s="137"/>
    </row>
    <row r="158">
      <c r="B158" s="12"/>
      <c r="C158" s="137"/>
    </row>
    <row r="159">
      <c r="B159" s="12"/>
      <c r="C159" s="137"/>
    </row>
    <row r="160">
      <c r="B160" s="12"/>
      <c r="C160" s="137"/>
    </row>
    <row r="161">
      <c r="B161" s="12"/>
      <c r="C161" s="137"/>
    </row>
    <row r="162">
      <c r="B162" s="12"/>
      <c r="C162" s="137"/>
    </row>
    <row r="163">
      <c r="B163" s="12"/>
      <c r="C163" s="137"/>
    </row>
    <row r="164">
      <c r="B164" s="12"/>
      <c r="C164" s="137"/>
    </row>
    <row r="165">
      <c r="B165" s="12"/>
      <c r="C165" s="137"/>
    </row>
    <row r="166">
      <c r="B166" s="12"/>
      <c r="C166" s="137"/>
    </row>
    <row r="167">
      <c r="B167" s="12"/>
      <c r="C167" s="137"/>
    </row>
    <row r="168">
      <c r="B168" s="12"/>
      <c r="C168" s="137"/>
    </row>
    <row r="169">
      <c r="B169" s="12"/>
      <c r="C169" s="137"/>
    </row>
    <row r="170">
      <c r="B170" s="12"/>
      <c r="C170" s="137"/>
    </row>
    <row r="171">
      <c r="B171" s="12"/>
      <c r="C171" s="137"/>
    </row>
    <row r="172">
      <c r="B172" s="12"/>
      <c r="C172" s="137"/>
    </row>
    <row r="173">
      <c r="B173" s="12"/>
      <c r="C173" s="137"/>
    </row>
    <row r="174">
      <c r="B174" s="12"/>
      <c r="C174" s="137"/>
    </row>
    <row r="175">
      <c r="B175" s="12"/>
      <c r="C175" s="137"/>
    </row>
    <row r="176">
      <c r="B176" s="12"/>
      <c r="C176" s="137"/>
    </row>
    <row r="177">
      <c r="B177" s="12"/>
      <c r="C177" s="137"/>
    </row>
    <row r="178">
      <c r="B178" s="12"/>
      <c r="C178" s="137"/>
    </row>
    <row r="179">
      <c r="B179" s="12"/>
      <c r="C179" s="137"/>
    </row>
    <row r="180">
      <c r="B180" s="12"/>
      <c r="C180" s="137"/>
    </row>
    <row r="181">
      <c r="B181" s="12"/>
      <c r="C181" s="137"/>
    </row>
    <row r="182">
      <c r="B182" s="12"/>
      <c r="C182" s="137"/>
    </row>
    <row r="183">
      <c r="B183" s="12"/>
      <c r="C183" s="137"/>
    </row>
    <row r="184">
      <c r="B184" s="12"/>
      <c r="C184" s="137"/>
    </row>
    <row r="185">
      <c r="B185" s="12"/>
      <c r="C185" s="137"/>
    </row>
    <row r="186">
      <c r="B186" s="12"/>
      <c r="C186" s="137"/>
    </row>
    <row r="187">
      <c r="B187" s="12"/>
      <c r="C187" s="137"/>
    </row>
    <row r="188">
      <c r="B188" s="12"/>
      <c r="C188" s="137"/>
    </row>
    <row r="189">
      <c r="B189" s="12"/>
      <c r="C189" s="137"/>
    </row>
    <row r="190">
      <c r="B190" s="12"/>
      <c r="C190" s="137"/>
    </row>
    <row r="191">
      <c r="B191" s="12"/>
      <c r="C191" s="137"/>
    </row>
    <row r="192">
      <c r="B192" s="12"/>
      <c r="C192" s="137"/>
    </row>
    <row r="193">
      <c r="B193" s="12"/>
      <c r="C193" s="137"/>
    </row>
    <row r="194">
      <c r="B194" s="12"/>
      <c r="C194" s="137"/>
    </row>
    <row r="195">
      <c r="B195" s="12"/>
      <c r="C195" s="137"/>
    </row>
    <row r="196">
      <c r="B196" s="12"/>
      <c r="C196" s="137"/>
    </row>
    <row r="197">
      <c r="B197" s="12"/>
      <c r="C197" s="137"/>
    </row>
    <row r="198">
      <c r="B198" s="12"/>
      <c r="C198" s="137"/>
    </row>
    <row r="199">
      <c r="B199" s="12"/>
      <c r="C199" s="137"/>
    </row>
    <row r="200">
      <c r="B200" s="12"/>
      <c r="C200" s="137"/>
    </row>
    <row r="201">
      <c r="B201" s="12"/>
      <c r="C201" s="137"/>
    </row>
    <row r="202">
      <c r="B202" s="12"/>
      <c r="C202" s="137"/>
    </row>
    <row r="203">
      <c r="B203" s="12"/>
      <c r="C203" s="137"/>
    </row>
    <row r="204">
      <c r="B204" s="12"/>
      <c r="C204" s="137"/>
    </row>
    <row r="205">
      <c r="B205" s="12"/>
      <c r="C205" s="137"/>
    </row>
    <row r="206">
      <c r="B206" s="12"/>
      <c r="C206" s="137"/>
    </row>
    <row r="207">
      <c r="B207" s="12"/>
      <c r="C207" s="137"/>
    </row>
    <row r="208">
      <c r="B208" s="12"/>
      <c r="C208" s="137"/>
    </row>
    <row r="209">
      <c r="B209" s="12"/>
      <c r="C209" s="137"/>
    </row>
    <row r="210">
      <c r="B210" s="12"/>
      <c r="C210" s="137"/>
    </row>
    <row r="211">
      <c r="B211" s="12"/>
      <c r="C211" s="137"/>
    </row>
    <row r="212">
      <c r="B212" s="12"/>
      <c r="C212" s="137"/>
    </row>
    <row r="213">
      <c r="B213" s="12"/>
      <c r="C213" s="137"/>
    </row>
    <row r="214">
      <c r="B214" s="12"/>
      <c r="C214" s="137"/>
    </row>
    <row r="215">
      <c r="B215" s="12"/>
      <c r="C215" s="137"/>
    </row>
    <row r="216">
      <c r="B216" s="12"/>
      <c r="C216" s="137"/>
    </row>
    <row r="217">
      <c r="B217" s="12"/>
      <c r="C217" s="137"/>
    </row>
    <row r="218">
      <c r="B218" s="12"/>
      <c r="C218" s="137"/>
    </row>
    <row r="219">
      <c r="B219" s="12"/>
      <c r="C219" s="137"/>
    </row>
    <row r="220">
      <c r="B220" s="12"/>
      <c r="C220" s="137"/>
    </row>
    <row r="221">
      <c r="B221" s="12"/>
      <c r="C221" s="137"/>
    </row>
    <row r="222">
      <c r="B222" s="12"/>
      <c r="C222" s="137"/>
    </row>
    <row r="223">
      <c r="B223" s="12"/>
      <c r="C223" s="137"/>
    </row>
    <row r="224">
      <c r="B224" s="12"/>
      <c r="C224" s="137"/>
    </row>
    <row r="225">
      <c r="B225" s="12"/>
      <c r="C225" s="137"/>
    </row>
    <row r="226">
      <c r="B226" s="12"/>
      <c r="C226" s="137"/>
    </row>
    <row r="227">
      <c r="B227" s="12"/>
      <c r="C227" s="137"/>
    </row>
    <row r="228">
      <c r="B228" s="12"/>
      <c r="C228" s="137"/>
    </row>
    <row r="229">
      <c r="B229" s="12"/>
      <c r="C229" s="137"/>
    </row>
    <row r="230">
      <c r="B230" s="12"/>
      <c r="C230" s="137"/>
    </row>
    <row r="231">
      <c r="B231" s="12"/>
      <c r="C231" s="137"/>
    </row>
    <row r="232">
      <c r="B232" s="12"/>
      <c r="C232" s="137"/>
    </row>
    <row r="233">
      <c r="B233" s="12"/>
      <c r="C233" s="137"/>
    </row>
    <row r="234">
      <c r="B234" s="12"/>
      <c r="C234" s="137"/>
    </row>
    <row r="235">
      <c r="B235" s="12"/>
      <c r="C235" s="137"/>
    </row>
    <row r="236">
      <c r="B236" s="12"/>
      <c r="C236" s="137"/>
    </row>
    <row r="237">
      <c r="B237" s="12"/>
      <c r="C237" s="137"/>
    </row>
    <row r="238">
      <c r="B238" s="12"/>
      <c r="C238" s="137"/>
    </row>
    <row r="239">
      <c r="B239" s="12"/>
      <c r="C239" s="137"/>
    </row>
    <row r="240">
      <c r="B240" s="12"/>
      <c r="C240" s="137"/>
    </row>
    <row r="241">
      <c r="B241" s="12"/>
      <c r="C241" s="137"/>
    </row>
    <row r="242">
      <c r="B242" s="12"/>
      <c r="C242" s="137"/>
    </row>
    <row r="243">
      <c r="B243" s="12"/>
      <c r="C243" s="137"/>
    </row>
    <row r="244">
      <c r="B244" s="12"/>
      <c r="C244" s="137"/>
    </row>
    <row r="245">
      <c r="B245" s="12"/>
      <c r="C245" s="137"/>
    </row>
    <row r="246">
      <c r="B246" s="12"/>
      <c r="C246" s="137"/>
    </row>
    <row r="247">
      <c r="B247" s="12"/>
      <c r="C247" s="137"/>
    </row>
    <row r="248">
      <c r="B248" s="12"/>
      <c r="C248" s="137"/>
    </row>
    <row r="249">
      <c r="B249" s="12"/>
      <c r="C249" s="137"/>
    </row>
    <row r="250">
      <c r="B250" s="12"/>
      <c r="C250" s="137"/>
    </row>
    <row r="251">
      <c r="B251" s="12"/>
      <c r="C251" s="137"/>
    </row>
    <row r="252">
      <c r="B252" s="12"/>
      <c r="C252" s="137"/>
    </row>
    <row r="253">
      <c r="B253" s="12"/>
      <c r="C253" s="137"/>
    </row>
    <row r="254">
      <c r="B254" s="12"/>
      <c r="C254" s="137"/>
    </row>
    <row r="255">
      <c r="B255" s="12"/>
      <c r="C255" s="137"/>
    </row>
    <row r="256">
      <c r="B256" s="12"/>
      <c r="C256" s="137"/>
    </row>
    <row r="257">
      <c r="B257" s="12"/>
      <c r="C257" s="137"/>
    </row>
    <row r="258">
      <c r="B258" s="12"/>
      <c r="C258" s="137"/>
    </row>
    <row r="259">
      <c r="B259" s="12"/>
      <c r="C259" s="137"/>
    </row>
    <row r="260">
      <c r="B260" s="12"/>
      <c r="C260" s="137"/>
    </row>
    <row r="261">
      <c r="B261" s="12"/>
      <c r="C261" s="137"/>
    </row>
    <row r="262">
      <c r="B262" s="12"/>
      <c r="C262" s="137"/>
    </row>
    <row r="263">
      <c r="B263" s="12"/>
      <c r="C263" s="137"/>
    </row>
    <row r="264">
      <c r="B264" s="12"/>
      <c r="C264" s="137"/>
    </row>
    <row r="265">
      <c r="B265" s="12"/>
      <c r="C265" s="137"/>
    </row>
    <row r="266">
      <c r="B266" s="12"/>
      <c r="C266" s="137"/>
    </row>
    <row r="267">
      <c r="B267" s="12"/>
      <c r="C267" s="137"/>
    </row>
    <row r="268">
      <c r="B268" s="12"/>
      <c r="C268" s="137"/>
    </row>
    <row r="269">
      <c r="B269" s="12"/>
      <c r="C269" s="137"/>
    </row>
    <row r="270">
      <c r="B270" s="12"/>
      <c r="C270" s="137"/>
    </row>
    <row r="271">
      <c r="B271" s="12"/>
      <c r="C271" s="137"/>
    </row>
    <row r="272">
      <c r="B272" s="12"/>
      <c r="C272" s="137"/>
    </row>
    <row r="273">
      <c r="B273" s="12"/>
      <c r="C273" s="137"/>
    </row>
    <row r="274">
      <c r="B274" s="12"/>
      <c r="C274" s="137"/>
    </row>
    <row r="275">
      <c r="B275" s="12"/>
      <c r="C275" s="137"/>
    </row>
    <row r="276">
      <c r="B276" s="12"/>
      <c r="C276" s="137"/>
    </row>
    <row r="277">
      <c r="B277" s="12"/>
      <c r="C277" s="137"/>
    </row>
    <row r="278">
      <c r="B278" s="12"/>
      <c r="C278" s="137"/>
    </row>
    <row r="279">
      <c r="B279" s="12"/>
      <c r="C279" s="137"/>
    </row>
    <row r="280">
      <c r="B280" s="12"/>
      <c r="C280" s="137"/>
    </row>
    <row r="281">
      <c r="B281" s="12"/>
      <c r="C281" s="137"/>
    </row>
    <row r="282">
      <c r="B282" s="12"/>
      <c r="C282" s="137"/>
    </row>
    <row r="283">
      <c r="B283" s="12"/>
      <c r="C283" s="137"/>
    </row>
    <row r="284">
      <c r="B284" s="12"/>
      <c r="C284" s="137"/>
    </row>
    <row r="285">
      <c r="B285" s="12"/>
      <c r="C285" s="137"/>
    </row>
    <row r="286">
      <c r="B286" s="12"/>
      <c r="C286" s="137"/>
    </row>
    <row r="287">
      <c r="B287" s="12"/>
      <c r="C287" s="137"/>
    </row>
    <row r="288">
      <c r="B288" s="12"/>
      <c r="C288" s="137"/>
    </row>
    <row r="289">
      <c r="B289" s="12"/>
      <c r="C289" s="137"/>
    </row>
    <row r="290">
      <c r="B290" s="12"/>
      <c r="C290" s="137"/>
    </row>
    <row r="291">
      <c r="B291" s="12"/>
      <c r="C291" s="137"/>
    </row>
    <row r="292">
      <c r="B292" s="12"/>
      <c r="C292" s="137"/>
    </row>
    <row r="293">
      <c r="B293" s="12"/>
      <c r="C293" s="137"/>
    </row>
    <row r="294">
      <c r="B294" s="12"/>
      <c r="C294" s="137"/>
    </row>
    <row r="295">
      <c r="B295" s="12"/>
      <c r="C295" s="137"/>
    </row>
    <row r="296">
      <c r="B296" s="12"/>
      <c r="C296" s="137"/>
    </row>
    <row r="297">
      <c r="B297" s="12"/>
      <c r="C297" s="137"/>
    </row>
    <row r="298">
      <c r="B298" s="12"/>
      <c r="C298" s="137"/>
    </row>
    <row r="299">
      <c r="B299" s="12"/>
      <c r="C299" s="137"/>
    </row>
    <row r="300">
      <c r="B300" s="12"/>
      <c r="C300" s="137"/>
    </row>
    <row r="301">
      <c r="B301" s="12"/>
      <c r="C301" s="137"/>
    </row>
    <row r="302">
      <c r="B302" s="12"/>
      <c r="C302" s="137"/>
    </row>
    <row r="303">
      <c r="B303" s="12"/>
      <c r="C303" s="137"/>
    </row>
    <row r="304">
      <c r="B304" s="12"/>
      <c r="C304" s="137"/>
    </row>
    <row r="305">
      <c r="B305" s="12"/>
      <c r="C305" s="137"/>
    </row>
    <row r="306">
      <c r="B306" s="12"/>
      <c r="C306" s="137"/>
    </row>
    <row r="307">
      <c r="B307" s="12"/>
      <c r="C307" s="137"/>
    </row>
    <row r="308">
      <c r="B308" s="12"/>
      <c r="C308" s="137"/>
    </row>
    <row r="309">
      <c r="B309" s="12"/>
      <c r="C309" s="137"/>
    </row>
    <row r="310">
      <c r="B310" s="12"/>
      <c r="C310" s="137"/>
    </row>
    <row r="311">
      <c r="B311" s="12"/>
      <c r="C311" s="137"/>
    </row>
    <row r="312">
      <c r="B312" s="12"/>
      <c r="C312" s="137"/>
    </row>
    <row r="313">
      <c r="B313" s="12"/>
      <c r="C313" s="137"/>
    </row>
    <row r="314">
      <c r="B314" s="12"/>
      <c r="C314" s="137"/>
    </row>
    <row r="315">
      <c r="B315" s="12"/>
      <c r="C315" s="137"/>
    </row>
    <row r="316">
      <c r="B316" s="12"/>
      <c r="C316" s="137"/>
    </row>
    <row r="317">
      <c r="B317" s="12"/>
      <c r="C317" s="137"/>
    </row>
    <row r="318">
      <c r="B318" s="12"/>
      <c r="C318" s="137"/>
    </row>
    <row r="319">
      <c r="B319" s="12"/>
      <c r="C319" s="137"/>
    </row>
    <row r="320">
      <c r="B320" s="12"/>
      <c r="C320" s="137"/>
    </row>
    <row r="321">
      <c r="B321" s="12"/>
      <c r="C321" s="137"/>
    </row>
    <row r="322">
      <c r="B322" s="12"/>
      <c r="C322" s="137"/>
    </row>
    <row r="323">
      <c r="B323" s="12"/>
      <c r="C323" s="137"/>
    </row>
    <row r="324">
      <c r="B324" s="12"/>
      <c r="C324" s="137"/>
    </row>
    <row r="325">
      <c r="B325" s="12"/>
      <c r="C325" s="137"/>
    </row>
    <row r="326">
      <c r="B326" s="12"/>
      <c r="C326" s="137"/>
    </row>
    <row r="327">
      <c r="B327" s="12"/>
      <c r="C327" s="137"/>
    </row>
    <row r="328">
      <c r="B328" s="12"/>
      <c r="C328" s="137"/>
    </row>
    <row r="329">
      <c r="B329" s="12"/>
      <c r="C329" s="137"/>
    </row>
    <row r="330">
      <c r="B330" s="12"/>
      <c r="C330" s="137"/>
    </row>
    <row r="331">
      <c r="B331" s="12"/>
      <c r="C331" s="137"/>
    </row>
    <row r="332">
      <c r="B332" s="12"/>
      <c r="C332" s="137"/>
    </row>
    <row r="333">
      <c r="B333" s="12"/>
      <c r="C333" s="137"/>
    </row>
    <row r="334">
      <c r="B334" s="12"/>
      <c r="C334" s="137"/>
    </row>
    <row r="335">
      <c r="B335" s="12"/>
      <c r="C335" s="137"/>
    </row>
    <row r="336">
      <c r="B336" s="12"/>
      <c r="C336" s="137"/>
    </row>
    <row r="337">
      <c r="B337" s="12"/>
      <c r="C337" s="137"/>
    </row>
    <row r="338">
      <c r="B338" s="12"/>
      <c r="C338" s="137"/>
    </row>
    <row r="339">
      <c r="B339" s="12"/>
      <c r="C339" s="137"/>
    </row>
    <row r="340">
      <c r="B340" s="12"/>
      <c r="C340" s="137"/>
    </row>
    <row r="341">
      <c r="B341" s="12"/>
      <c r="C341" s="137"/>
    </row>
    <row r="342">
      <c r="B342" s="12"/>
      <c r="C342" s="137"/>
    </row>
    <row r="343">
      <c r="B343" s="12"/>
      <c r="C343" s="137"/>
    </row>
    <row r="344">
      <c r="B344" s="12"/>
      <c r="C344" s="137"/>
    </row>
    <row r="345">
      <c r="B345" s="12"/>
      <c r="C345" s="137"/>
    </row>
    <row r="346">
      <c r="B346" s="12"/>
      <c r="C346" s="137"/>
    </row>
    <row r="347">
      <c r="B347" s="12"/>
      <c r="C347" s="137"/>
    </row>
    <row r="348">
      <c r="B348" s="12"/>
      <c r="C348" s="137"/>
    </row>
    <row r="349">
      <c r="B349" s="12"/>
      <c r="C349" s="137"/>
    </row>
    <row r="350">
      <c r="B350" s="12"/>
      <c r="C350" s="137"/>
    </row>
    <row r="351">
      <c r="B351" s="12"/>
      <c r="C351" s="137"/>
    </row>
    <row r="352">
      <c r="B352" s="12"/>
      <c r="C352" s="137"/>
    </row>
    <row r="353">
      <c r="B353" s="12"/>
      <c r="C353" s="137"/>
    </row>
    <row r="354">
      <c r="B354" s="12"/>
      <c r="C354" s="137"/>
    </row>
    <row r="355">
      <c r="B355" s="12"/>
      <c r="C355" s="137"/>
    </row>
    <row r="356">
      <c r="B356" s="12"/>
      <c r="C356" s="137"/>
    </row>
    <row r="357">
      <c r="B357" s="12"/>
      <c r="C357" s="137"/>
    </row>
    <row r="358">
      <c r="B358" s="12"/>
      <c r="C358" s="137"/>
    </row>
    <row r="359">
      <c r="B359" s="12"/>
      <c r="C359" s="137"/>
    </row>
    <row r="360">
      <c r="B360" s="12"/>
      <c r="C360" s="137"/>
    </row>
    <row r="361">
      <c r="B361" s="12"/>
      <c r="C361" s="137"/>
    </row>
    <row r="362">
      <c r="B362" s="12"/>
      <c r="C362" s="137"/>
    </row>
    <row r="363">
      <c r="B363" s="12"/>
      <c r="C363" s="137"/>
    </row>
    <row r="364">
      <c r="B364" s="12"/>
      <c r="C364" s="137"/>
    </row>
    <row r="365">
      <c r="B365" s="12"/>
      <c r="C365" s="137"/>
    </row>
    <row r="366">
      <c r="B366" s="12"/>
      <c r="C366" s="137"/>
    </row>
    <row r="367">
      <c r="B367" s="12"/>
      <c r="C367" s="137"/>
    </row>
    <row r="368">
      <c r="B368" s="12"/>
      <c r="C368" s="137"/>
    </row>
    <row r="369">
      <c r="B369" s="12"/>
      <c r="C369" s="137"/>
    </row>
    <row r="370">
      <c r="B370" s="12"/>
      <c r="C370" s="137"/>
    </row>
    <row r="371">
      <c r="B371" s="12"/>
      <c r="C371" s="137"/>
    </row>
    <row r="372">
      <c r="B372" s="12"/>
      <c r="C372" s="137"/>
    </row>
    <row r="373">
      <c r="B373" s="12"/>
      <c r="C373" s="137"/>
    </row>
    <row r="374">
      <c r="B374" s="12"/>
      <c r="C374" s="137"/>
    </row>
    <row r="375">
      <c r="B375" s="12"/>
      <c r="C375" s="137"/>
    </row>
    <row r="376">
      <c r="B376" s="12"/>
      <c r="C376" s="137"/>
    </row>
    <row r="377">
      <c r="B377" s="12"/>
      <c r="C377" s="137"/>
    </row>
    <row r="378">
      <c r="B378" s="12"/>
      <c r="C378" s="137"/>
    </row>
    <row r="379">
      <c r="B379" s="12"/>
      <c r="C379" s="137"/>
    </row>
    <row r="380">
      <c r="B380" s="12"/>
      <c r="C380" s="137"/>
    </row>
    <row r="381">
      <c r="B381" s="12"/>
      <c r="C381" s="137"/>
    </row>
    <row r="382">
      <c r="B382" s="12"/>
      <c r="C382" s="137"/>
    </row>
    <row r="383">
      <c r="B383" s="12"/>
      <c r="C383" s="137"/>
    </row>
    <row r="384">
      <c r="B384" s="12"/>
      <c r="C384" s="137"/>
    </row>
    <row r="385">
      <c r="B385" s="12"/>
      <c r="C385" s="137"/>
    </row>
    <row r="386">
      <c r="B386" s="12"/>
      <c r="C386" s="137"/>
    </row>
    <row r="387">
      <c r="B387" s="12"/>
      <c r="C387" s="137"/>
    </row>
    <row r="388">
      <c r="B388" s="12"/>
      <c r="C388" s="137"/>
    </row>
    <row r="389">
      <c r="B389" s="12"/>
      <c r="C389" s="137"/>
    </row>
    <row r="390">
      <c r="B390" s="12"/>
      <c r="C390" s="137"/>
    </row>
    <row r="391">
      <c r="B391" s="12"/>
      <c r="C391" s="137"/>
    </row>
    <row r="392">
      <c r="B392" s="12"/>
      <c r="C392" s="137"/>
    </row>
    <row r="393">
      <c r="B393" s="12"/>
      <c r="C393" s="137"/>
    </row>
    <row r="394">
      <c r="B394" s="12"/>
      <c r="C394" s="137"/>
    </row>
    <row r="395">
      <c r="B395" s="12"/>
      <c r="C395" s="137"/>
    </row>
    <row r="396">
      <c r="B396" s="12"/>
      <c r="C396" s="137"/>
    </row>
    <row r="397">
      <c r="B397" s="12"/>
      <c r="C397" s="137"/>
    </row>
    <row r="398">
      <c r="B398" s="12"/>
      <c r="C398" s="137"/>
    </row>
    <row r="399">
      <c r="B399" s="12"/>
      <c r="C399" s="137"/>
    </row>
    <row r="400">
      <c r="B400" s="12"/>
      <c r="C400" s="137"/>
    </row>
    <row r="401">
      <c r="B401" s="12"/>
      <c r="C401" s="137"/>
    </row>
    <row r="402">
      <c r="B402" s="12"/>
      <c r="C402" s="137"/>
    </row>
    <row r="403">
      <c r="B403" s="12"/>
      <c r="C403" s="137"/>
    </row>
    <row r="404">
      <c r="B404" s="12"/>
      <c r="C404" s="137"/>
    </row>
    <row r="405">
      <c r="B405" s="12"/>
      <c r="C405" s="137"/>
    </row>
    <row r="406">
      <c r="B406" s="12"/>
      <c r="C406" s="137"/>
    </row>
    <row r="407">
      <c r="B407" s="12"/>
      <c r="C407" s="137"/>
    </row>
    <row r="408">
      <c r="B408" s="12"/>
      <c r="C408" s="137"/>
    </row>
    <row r="409">
      <c r="B409" s="12"/>
      <c r="C409" s="137"/>
    </row>
    <row r="410">
      <c r="B410" s="12"/>
      <c r="C410" s="137"/>
    </row>
    <row r="411">
      <c r="B411" s="12"/>
      <c r="C411" s="137"/>
    </row>
    <row r="412">
      <c r="B412" s="12"/>
      <c r="C412" s="137"/>
    </row>
    <row r="413">
      <c r="B413" s="12"/>
      <c r="C413" s="137"/>
    </row>
    <row r="414">
      <c r="B414" s="12"/>
      <c r="C414" s="137"/>
    </row>
    <row r="415">
      <c r="B415" s="12"/>
      <c r="C415" s="137"/>
    </row>
    <row r="416">
      <c r="B416" s="12"/>
      <c r="C416" s="137"/>
    </row>
    <row r="417">
      <c r="B417" s="12"/>
      <c r="C417" s="137"/>
    </row>
    <row r="418">
      <c r="B418" s="12"/>
      <c r="C418" s="137"/>
    </row>
    <row r="419">
      <c r="B419" s="12"/>
      <c r="C419" s="137"/>
    </row>
    <row r="420">
      <c r="B420" s="12"/>
      <c r="C420" s="137"/>
    </row>
    <row r="421">
      <c r="B421" s="12"/>
      <c r="C421" s="137"/>
    </row>
    <row r="422">
      <c r="B422" s="12"/>
      <c r="C422" s="137"/>
    </row>
    <row r="423">
      <c r="B423" s="12"/>
      <c r="C423" s="137"/>
    </row>
    <row r="424">
      <c r="B424" s="12"/>
      <c r="C424" s="137"/>
    </row>
    <row r="425">
      <c r="B425" s="12"/>
      <c r="C425" s="137"/>
    </row>
    <row r="426">
      <c r="B426" s="12"/>
      <c r="C426" s="137"/>
    </row>
    <row r="427">
      <c r="B427" s="12"/>
      <c r="C427" s="137"/>
    </row>
    <row r="428">
      <c r="B428" s="12"/>
      <c r="C428" s="137"/>
    </row>
    <row r="429">
      <c r="B429" s="12"/>
      <c r="C429" s="137"/>
    </row>
    <row r="430">
      <c r="B430" s="12"/>
      <c r="C430" s="137"/>
    </row>
    <row r="431">
      <c r="B431" s="12"/>
      <c r="C431" s="137"/>
    </row>
    <row r="432">
      <c r="B432" s="12"/>
      <c r="C432" s="137"/>
    </row>
    <row r="433">
      <c r="B433" s="12"/>
      <c r="C433" s="137"/>
    </row>
    <row r="434">
      <c r="B434" s="12"/>
      <c r="C434" s="137"/>
    </row>
    <row r="435">
      <c r="B435" s="12"/>
      <c r="C435" s="137"/>
    </row>
    <row r="436">
      <c r="B436" s="12"/>
      <c r="C436" s="137"/>
    </row>
    <row r="437">
      <c r="B437" s="12"/>
      <c r="C437" s="137"/>
    </row>
    <row r="438">
      <c r="B438" s="12"/>
      <c r="C438" s="137"/>
    </row>
    <row r="439">
      <c r="B439" s="12"/>
      <c r="C439" s="137"/>
    </row>
    <row r="440">
      <c r="B440" s="12"/>
      <c r="C440" s="137"/>
    </row>
    <row r="441">
      <c r="B441" s="12"/>
      <c r="C441" s="137"/>
    </row>
    <row r="442">
      <c r="B442" s="12"/>
      <c r="C442" s="137"/>
    </row>
    <row r="443">
      <c r="B443" s="12"/>
      <c r="C443" s="137"/>
    </row>
    <row r="444">
      <c r="B444" s="12"/>
      <c r="C444" s="137"/>
    </row>
    <row r="445">
      <c r="B445" s="12"/>
      <c r="C445" s="137"/>
    </row>
    <row r="446">
      <c r="B446" s="12"/>
      <c r="C446" s="137"/>
    </row>
    <row r="447">
      <c r="B447" s="12"/>
      <c r="C447" s="137"/>
    </row>
    <row r="448">
      <c r="B448" s="12"/>
      <c r="C448" s="137"/>
    </row>
    <row r="449">
      <c r="B449" s="12"/>
      <c r="C449" s="137"/>
    </row>
    <row r="450">
      <c r="B450" s="12"/>
      <c r="C450" s="137"/>
    </row>
    <row r="451">
      <c r="B451" s="12"/>
      <c r="C451" s="137"/>
    </row>
    <row r="452">
      <c r="B452" s="12"/>
      <c r="C452" s="137"/>
    </row>
    <row r="453">
      <c r="B453" s="12"/>
      <c r="C453" s="137"/>
    </row>
    <row r="454">
      <c r="B454" s="12"/>
      <c r="C454" s="137"/>
    </row>
    <row r="455">
      <c r="B455" s="12"/>
      <c r="C455" s="137"/>
    </row>
    <row r="456">
      <c r="B456" s="12"/>
      <c r="C456" s="137"/>
    </row>
    <row r="457">
      <c r="B457" s="12"/>
      <c r="C457" s="137"/>
    </row>
    <row r="458">
      <c r="B458" s="12"/>
      <c r="C458" s="137"/>
    </row>
    <row r="459">
      <c r="B459" s="12"/>
      <c r="C459" s="137"/>
    </row>
    <row r="460">
      <c r="B460" s="12"/>
      <c r="C460" s="137"/>
    </row>
    <row r="461">
      <c r="B461" s="12"/>
      <c r="C461" s="137"/>
    </row>
    <row r="462">
      <c r="B462" s="12"/>
      <c r="C462" s="137"/>
    </row>
    <row r="463">
      <c r="B463" s="12"/>
      <c r="C463" s="137"/>
    </row>
    <row r="464">
      <c r="B464" s="12"/>
      <c r="C464" s="137"/>
    </row>
    <row r="465">
      <c r="B465" s="12"/>
      <c r="C465" s="137"/>
    </row>
    <row r="466">
      <c r="B466" s="12"/>
      <c r="C466" s="137"/>
    </row>
    <row r="467">
      <c r="B467" s="12"/>
      <c r="C467" s="137"/>
    </row>
    <row r="468">
      <c r="B468" s="12"/>
      <c r="C468" s="137"/>
    </row>
    <row r="469">
      <c r="B469" s="12"/>
      <c r="C469" s="137"/>
    </row>
    <row r="470">
      <c r="B470" s="12"/>
      <c r="C470" s="137"/>
    </row>
    <row r="471">
      <c r="B471" s="12"/>
      <c r="C471" s="137"/>
    </row>
    <row r="472">
      <c r="B472" s="12"/>
      <c r="C472" s="137"/>
    </row>
    <row r="473">
      <c r="B473" s="12"/>
      <c r="C473" s="137"/>
    </row>
    <row r="474">
      <c r="B474" s="12"/>
      <c r="C474" s="137"/>
    </row>
    <row r="475">
      <c r="B475" s="12"/>
      <c r="C475" s="137"/>
    </row>
    <row r="476">
      <c r="B476" s="12"/>
      <c r="C476" s="137"/>
    </row>
    <row r="477">
      <c r="B477" s="12"/>
      <c r="C477" s="137"/>
    </row>
    <row r="478">
      <c r="B478" s="12"/>
      <c r="C478" s="137"/>
    </row>
    <row r="479">
      <c r="B479" s="12"/>
      <c r="C479" s="137"/>
    </row>
    <row r="480">
      <c r="B480" s="12"/>
      <c r="C480" s="137"/>
    </row>
    <row r="481">
      <c r="B481" s="12"/>
      <c r="C481" s="137"/>
    </row>
    <row r="482">
      <c r="B482" s="12"/>
      <c r="C482" s="137"/>
    </row>
    <row r="483">
      <c r="B483" s="12"/>
      <c r="C483" s="137"/>
    </row>
    <row r="484">
      <c r="B484" s="12"/>
      <c r="C484" s="137"/>
    </row>
    <row r="485">
      <c r="B485" s="12"/>
      <c r="C485" s="137"/>
    </row>
    <row r="486">
      <c r="B486" s="12"/>
      <c r="C486" s="137"/>
    </row>
    <row r="487">
      <c r="B487" s="12"/>
      <c r="C487" s="137"/>
    </row>
    <row r="488">
      <c r="B488" s="12"/>
      <c r="C488" s="137"/>
    </row>
    <row r="489">
      <c r="B489" s="12"/>
      <c r="C489" s="137"/>
    </row>
    <row r="490">
      <c r="B490" s="12"/>
      <c r="C490" s="137"/>
    </row>
    <row r="491">
      <c r="B491" s="12"/>
      <c r="C491" s="137"/>
    </row>
    <row r="492">
      <c r="B492" s="12"/>
      <c r="C492" s="137"/>
    </row>
    <row r="493">
      <c r="B493" s="12"/>
      <c r="C493" s="137"/>
    </row>
    <row r="494">
      <c r="B494" s="12"/>
      <c r="C494" s="137"/>
    </row>
    <row r="495">
      <c r="B495" s="12"/>
      <c r="C495" s="137"/>
    </row>
    <row r="496">
      <c r="B496" s="12"/>
      <c r="C496" s="137"/>
    </row>
    <row r="497">
      <c r="B497" s="12"/>
      <c r="C497" s="137"/>
    </row>
    <row r="498">
      <c r="B498" s="12"/>
      <c r="C498" s="137"/>
    </row>
    <row r="499">
      <c r="B499" s="12"/>
      <c r="C499" s="137"/>
    </row>
    <row r="500">
      <c r="B500" s="12"/>
      <c r="C500" s="137"/>
    </row>
    <row r="501">
      <c r="B501" s="12"/>
      <c r="C501" s="137"/>
    </row>
    <row r="502">
      <c r="B502" s="12"/>
      <c r="C502" s="137"/>
    </row>
    <row r="503">
      <c r="B503" s="12"/>
      <c r="C503" s="137"/>
    </row>
    <row r="504">
      <c r="B504" s="12"/>
      <c r="C504" s="137"/>
    </row>
    <row r="505">
      <c r="B505" s="12"/>
      <c r="C505" s="137"/>
    </row>
    <row r="506">
      <c r="B506" s="12"/>
      <c r="C506" s="137"/>
    </row>
    <row r="507">
      <c r="B507" s="12"/>
      <c r="C507" s="137"/>
    </row>
    <row r="508">
      <c r="B508" s="12"/>
      <c r="C508" s="137"/>
    </row>
    <row r="509">
      <c r="B509" s="12"/>
      <c r="C509" s="137"/>
    </row>
    <row r="510">
      <c r="B510" s="12"/>
      <c r="C510" s="137"/>
    </row>
    <row r="511">
      <c r="B511" s="12"/>
      <c r="C511" s="137"/>
    </row>
    <row r="512">
      <c r="B512" s="12"/>
      <c r="C512" s="137"/>
    </row>
    <row r="513">
      <c r="B513" s="12"/>
      <c r="C513" s="137"/>
    </row>
    <row r="514">
      <c r="B514" s="12"/>
      <c r="C514" s="137"/>
    </row>
    <row r="515">
      <c r="B515" s="12"/>
      <c r="C515" s="137"/>
    </row>
    <row r="516">
      <c r="B516" s="12"/>
      <c r="C516" s="137"/>
    </row>
    <row r="517">
      <c r="B517" s="12"/>
      <c r="C517" s="137"/>
    </row>
    <row r="518">
      <c r="B518" s="12"/>
      <c r="C518" s="137"/>
    </row>
    <row r="519">
      <c r="B519" s="12"/>
      <c r="C519" s="137"/>
    </row>
    <row r="520">
      <c r="B520" s="12"/>
      <c r="C520" s="137"/>
    </row>
    <row r="521">
      <c r="B521" s="12"/>
      <c r="C521" s="137"/>
    </row>
    <row r="522">
      <c r="B522" s="12"/>
      <c r="C522" s="137"/>
    </row>
    <row r="523">
      <c r="B523" s="12"/>
      <c r="C523" s="137"/>
    </row>
    <row r="524">
      <c r="B524" s="12"/>
      <c r="C524" s="137"/>
    </row>
    <row r="525">
      <c r="B525" s="12"/>
      <c r="C525" s="137"/>
    </row>
    <row r="526">
      <c r="B526" s="12"/>
      <c r="C526" s="137"/>
    </row>
    <row r="527">
      <c r="B527" s="12"/>
      <c r="C527" s="137"/>
    </row>
    <row r="528">
      <c r="B528" s="12"/>
      <c r="C528" s="137"/>
    </row>
    <row r="529">
      <c r="B529" s="12"/>
      <c r="C529" s="137"/>
    </row>
    <row r="530">
      <c r="B530" s="12"/>
      <c r="C530" s="137"/>
    </row>
    <row r="531">
      <c r="B531" s="12"/>
      <c r="C531" s="137"/>
    </row>
    <row r="532">
      <c r="B532" s="12"/>
      <c r="C532" s="137"/>
    </row>
    <row r="533">
      <c r="B533" s="12"/>
      <c r="C533" s="137"/>
    </row>
    <row r="534">
      <c r="B534" s="12"/>
      <c r="C534" s="137"/>
    </row>
    <row r="535">
      <c r="B535" s="12"/>
      <c r="C535" s="137"/>
    </row>
    <row r="536">
      <c r="B536" s="12"/>
      <c r="C536" s="137"/>
    </row>
    <row r="537">
      <c r="B537" s="12"/>
      <c r="C537" s="137"/>
    </row>
    <row r="538">
      <c r="B538" s="12"/>
      <c r="C538" s="137"/>
    </row>
    <row r="539">
      <c r="B539" s="12"/>
      <c r="C539" s="137"/>
    </row>
    <row r="540">
      <c r="B540" s="12"/>
      <c r="C540" s="137"/>
    </row>
    <row r="541">
      <c r="B541" s="12"/>
      <c r="C541" s="137"/>
    </row>
    <row r="542">
      <c r="B542" s="12"/>
      <c r="C542" s="137"/>
    </row>
    <row r="543">
      <c r="B543" s="12"/>
      <c r="C543" s="137"/>
    </row>
    <row r="544">
      <c r="B544" s="12"/>
      <c r="C544" s="137"/>
    </row>
    <row r="545">
      <c r="B545" s="12"/>
      <c r="C545" s="137"/>
    </row>
    <row r="546">
      <c r="B546" s="12"/>
      <c r="C546" s="137"/>
    </row>
    <row r="547">
      <c r="B547" s="12"/>
      <c r="C547" s="137"/>
    </row>
    <row r="548">
      <c r="B548" s="12"/>
      <c r="C548" s="137"/>
    </row>
    <row r="549">
      <c r="B549" s="12"/>
      <c r="C549" s="137"/>
    </row>
    <row r="550">
      <c r="B550" s="12"/>
      <c r="C550" s="137"/>
    </row>
    <row r="551">
      <c r="B551" s="12"/>
      <c r="C551" s="137"/>
    </row>
    <row r="552">
      <c r="B552" s="12"/>
      <c r="C552" s="137"/>
    </row>
    <row r="553">
      <c r="B553" s="12"/>
      <c r="C553" s="137"/>
    </row>
    <row r="554">
      <c r="B554" s="12"/>
      <c r="C554" s="137"/>
    </row>
    <row r="555">
      <c r="B555" s="12"/>
      <c r="C555" s="137"/>
    </row>
    <row r="556">
      <c r="B556" s="12"/>
      <c r="C556" s="137"/>
    </row>
    <row r="557">
      <c r="B557" s="12"/>
      <c r="C557" s="137"/>
    </row>
    <row r="558">
      <c r="B558" s="12"/>
      <c r="C558" s="137"/>
    </row>
    <row r="559">
      <c r="B559" s="12"/>
      <c r="C559" s="137"/>
    </row>
    <row r="560">
      <c r="B560" s="12"/>
      <c r="C560" s="137"/>
    </row>
    <row r="561">
      <c r="B561" s="12"/>
      <c r="C561" s="137"/>
    </row>
    <row r="562">
      <c r="B562" s="12"/>
      <c r="C562" s="137"/>
    </row>
    <row r="563">
      <c r="B563" s="12"/>
      <c r="C563" s="137"/>
    </row>
    <row r="564">
      <c r="B564" s="12"/>
      <c r="C564" s="137"/>
    </row>
    <row r="565">
      <c r="B565" s="12"/>
      <c r="C565" s="137"/>
    </row>
    <row r="566">
      <c r="B566" s="12"/>
      <c r="C566" s="137"/>
    </row>
    <row r="567">
      <c r="B567" s="12"/>
      <c r="C567" s="137"/>
    </row>
    <row r="568">
      <c r="B568" s="12"/>
      <c r="C568" s="137"/>
    </row>
    <row r="569">
      <c r="B569" s="12"/>
      <c r="C569" s="137"/>
    </row>
    <row r="570">
      <c r="B570" s="12"/>
      <c r="C570" s="137"/>
    </row>
    <row r="571">
      <c r="B571" s="12"/>
      <c r="C571" s="137"/>
    </row>
    <row r="572">
      <c r="B572" s="12"/>
      <c r="C572" s="137"/>
    </row>
    <row r="573">
      <c r="B573" s="12"/>
      <c r="C573" s="137"/>
    </row>
    <row r="574">
      <c r="B574" s="12"/>
      <c r="C574" s="137"/>
    </row>
    <row r="575">
      <c r="B575" s="12"/>
      <c r="C575" s="137"/>
    </row>
    <row r="576">
      <c r="B576" s="12"/>
      <c r="C576" s="137"/>
    </row>
    <row r="577">
      <c r="B577" s="12"/>
      <c r="C577" s="137"/>
    </row>
    <row r="578">
      <c r="B578" s="12"/>
      <c r="C578" s="137"/>
    </row>
    <row r="579">
      <c r="B579" s="12"/>
      <c r="C579" s="137"/>
    </row>
    <row r="580">
      <c r="B580" s="12"/>
      <c r="C580" s="137"/>
    </row>
    <row r="581">
      <c r="B581" s="12"/>
      <c r="C581" s="137"/>
    </row>
    <row r="582">
      <c r="B582" s="12"/>
      <c r="C582" s="137"/>
    </row>
    <row r="583">
      <c r="B583" s="12"/>
      <c r="C583" s="137"/>
    </row>
    <row r="584">
      <c r="B584" s="12"/>
      <c r="C584" s="137"/>
    </row>
    <row r="585">
      <c r="B585" s="12"/>
      <c r="C585" s="137"/>
    </row>
    <row r="586">
      <c r="B586" s="12"/>
      <c r="C586" s="137"/>
    </row>
    <row r="587">
      <c r="B587" s="12"/>
      <c r="C587" s="137"/>
    </row>
    <row r="588">
      <c r="B588" s="12"/>
      <c r="C588" s="137"/>
    </row>
    <row r="589">
      <c r="B589" s="12"/>
      <c r="C589" s="137"/>
    </row>
    <row r="590">
      <c r="B590" s="12"/>
      <c r="C590" s="137"/>
    </row>
    <row r="591">
      <c r="B591" s="12"/>
      <c r="C591" s="137"/>
    </row>
    <row r="592">
      <c r="B592" s="12"/>
      <c r="C592" s="137"/>
    </row>
    <row r="593">
      <c r="B593" s="12"/>
      <c r="C593" s="137"/>
    </row>
    <row r="594">
      <c r="B594" s="12"/>
      <c r="C594" s="137"/>
    </row>
    <row r="595">
      <c r="B595" s="12"/>
      <c r="C595" s="137"/>
    </row>
    <row r="596">
      <c r="B596" s="12"/>
      <c r="C596" s="137"/>
    </row>
    <row r="597">
      <c r="B597" s="12"/>
      <c r="C597" s="137"/>
    </row>
    <row r="598">
      <c r="B598" s="12"/>
      <c r="C598" s="137"/>
    </row>
    <row r="599">
      <c r="B599" s="12"/>
      <c r="C599" s="137"/>
    </row>
    <row r="600">
      <c r="B600" s="12"/>
      <c r="C600" s="137"/>
    </row>
    <row r="601">
      <c r="B601" s="12"/>
      <c r="C601" s="137"/>
    </row>
    <row r="602">
      <c r="B602" s="12"/>
      <c r="C602" s="137"/>
    </row>
    <row r="603">
      <c r="B603" s="12"/>
      <c r="C603" s="137"/>
    </row>
    <row r="604">
      <c r="B604" s="12"/>
      <c r="C604" s="137"/>
    </row>
    <row r="605">
      <c r="B605" s="12"/>
      <c r="C605" s="137"/>
    </row>
    <row r="606">
      <c r="B606" s="12"/>
      <c r="C606" s="137"/>
    </row>
    <row r="607">
      <c r="B607" s="12"/>
      <c r="C607" s="137"/>
    </row>
    <row r="608">
      <c r="B608" s="12"/>
      <c r="C608" s="137"/>
    </row>
    <row r="609">
      <c r="B609" s="12"/>
      <c r="C609" s="137"/>
    </row>
    <row r="610">
      <c r="B610" s="12"/>
      <c r="C610" s="137"/>
    </row>
    <row r="611">
      <c r="B611" s="12"/>
      <c r="C611" s="137"/>
    </row>
    <row r="612">
      <c r="B612" s="12"/>
      <c r="C612" s="137"/>
    </row>
    <row r="613">
      <c r="B613" s="12"/>
      <c r="C613" s="137"/>
    </row>
    <row r="614">
      <c r="B614" s="12"/>
      <c r="C614" s="137"/>
    </row>
    <row r="615">
      <c r="B615" s="12"/>
      <c r="C615" s="137"/>
    </row>
    <row r="616">
      <c r="B616" s="12"/>
      <c r="C616" s="137"/>
    </row>
    <row r="617">
      <c r="B617" s="12"/>
      <c r="C617" s="137"/>
    </row>
    <row r="618">
      <c r="B618" s="12"/>
      <c r="C618" s="137"/>
    </row>
    <row r="619">
      <c r="B619" s="12"/>
      <c r="C619" s="137"/>
    </row>
    <row r="620">
      <c r="B620" s="12"/>
      <c r="C620" s="137"/>
    </row>
    <row r="621">
      <c r="B621" s="12"/>
      <c r="C621" s="137"/>
    </row>
    <row r="622">
      <c r="B622" s="12"/>
      <c r="C622" s="137"/>
    </row>
    <row r="623">
      <c r="B623" s="12"/>
      <c r="C623" s="137"/>
    </row>
    <row r="624">
      <c r="B624" s="12"/>
      <c r="C624" s="137"/>
    </row>
    <row r="625">
      <c r="B625" s="12"/>
      <c r="C625" s="137"/>
    </row>
    <row r="626">
      <c r="B626" s="12"/>
      <c r="C626" s="137"/>
    </row>
    <row r="627">
      <c r="B627" s="12"/>
      <c r="C627" s="137"/>
    </row>
    <row r="628">
      <c r="B628" s="12"/>
      <c r="C628" s="137"/>
    </row>
    <row r="629">
      <c r="B629" s="12"/>
      <c r="C629" s="137"/>
    </row>
    <row r="630">
      <c r="B630" s="12"/>
      <c r="C630" s="137"/>
    </row>
    <row r="631">
      <c r="B631" s="12"/>
      <c r="C631" s="137"/>
    </row>
    <row r="632">
      <c r="B632" s="12"/>
      <c r="C632" s="137"/>
    </row>
    <row r="633">
      <c r="B633" s="12"/>
      <c r="C633" s="137"/>
    </row>
    <row r="634">
      <c r="B634" s="12"/>
      <c r="C634" s="137"/>
    </row>
    <row r="635">
      <c r="B635" s="12"/>
      <c r="C635" s="137"/>
    </row>
    <row r="636">
      <c r="B636" s="12"/>
      <c r="C636" s="137"/>
    </row>
    <row r="637">
      <c r="B637" s="12"/>
      <c r="C637" s="137"/>
    </row>
    <row r="638">
      <c r="B638" s="12"/>
      <c r="C638" s="137"/>
    </row>
    <row r="639">
      <c r="B639" s="12"/>
      <c r="C639" s="137"/>
    </row>
    <row r="640">
      <c r="B640" s="12"/>
      <c r="C640" s="137"/>
    </row>
    <row r="641">
      <c r="B641" s="12"/>
      <c r="C641" s="137"/>
    </row>
    <row r="642">
      <c r="B642" s="12"/>
      <c r="C642" s="137"/>
    </row>
    <row r="643">
      <c r="B643" s="12"/>
      <c r="C643" s="137"/>
    </row>
    <row r="644">
      <c r="B644" s="12"/>
      <c r="C644" s="137"/>
    </row>
    <row r="645">
      <c r="B645" s="12"/>
      <c r="C645" s="137"/>
    </row>
    <row r="646">
      <c r="B646" s="12"/>
      <c r="C646" s="137"/>
    </row>
    <row r="647">
      <c r="B647" s="12"/>
      <c r="C647" s="137"/>
    </row>
    <row r="648">
      <c r="B648" s="12"/>
      <c r="C648" s="137"/>
    </row>
    <row r="649">
      <c r="B649" s="12"/>
      <c r="C649" s="137"/>
    </row>
    <row r="650">
      <c r="B650" s="12"/>
      <c r="C650" s="137"/>
    </row>
    <row r="651">
      <c r="B651" s="12"/>
      <c r="C651" s="137"/>
    </row>
    <row r="652">
      <c r="B652" s="12"/>
      <c r="C652" s="137"/>
    </row>
    <row r="653">
      <c r="B653" s="12"/>
      <c r="C653" s="137"/>
    </row>
    <row r="654">
      <c r="B654" s="12"/>
      <c r="C654" s="137"/>
    </row>
    <row r="655">
      <c r="B655" s="12"/>
      <c r="C655" s="137"/>
    </row>
    <row r="656">
      <c r="B656" s="12"/>
      <c r="C656" s="137"/>
    </row>
    <row r="657">
      <c r="B657" s="12"/>
      <c r="C657" s="137"/>
    </row>
    <row r="658">
      <c r="B658" s="12"/>
      <c r="C658" s="137"/>
    </row>
    <row r="659">
      <c r="B659" s="12"/>
      <c r="C659" s="137"/>
    </row>
    <row r="660">
      <c r="B660" s="12"/>
      <c r="C660" s="137"/>
    </row>
    <row r="661">
      <c r="B661" s="12"/>
      <c r="C661" s="137"/>
    </row>
    <row r="662">
      <c r="B662" s="12"/>
      <c r="C662" s="137"/>
    </row>
    <row r="663">
      <c r="B663" s="12"/>
      <c r="C663" s="137"/>
    </row>
    <row r="664">
      <c r="B664" s="12"/>
      <c r="C664" s="137"/>
    </row>
    <row r="665">
      <c r="B665" s="12"/>
      <c r="C665" s="137"/>
    </row>
    <row r="666">
      <c r="B666" s="12"/>
      <c r="C666" s="137"/>
    </row>
    <row r="667">
      <c r="B667" s="12"/>
      <c r="C667" s="137"/>
    </row>
    <row r="668">
      <c r="B668" s="12"/>
      <c r="C668" s="137"/>
    </row>
    <row r="669">
      <c r="B669" s="12"/>
      <c r="C669" s="137"/>
    </row>
    <row r="670">
      <c r="B670" s="12"/>
      <c r="C670" s="137"/>
    </row>
    <row r="671">
      <c r="B671" s="12"/>
      <c r="C671" s="137"/>
    </row>
    <row r="672">
      <c r="B672" s="12"/>
      <c r="C672" s="137"/>
    </row>
    <row r="673">
      <c r="B673" s="12"/>
      <c r="C673" s="137"/>
    </row>
    <row r="674">
      <c r="B674" s="12"/>
      <c r="C674" s="137"/>
    </row>
    <row r="675">
      <c r="B675" s="12"/>
      <c r="C675" s="137"/>
    </row>
    <row r="676">
      <c r="B676" s="12"/>
      <c r="C676" s="137"/>
    </row>
    <row r="677">
      <c r="B677" s="12"/>
      <c r="C677" s="137"/>
    </row>
    <row r="678">
      <c r="B678" s="12"/>
      <c r="C678" s="137"/>
    </row>
    <row r="679">
      <c r="B679" s="12"/>
      <c r="C679" s="137"/>
    </row>
    <row r="680">
      <c r="B680" s="12"/>
      <c r="C680" s="137"/>
    </row>
    <row r="681">
      <c r="B681" s="12"/>
      <c r="C681" s="137"/>
    </row>
    <row r="682">
      <c r="B682" s="12"/>
      <c r="C682" s="137"/>
    </row>
    <row r="683">
      <c r="B683" s="12"/>
      <c r="C683" s="137"/>
    </row>
    <row r="684">
      <c r="B684" s="12"/>
      <c r="C684" s="137"/>
    </row>
    <row r="685">
      <c r="B685" s="12"/>
      <c r="C685" s="137"/>
    </row>
    <row r="686">
      <c r="B686" s="12"/>
      <c r="C686" s="137"/>
    </row>
    <row r="687">
      <c r="B687" s="12"/>
      <c r="C687" s="137"/>
    </row>
    <row r="688">
      <c r="B688" s="12"/>
      <c r="C688" s="137"/>
    </row>
    <row r="689">
      <c r="B689" s="12"/>
      <c r="C689" s="137"/>
    </row>
    <row r="690">
      <c r="B690" s="12"/>
      <c r="C690" s="137"/>
    </row>
    <row r="691">
      <c r="B691" s="12"/>
      <c r="C691" s="137"/>
    </row>
    <row r="692">
      <c r="B692" s="12"/>
      <c r="C692" s="137"/>
    </row>
    <row r="693">
      <c r="B693" s="12"/>
      <c r="C693" s="137"/>
    </row>
    <row r="694">
      <c r="B694" s="12"/>
      <c r="C694" s="137"/>
    </row>
    <row r="695">
      <c r="B695" s="12"/>
      <c r="C695" s="137"/>
    </row>
    <row r="696">
      <c r="B696" s="12"/>
      <c r="C696" s="137"/>
    </row>
    <row r="697">
      <c r="B697" s="12"/>
      <c r="C697" s="137"/>
    </row>
    <row r="698">
      <c r="B698" s="12"/>
      <c r="C698" s="137"/>
    </row>
    <row r="699">
      <c r="B699" s="12"/>
      <c r="C699" s="137"/>
    </row>
    <row r="700">
      <c r="B700" s="12"/>
      <c r="C700" s="137"/>
    </row>
    <row r="701">
      <c r="B701" s="12"/>
      <c r="C701" s="137"/>
    </row>
    <row r="702">
      <c r="B702" s="12"/>
      <c r="C702" s="137"/>
    </row>
    <row r="703">
      <c r="B703" s="12"/>
      <c r="C703" s="137"/>
    </row>
    <row r="704">
      <c r="B704" s="12"/>
      <c r="C704" s="137"/>
    </row>
    <row r="705">
      <c r="B705" s="12"/>
      <c r="C705" s="137"/>
    </row>
    <row r="706">
      <c r="B706" s="12"/>
      <c r="C706" s="137"/>
    </row>
    <row r="707">
      <c r="B707" s="12"/>
      <c r="C707" s="137"/>
    </row>
    <row r="708">
      <c r="B708" s="12"/>
      <c r="C708" s="137"/>
    </row>
    <row r="709">
      <c r="B709" s="12"/>
      <c r="C709" s="137"/>
    </row>
    <row r="710">
      <c r="B710" s="12"/>
      <c r="C710" s="137"/>
    </row>
    <row r="711">
      <c r="B711" s="12"/>
      <c r="C711" s="137"/>
    </row>
    <row r="712">
      <c r="B712" s="12"/>
      <c r="C712" s="137"/>
    </row>
    <row r="713">
      <c r="B713" s="12"/>
      <c r="C713" s="137"/>
    </row>
    <row r="714">
      <c r="B714" s="12"/>
      <c r="C714" s="137"/>
    </row>
    <row r="715">
      <c r="B715" s="12"/>
      <c r="C715" s="137"/>
    </row>
    <row r="716">
      <c r="B716" s="12"/>
      <c r="C716" s="137"/>
    </row>
    <row r="717">
      <c r="B717" s="12"/>
      <c r="C717" s="137"/>
    </row>
    <row r="718">
      <c r="B718" s="12"/>
      <c r="C718" s="137"/>
    </row>
    <row r="719">
      <c r="B719" s="12"/>
      <c r="C719" s="137"/>
    </row>
    <row r="720">
      <c r="B720" s="12"/>
      <c r="C720" s="137"/>
    </row>
    <row r="721">
      <c r="B721" s="12"/>
      <c r="C721" s="137"/>
    </row>
    <row r="722">
      <c r="B722" s="12"/>
      <c r="C722" s="137"/>
    </row>
    <row r="723">
      <c r="B723" s="12"/>
      <c r="C723" s="137"/>
    </row>
    <row r="724">
      <c r="B724" s="12"/>
      <c r="C724" s="137"/>
    </row>
    <row r="725">
      <c r="B725" s="12"/>
      <c r="C725" s="137"/>
    </row>
    <row r="726">
      <c r="B726" s="12"/>
      <c r="C726" s="137"/>
    </row>
    <row r="727">
      <c r="B727" s="12"/>
      <c r="C727" s="137"/>
    </row>
    <row r="728">
      <c r="B728" s="12"/>
      <c r="C728" s="137"/>
    </row>
    <row r="729">
      <c r="B729" s="12"/>
      <c r="C729" s="137"/>
    </row>
    <row r="730">
      <c r="B730" s="12"/>
      <c r="C730" s="137"/>
    </row>
    <row r="731">
      <c r="B731" s="12"/>
      <c r="C731" s="137"/>
    </row>
    <row r="732">
      <c r="B732" s="12"/>
      <c r="C732" s="137"/>
    </row>
    <row r="733">
      <c r="B733" s="12"/>
      <c r="C733" s="137"/>
    </row>
    <row r="734">
      <c r="B734" s="12"/>
      <c r="C734" s="137"/>
    </row>
    <row r="735">
      <c r="B735" s="12"/>
      <c r="C735" s="137"/>
    </row>
    <row r="736">
      <c r="B736" s="12"/>
      <c r="C736" s="137"/>
    </row>
    <row r="737">
      <c r="B737" s="12"/>
      <c r="C737" s="137"/>
    </row>
    <row r="738">
      <c r="B738" s="12"/>
      <c r="C738" s="137"/>
    </row>
    <row r="739">
      <c r="B739" s="12"/>
      <c r="C739" s="137"/>
    </row>
    <row r="740">
      <c r="B740" s="12"/>
      <c r="C740" s="137"/>
    </row>
    <row r="741">
      <c r="B741" s="12"/>
      <c r="C741" s="137"/>
    </row>
    <row r="742">
      <c r="B742" s="12"/>
      <c r="C742" s="137"/>
    </row>
    <row r="743">
      <c r="B743" s="12"/>
      <c r="C743" s="137"/>
    </row>
    <row r="744">
      <c r="B744" s="12"/>
      <c r="C744" s="137"/>
    </row>
    <row r="745">
      <c r="B745" s="12"/>
      <c r="C745" s="137"/>
    </row>
    <row r="746">
      <c r="B746" s="12"/>
      <c r="C746" s="137"/>
    </row>
    <row r="747">
      <c r="B747" s="12"/>
      <c r="C747" s="137"/>
    </row>
    <row r="748">
      <c r="B748" s="12"/>
      <c r="C748" s="137"/>
    </row>
    <row r="749">
      <c r="B749" s="12"/>
      <c r="C749" s="137"/>
    </row>
    <row r="750">
      <c r="B750" s="12"/>
      <c r="C750" s="137"/>
    </row>
    <row r="751">
      <c r="B751" s="12"/>
      <c r="C751" s="137"/>
    </row>
    <row r="752">
      <c r="B752" s="12"/>
      <c r="C752" s="137"/>
    </row>
    <row r="753">
      <c r="B753" s="12"/>
      <c r="C753" s="137"/>
    </row>
    <row r="754">
      <c r="B754" s="12"/>
      <c r="C754" s="137"/>
    </row>
    <row r="755">
      <c r="B755" s="12"/>
      <c r="C755" s="137"/>
    </row>
    <row r="756">
      <c r="B756" s="12"/>
      <c r="C756" s="137"/>
    </row>
    <row r="757">
      <c r="B757" s="12"/>
      <c r="C757" s="137"/>
    </row>
    <row r="758">
      <c r="B758" s="12"/>
      <c r="C758" s="137"/>
    </row>
    <row r="759">
      <c r="B759" s="12"/>
      <c r="C759" s="137"/>
    </row>
    <row r="760">
      <c r="B760" s="12"/>
      <c r="C760" s="137"/>
    </row>
    <row r="761">
      <c r="B761" s="12"/>
      <c r="C761" s="137"/>
    </row>
    <row r="762">
      <c r="B762" s="12"/>
      <c r="C762" s="137"/>
    </row>
    <row r="763">
      <c r="B763" s="12"/>
      <c r="C763" s="137"/>
    </row>
    <row r="764">
      <c r="B764" s="12"/>
      <c r="C764" s="137"/>
    </row>
    <row r="765">
      <c r="B765" s="12"/>
      <c r="C765" s="137"/>
    </row>
    <row r="766">
      <c r="B766" s="12"/>
      <c r="C766" s="137"/>
    </row>
    <row r="767">
      <c r="B767" s="12"/>
      <c r="C767" s="137"/>
    </row>
    <row r="768">
      <c r="B768" s="12"/>
      <c r="C768" s="137"/>
    </row>
    <row r="769">
      <c r="B769" s="12"/>
      <c r="C769" s="137"/>
    </row>
    <row r="770">
      <c r="B770" s="12"/>
      <c r="C770" s="137"/>
    </row>
    <row r="771">
      <c r="B771" s="12"/>
      <c r="C771" s="137"/>
    </row>
    <row r="772">
      <c r="B772" s="12"/>
      <c r="C772" s="137"/>
    </row>
    <row r="773">
      <c r="B773" s="12"/>
      <c r="C773" s="137"/>
    </row>
    <row r="774">
      <c r="B774" s="12"/>
      <c r="C774" s="137"/>
    </row>
    <row r="775">
      <c r="B775" s="12"/>
      <c r="C775" s="137"/>
    </row>
    <row r="776">
      <c r="B776" s="12"/>
      <c r="C776" s="137"/>
    </row>
    <row r="777">
      <c r="B777" s="12"/>
      <c r="C777" s="137"/>
    </row>
    <row r="778">
      <c r="B778" s="12"/>
      <c r="C778" s="137"/>
    </row>
    <row r="779">
      <c r="B779" s="12"/>
      <c r="C779" s="137"/>
    </row>
    <row r="780">
      <c r="B780" s="12"/>
      <c r="C780" s="137"/>
    </row>
    <row r="781">
      <c r="B781" s="12"/>
      <c r="C781" s="137"/>
    </row>
    <row r="782">
      <c r="B782" s="12"/>
      <c r="C782" s="137"/>
    </row>
    <row r="783">
      <c r="B783" s="12"/>
      <c r="C783" s="137"/>
    </row>
    <row r="784">
      <c r="B784" s="12"/>
      <c r="C784" s="137"/>
    </row>
    <row r="785">
      <c r="B785" s="12"/>
      <c r="C785" s="137"/>
    </row>
    <row r="786">
      <c r="B786" s="12"/>
      <c r="C786" s="137"/>
    </row>
    <row r="787">
      <c r="B787" s="12"/>
      <c r="C787" s="137"/>
    </row>
    <row r="788">
      <c r="B788" s="12"/>
      <c r="C788" s="137"/>
    </row>
    <row r="789">
      <c r="B789" s="12"/>
      <c r="C789" s="137"/>
    </row>
    <row r="790">
      <c r="B790" s="12"/>
      <c r="C790" s="137"/>
    </row>
    <row r="791">
      <c r="B791" s="12"/>
      <c r="C791" s="137"/>
    </row>
    <row r="792">
      <c r="B792" s="12"/>
      <c r="C792" s="137"/>
    </row>
    <row r="793">
      <c r="B793" s="12"/>
      <c r="C793" s="137"/>
    </row>
    <row r="794">
      <c r="B794" s="12"/>
      <c r="C794" s="137"/>
    </row>
    <row r="795">
      <c r="B795" s="12"/>
      <c r="C795" s="137"/>
    </row>
    <row r="796">
      <c r="B796" s="12"/>
      <c r="C796" s="137"/>
    </row>
    <row r="797">
      <c r="B797" s="12"/>
      <c r="C797" s="137"/>
    </row>
    <row r="798">
      <c r="B798" s="12"/>
      <c r="C798" s="137"/>
    </row>
    <row r="799">
      <c r="B799" s="12"/>
      <c r="C799" s="137"/>
    </row>
    <row r="800">
      <c r="B800" s="12"/>
      <c r="C800" s="137"/>
    </row>
    <row r="801">
      <c r="B801" s="12"/>
      <c r="C801" s="137"/>
    </row>
    <row r="802">
      <c r="B802" s="12"/>
      <c r="C802" s="137"/>
    </row>
    <row r="803">
      <c r="B803" s="12"/>
      <c r="C803" s="137"/>
    </row>
    <row r="804">
      <c r="B804" s="12"/>
      <c r="C804" s="137"/>
    </row>
    <row r="805">
      <c r="B805" s="12"/>
      <c r="C805" s="137"/>
    </row>
    <row r="806">
      <c r="B806" s="12"/>
      <c r="C806" s="137"/>
    </row>
    <row r="807">
      <c r="B807" s="12"/>
      <c r="C807" s="137"/>
    </row>
    <row r="808">
      <c r="B808" s="12"/>
      <c r="C808" s="137"/>
    </row>
    <row r="809">
      <c r="B809" s="12"/>
      <c r="C809" s="137"/>
    </row>
    <row r="810">
      <c r="B810" s="12"/>
      <c r="C810" s="137"/>
    </row>
    <row r="811">
      <c r="B811" s="12"/>
      <c r="C811" s="137"/>
    </row>
    <row r="812">
      <c r="B812" s="12"/>
      <c r="C812" s="137"/>
    </row>
    <row r="813">
      <c r="B813" s="12"/>
      <c r="C813" s="137"/>
    </row>
    <row r="814">
      <c r="B814" s="12"/>
      <c r="C814" s="137"/>
    </row>
    <row r="815">
      <c r="B815" s="12"/>
      <c r="C815" s="137"/>
    </row>
    <row r="816">
      <c r="B816" s="12"/>
      <c r="C816" s="137"/>
    </row>
    <row r="817">
      <c r="B817" s="12"/>
      <c r="C817" s="137"/>
    </row>
    <row r="818">
      <c r="B818" s="12"/>
      <c r="C818" s="137"/>
    </row>
    <row r="819">
      <c r="B819" s="12"/>
      <c r="C819" s="137"/>
    </row>
    <row r="820">
      <c r="B820" s="12"/>
      <c r="C820" s="137"/>
    </row>
    <row r="821">
      <c r="B821" s="12"/>
      <c r="C821" s="137"/>
    </row>
    <row r="822">
      <c r="B822" s="12"/>
      <c r="C822" s="137"/>
    </row>
    <row r="823">
      <c r="B823" s="12"/>
      <c r="C823" s="137"/>
    </row>
    <row r="824">
      <c r="B824" s="12"/>
      <c r="C824" s="137"/>
    </row>
    <row r="825">
      <c r="B825" s="12"/>
      <c r="C825" s="137"/>
    </row>
    <row r="826">
      <c r="B826" s="12"/>
      <c r="C826" s="137"/>
    </row>
    <row r="827">
      <c r="B827" s="12"/>
      <c r="C827" s="137"/>
    </row>
    <row r="828">
      <c r="B828" s="12"/>
      <c r="C828" s="137"/>
    </row>
    <row r="829">
      <c r="B829" s="12"/>
      <c r="C829" s="137"/>
    </row>
    <row r="830">
      <c r="B830" s="12"/>
      <c r="C830" s="137"/>
    </row>
    <row r="831">
      <c r="B831" s="12"/>
      <c r="C831" s="137"/>
    </row>
    <row r="832">
      <c r="B832" s="12"/>
      <c r="C832" s="137"/>
    </row>
    <row r="833">
      <c r="B833" s="12"/>
      <c r="C833" s="137"/>
    </row>
    <row r="834">
      <c r="B834" s="12"/>
      <c r="C834" s="137"/>
    </row>
    <row r="835">
      <c r="B835" s="12"/>
      <c r="C835" s="137"/>
    </row>
    <row r="836">
      <c r="B836" s="12"/>
      <c r="C836" s="137"/>
    </row>
    <row r="837">
      <c r="B837" s="12"/>
      <c r="C837" s="137"/>
    </row>
    <row r="838">
      <c r="B838" s="12"/>
      <c r="C838" s="137"/>
    </row>
    <row r="839">
      <c r="B839" s="12"/>
      <c r="C839" s="137"/>
    </row>
    <row r="840">
      <c r="B840" s="12"/>
      <c r="C840" s="137"/>
    </row>
    <row r="841">
      <c r="B841" s="12"/>
      <c r="C841" s="137"/>
    </row>
    <row r="842">
      <c r="B842" s="12"/>
      <c r="C842" s="137"/>
    </row>
    <row r="843">
      <c r="B843" s="12"/>
      <c r="C843" s="137"/>
    </row>
    <row r="844">
      <c r="B844" s="12"/>
      <c r="C844" s="137"/>
    </row>
    <row r="845">
      <c r="B845" s="12"/>
      <c r="C845" s="137"/>
    </row>
    <row r="846">
      <c r="B846" s="12"/>
      <c r="C846" s="137"/>
    </row>
    <row r="847">
      <c r="B847" s="12"/>
      <c r="C847" s="137"/>
    </row>
    <row r="848">
      <c r="B848" s="12"/>
      <c r="C848" s="137"/>
    </row>
    <row r="849">
      <c r="B849" s="12"/>
      <c r="C849" s="137"/>
    </row>
    <row r="850">
      <c r="B850" s="12"/>
      <c r="C850" s="137"/>
    </row>
    <row r="851">
      <c r="B851" s="12"/>
      <c r="C851" s="137"/>
    </row>
    <row r="852">
      <c r="B852" s="12"/>
      <c r="C852" s="137"/>
    </row>
    <row r="853">
      <c r="B853" s="12"/>
      <c r="C853" s="137"/>
    </row>
    <row r="854">
      <c r="B854" s="12"/>
      <c r="C854" s="137"/>
    </row>
    <row r="855">
      <c r="B855" s="12"/>
      <c r="C855" s="137"/>
    </row>
    <row r="856">
      <c r="B856" s="12"/>
      <c r="C856" s="137"/>
    </row>
    <row r="857">
      <c r="B857" s="12"/>
      <c r="C857" s="137"/>
    </row>
    <row r="858">
      <c r="B858" s="12"/>
      <c r="C858" s="137"/>
    </row>
    <row r="859">
      <c r="B859" s="12"/>
      <c r="C859" s="137"/>
    </row>
    <row r="860">
      <c r="B860" s="12"/>
      <c r="C860" s="137"/>
    </row>
    <row r="861">
      <c r="B861" s="12"/>
      <c r="C861" s="137"/>
    </row>
    <row r="862">
      <c r="B862" s="12"/>
      <c r="C862" s="137"/>
    </row>
    <row r="863">
      <c r="B863" s="12"/>
      <c r="C863" s="137"/>
    </row>
    <row r="864">
      <c r="B864" s="12"/>
      <c r="C864" s="137"/>
    </row>
    <row r="865">
      <c r="B865" s="12"/>
      <c r="C865" s="137"/>
    </row>
    <row r="866">
      <c r="B866" s="12"/>
      <c r="C866" s="137"/>
    </row>
    <row r="867">
      <c r="B867" s="12"/>
      <c r="C867" s="137"/>
    </row>
    <row r="868">
      <c r="B868" s="12"/>
      <c r="C868" s="137"/>
    </row>
    <row r="869">
      <c r="B869" s="12"/>
      <c r="C869" s="137"/>
    </row>
    <row r="870">
      <c r="B870" s="12"/>
      <c r="C870" s="137"/>
    </row>
    <row r="871">
      <c r="B871" s="12"/>
      <c r="C871" s="137"/>
    </row>
    <row r="872">
      <c r="B872" s="12"/>
      <c r="C872" s="137"/>
    </row>
    <row r="873">
      <c r="B873" s="12"/>
      <c r="C873" s="137"/>
    </row>
    <row r="874">
      <c r="B874" s="12"/>
      <c r="C874" s="137"/>
    </row>
    <row r="875">
      <c r="B875" s="12"/>
      <c r="C875" s="137"/>
    </row>
    <row r="876">
      <c r="B876" s="12"/>
      <c r="C876" s="137"/>
    </row>
    <row r="877">
      <c r="B877" s="12"/>
      <c r="C877" s="137"/>
    </row>
    <row r="878">
      <c r="B878" s="12"/>
      <c r="C878" s="137"/>
    </row>
    <row r="879">
      <c r="B879" s="12"/>
      <c r="C879" s="137"/>
    </row>
    <row r="880">
      <c r="B880" s="12"/>
      <c r="C880" s="137"/>
    </row>
    <row r="881">
      <c r="B881" s="12"/>
      <c r="C881" s="137"/>
    </row>
    <row r="882">
      <c r="B882" s="12"/>
      <c r="C882" s="137"/>
    </row>
    <row r="883">
      <c r="B883" s="12"/>
      <c r="C883" s="137"/>
    </row>
    <row r="884">
      <c r="B884" s="12"/>
      <c r="C884" s="137"/>
    </row>
    <row r="885">
      <c r="B885" s="12"/>
      <c r="C885" s="137"/>
    </row>
    <row r="886">
      <c r="B886" s="12"/>
      <c r="C886" s="137"/>
    </row>
    <row r="887">
      <c r="B887" s="12"/>
      <c r="C887" s="137"/>
    </row>
    <row r="888">
      <c r="B888" s="12"/>
      <c r="C888" s="137"/>
    </row>
    <row r="889">
      <c r="B889" s="12"/>
      <c r="C889" s="137"/>
    </row>
    <row r="890">
      <c r="B890" s="12"/>
      <c r="C890" s="137"/>
    </row>
    <row r="891">
      <c r="B891" s="12"/>
      <c r="C891" s="137"/>
    </row>
    <row r="892">
      <c r="B892" s="12"/>
      <c r="C892" s="137"/>
    </row>
    <row r="893">
      <c r="B893" s="12"/>
      <c r="C893" s="137"/>
    </row>
    <row r="894">
      <c r="B894" s="12"/>
      <c r="C894" s="137"/>
    </row>
    <row r="895">
      <c r="B895" s="12"/>
      <c r="C895" s="137"/>
    </row>
    <row r="896">
      <c r="B896" s="12"/>
      <c r="C896" s="137"/>
    </row>
    <row r="897">
      <c r="B897" s="12"/>
      <c r="C897" s="137"/>
    </row>
    <row r="898">
      <c r="B898" s="12"/>
      <c r="C898" s="137"/>
    </row>
    <row r="899">
      <c r="B899" s="12"/>
      <c r="C899" s="137"/>
    </row>
    <row r="900">
      <c r="B900" s="12"/>
      <c r="C900" s="137"/>
    </row>
    <row r="901">
      <c r="B901" s="12"/>
      <c r="C901" s="137"/>
    </row>
    <row r="902">
      <c r="B902" s="12"/>
      <c r="C902" s="137"/>
    </row>
    <row r="903">
      <c r="B903" s="12"/>
      <c r="C903" s="137"/>
    </row>
    <row r="904">
      <c r="B904" s="12"/>
      <c r="C904" s="137"/>
    </row>
    <row r="905">
      <c r="B905" s="12"/>
      <c r="C905" s="137"/>
    </row>
    <row r="906">
      <c r="B906" s="12"/>
      <c r="C906" s="137"/>
    </row>
    <row r="907">
      <c r="B907" s="12"/>
      <c r="C907" s="137"/>
    </row>
    <row r="908">
      <c r="B908" s="12"/>
      <c r="C908" s="137"/>
    </row>
    <row r="909">
      <c r="B909" s="12"/>
      <c r="C909" s="137"/>
    </row>
    <row r="910">
      <c r="B910" s="12"/>
      <c r="C910" s="137"/>
    </row>
    <row r="911">
      <c r="B911" s="12"/>
      <c r="C911" s="137"/>
    </row>
    <row r="912">
      <c r="B912" s="12"/>
      <c r="C912" s="137"/>
    </row>
    <row r="913">
      <c r="B913" s="12"/>
      <c r="C913" s="137"/>
    </row>
    <row r="914">
      <c r="B914" s="12"/>
      <c r="C914" s="137"/>
    </row>
    <row r="915">
      <c r="B915" s="12"/>
      <c r="C915" s="137"/>
    </row>
    <row r="916">
      <c r="B916" s="12"/>
      <c r="C916" s="137"/>
    </row>
    <row r="917">
      <c r="B917" s="12"/>
      <c r="C917" s="137"/>
    </row>
    <row r="918">
      <c r="B918" s="12"/>
      <c r="C918" s="137"/>
    </row>
    <row r="919">
      <c r="B919" s="12"/>
      <c r="C919" s="137"/>
    </row>
    <row r="920">
      <c r="B920" s="12"/>
      <c r="C920" s="137"/>
    </row>
    <row r="921">
      <c r="B921" s="12"/>
      <c r="C921" s="137"/>
    </row>
    <row r="922">
      <c r="B922" s="12"/>
      <c r="C922" s="137"/>
    </row>
    <row r="923">
      <c r="B923" s="12"/>
      <c r="C923" s="137"/>
    </row>
    <row r="924">
      <c r="B924" s="12"/>
      <c r="C924" s="137"/>
    </row>
    <row r="925">
      <c r="B925" s="12"/>
      <c r="C925" s="137"/>
    </row>
    <row r="926">
      <c r="B926" s="12"/>
      <c r="C926" s="137"/>
    </row>
    <row r="927">
      <c r="B927" s="12"/>
      <c r="C927" s="137"/>
    </row>
    <row r="928">
      <c r="B928" s="12"/>
      <c r="C928" s="137"/>
    </row>
    <row r="929">
      <c r="B929" s="12"/>
      <c r="C929" s="137"/>
    </row>
    <row r="930">
      <c r="B930" s="12"/>
      <c r="C930" s="137"/>
    </row>
    <row r="931">
      <c r="B931" s="12"/>
      <c r="C931" s="137"/>
    </row>
    <row r="932">
      <c r="B932" s="12"/>
      <c r="C932" s="137"/>
    </row>
    <row r="933">
      <c r="B933" s="12"/>
      <c r="C933" s="137"/>
    </row>
    <row r="934">
      <c r="B934" s="12"/>
      <c r="C934" s="137"/>
    </row>
    <row r="935">
      <c r="B935" s="12"/>
      <c r="C935" s="137"/>
    </row>
    <row r="936">
      <c r="B936" s="12"/>
      <c r="C936" s="137"/>
    </row>
    <row r="937">
      <c r="B937" s="12"/>
      <c r="C937" s="137"/>
    </row>
    <row r="938">
      <c r="B938" s="12"/>
      <c r="C938" s="137"/>
    </row>
    <row r="939">
      <c r="B939" s="12"/>
      <c r="C939" s="137"/>
    </row>
    <row r="940">
      <c r="B940" s="12"/>
      <c r="C940" s="137"/>
    </row>
    <row r="941">
      <c r="B941" s="12"/>
      <c r="C941" s="137"/>
    </row>
    <row r="942">
      <c r="B942" s="12"/>
      <c r="C942" s="137"/>
    </row>
    <row r="943">
      <c r="B943" s="12"/>
      <c r="C943" s="137"/>
    </row>
    <row r="944">
      <c r="B944" s="12"/>
      <c r="C944" s="137"/>
    </row>
    <row r="945">
      <c r="B945" s="12"/>
      <c r="C945" s="137"/>
    </row>
    <row r="946">
      <c r="B946" s="12"/>
      <c r="C946" s="137"/>
    </row>
    <row r="947">
      <c r="B947" s="12"/>
      <c r="C947" s="137"/>
    </row>
    <row r="948">
      <c r="B948" s="12"/>
      <c r="C948" s="137"/>
    </row>
    <row r="949">
      <c r="B949" s="12"/>
      <c r="C949" s="137"/>
    </row>
    <row r="950">
      <c r="B950" s="12"/>
      <c r="C950" s="137"/>
    </row>
    <row r="951">
      <c r="B951" s="12"/>
      <c r="C951" s="137"/>
    </row>
    <row r="952">
      <c r="B952" s="12"/>
      <c r="C952" s="137"/>
    </row>
    <row r="953">
      <c r="B953" s="12"/>
      <c r="C953" s="137"/>
    </row>
    <row r="954">
      <c r="B954" s="12"/>
      <c r="C954" s="137"/>
    </row>
    <row r="955">
      <c r="B955" s="12"/>
      <c r="C955" s="137"/>
    </row>
    <row r="956">
      <c r="B956" s="12"/>
      <c r="C956" s="137"/>
    </row>
    <row r="957">
      <c r="B957" s="12"/>
      <c r="C957" s="137"/>
    </row>
    <row r="958">
      <c r="B958" s="12"/>
      <c r="C958" s="137"/>
    </row>
    <row r="959">
      <c r="B959" s="12"/>
      <c r="C959" s="137"/>
    </row>
    <row r="960">
      <c r="B960" s="12"/>
      <c r="C960" s="137"/>
    </row>
    <row r="961">
      <c r="B961" s="12"/>
      <c r="C961" s="137"/>
    </row>
    <row r="962">
      <c r="B962" s="12"/>
      <c r="C962" s="137"/>
    </row>
    <row r="963">
      <c r="B963" s="12"/>
      <c r="C963" s="137"/>
    </row>
    <row r="964">
      <c r="B964" s="12"/>
      <c r="C964" s="137"/>
    </row>
    <row r="965">
      <c r="B965" s="12"/>
      <c r="C965" s="137"/>
    </row>
    <row r="966">
      <c r="B966" s="12"/>
      <c r="C966" s="137"/>
    </row>
    <row r="967">
      <c r="B967" s="12"/>
      <c r="C967" s="137"/>
    </row>
    <row r="968">
      <c r="B968" s="12"/>
      <c r="C968" s="137"/>
    </row>
    <row r="969">
      <c r="B969" s="12"/>
      <c r="C969" s="137"/>
    </row>
    <row r="970">
      <c r="B970" s="12"/>
      <c r="C970" s="137"/>
    </row>
    <row r="971">
      <c r="B971" s="12"/>
      <c r="C971" s="137"/>
    </row>
    <row r="972">
      <c r="B972" s="12"/>
      <c r="C972" s="137"/>
    </row>
    <row r="973">
      <c r="B973" s="12"/>
      <c r="C973" s="137"/>
    </row>
    <row r="974">
      <c r="B974" s="12"/>
      <c r="C974" s="137"/>
    </row>
    <row r="975">
      <c r="B975" s="12"/>
      <c r="C975" s="137"/>
    </row>
    <row r="976">
      <c r="B976" s="12"/>
      <c r="C976" s="137"/>
    </row>
    <row r="977">
      <c r="B977" s="12"/>
      <c r="C977" s="137"/>
    </row>
    <row r="978">
      <c r="B978" s="12"/>
      <c r="C978" s="137"/>
    </row>
    <row r="979">
      <c r="B979" s="12"/>
      <c r="C979" s="137"/>
    </row>
    <row r="980">
      <c r="B980" s="12"/>
      <c r="C980" s="137"/>
    </row>
    <row r="981">
      <c r="B981" s="12"/>
      <c r="C981" s="137"/>
    </row>
    <row r="982">
      <c r="B982" s="12"/>
      <c r="C982" s="137"/>
    </row>
    <row r="983">
      <c r="B983" s="12"/>
      <c r="C983" s="137"/>
    </row>
    <row r="984">
      <c r="B984" s="12"/>
      <c r="C984" s="137"/>
    </row>
    <row r="985">
      <c r="B985" s="12"/>
      <c r="C985" s="137"/>
    </row>
    <row r="986">
      <c r="B986" s="12"/>
      <c r="C986" s="137"/>
    </row>
    <row r="987">
      <c r="B987" s="12"/>
      <c r="C987" s="137"/>
    </row>
    <row r="988">
      <c r="B988" s="12"/>
      <c r="C988" s="137"/>
    </row>
    <row r="989">
      <c r="B989" s="12"/>
      <c r="C989" s="137"/>
    </row>
    <row r="990">
      <c r="B990" s="12"/>
      <c r="C990" s="137"/>
    </row>
    <row r="991">
      <c r="B991" s="12"/>
      <c r="C991" s="137"/>
    </row>
    <row r="992">
      <c r="B992" s="12"/>
      <c r="C992" s="137"/>
    </row>
    <row r="993">
      <c r="B993" s="12"/>
      <c r="C993" s="137"/>
    </row>
    <row r="994">
      <c r="B994" s="12"/>
      <c r="C994" s="137"/>
    </row>
    <row r="995">
      <c r="B995" s="12"/>
      <c r="C995" s="137"/>
    </row>
    <row r="996">
      <c r="B996" s="12"/>
      <c r="C996" s="137"/>
    </row>
    <row r="997">
      <c r="B997" s="12"/>
      <c r="C997" s="137"/>
    </row>
    <row r="998">
      <c r="B998" s="12"/>
      <c r="C998" s="137"/>
    </row>
    <row r="999">
      <c r="B999" s="12"/>
      <c r="C999" s="137"/>
    </row>
    <row r="1000">
      <c r="B1000" s="12"/>
      <c r="C1000" s="137"/>
    </row>
    <row r="1001">
      <c r="B1001" s="12"/>
      <c r="C1001" s="137"/>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EAD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0"/>
    <col customWidth="1" min="2" max="2" width="21.0"/>
    <col customWidth="1" min="3" max="3" width="18.75"/>
    <col customWidth="1" min="4" max="4" width="16.0"/>
    <col customWidth="1" min="7" max="7" width="20.5"/>
    <col customWidth="1" min="8" max="8" width="58.13"/>
    <col customWidth="1" min="9" max="9" width="16.63"/>
    <col hidden="1" min="10" max="10" width="12.63"/>
  </cols>
  <sheetData>
    <row r="1">
      <c r="A1" s="305"/>
      <c r="B1" s="306"/>
      <c r="C1" s="307"/>
      <c r="D1" s="308"/>
      <c r="E1" s="309"/>
      <c r="F1" s="310"/>
      <c r="G1" s="311"/>
      <c r="H1" s="312"/>
      <c r="I1" s="308"/>
      <c r="J1" s="308"/>
    </row>
    <row r="2">
      <c r="A2" s="152" t="s">
        <v>586</v>
      </c>
      <c r="B2" s="152"/>
      <c r="C2" s="152"/>
      <c r="D2" s="152"/>
      <c r="E2" s="152"/>
      <c r="F2" s="152"/>
      <c r="G2" s="152"/>
      <c r="H2" s="152"/>
    </row>
    <row r="3">
      <c r="A3" s="152" t="s">
        <v>587</v>
      </c>
      <c r="B3" s="152"/>
      <c r="C3" s="152"/>
      <c r="D3" s="152"/>
      <c r="E3" s="152"/>
      <c r="F3" s="152"/>
      <c r="G3" s="152"/>
      <c r="H3" s="152"/>
    </row>
    <row r="4">
      <c r="A4" s="152" t="s">
        <v>588</v>
      </c>
      <c r="B4" s="152"/>
      <c r="C4" s="152"/>
      <c r="D4" s="152"/>
      <c r="E4" s="152"/>
      <c r="F4" s="152"/>
      <c r="G4" s="152"/>
      <c r="H4" s="152"/>
    </row>
    <row r="5">
      <c r="A5" s="152" t="s">
        <v>589</v>
      </c>
      <c r="B5" s="152"/>
      <c r="C5" s="152"/>
      <c r="D5" s="152"/>
      <c r="E5" s="152"/>
      <c r="F5" s="152"/>
      <c r="G5" s="152"/>
      <c r="H5" s="152"/>
    </row>
    <row r="6">
      <c r="A6" s="152" t="s">
        <v>590</v>
      </c>
      <c r="B6" s="152"/>
      <c r="C6" s="152"/>
      <c r="D6" s="152"/>
      <c r="E6" s="152"/>
      <c r="F6" s="152"/>
      <c r="G6" s="152"/>
      <c r="H6" s="152"/>
    </row>
    <row r="7">
      <c r="A7" s="153"/>
      <c r="B7" s="154"/>
      <c r="C7" s="155"/>
      <c r="D7" s="156"/>
      <c r="E7" s="157"/>
      <c r="F7" s="12"/>
      <c r="G7" s="158"/>
    </row>
    <row r="8">
      <c r="A8" s="86" t="s">
        <v>199</v>
      </c>
      <c r="B8" s="159" t="s">
        <v>53</v>
      </c>
      <c r="C8" s="159" t="s">
        <v>200</v>
      </c>
      <c r="D8" s="159" t="s">
        <v>201</v>
      </c>
      <c r="E8" s="157"/>
      <c r="F8" s="160" t="s">
        <v>199</v>
      </c>
      <c r="G8" s="161" t="s">
        <v>53</v>
      </c>
      <c r="H8" s="162" t="s">
        <v>202</v>
      </c>
      <c r="I8" s="163" t="s">
        <v>203</v>
      </c>
    </row>
    <row r="9">
      <c r="A9" s="164" t="str">
        <f>if(Glendeep_Import!B5=true,"Yes!","No")</f>
        <v>Yes!</v>
      </c>
      <c r="B9" s="165" t="s">
        <v>396</v>
      </c>
      <c r="C9" s="166" t="s">
        <v>205</v>
      </c>
      <c r="D9" s="167" t="s">
        <v>206</v>
      </c>
      <c r="F9" s="168" t="str">
        <f>if(Glendeep_Import!B24=true,"Yes!","No")</f>
        <v>Yes!</v>
      </c>
      <c r="G9" s="169" t="s">
        <v>556</v>
      </c>
      <c r="H9" s="170" t="s">
        <v>208</v>
      </c>
      <c r="I9" s="171" t="s">
        <v>209</v>
      </c>
      <c r="J9" s="172">
        <f>COUNTif(F9,"Yes!")</f>
        <v>1</v>
      </c>
    </row>
    <row r="10">
      <c r="A10" s="173" t="str">
        <f>if(Glendeep_Import!B6=true,"Yes!","No")</f>
        <v>Yes!</v>
      </c>
      <c r="B10" s="174" t="s">
        <v>308</v>
      </c>
      <c r="C10" s="175" t="s">
        <v>212</v>
      </c>
      <c r="D10" s="176" t="s">
        <v>206</v>
      </c>
      <c r="F10" s="177" t="str">
        <f>if(Glendeep_Import!B25=true,"Yes!","No")</f>
        <v>Yes!</v>
      </c>
      <c r="G10" s="169" t="s">
        <v>591</v>
      </c>
      <c r="H10" s="178" t="s">
        <v>592</v>
      </c>
      <c r="I10" s="250" t="s">
        <v>367</v>
      </c>
      <c r="J10" s="172">
        <f>COUNTif(F10:F14,"Yes!")</f>
        <v>2</v>
      </c>
    </row>
    <row r="11">
      <c r="A11" s="173" t="str">
        <f>if(Glendeep_Import!B7=true,"Yes!","No")</f>
        <v>Yes!</v>
      </c>
      <c r="B11" s="174" t="s">
        <v>297</v>
      </c>
      <c r="C11" s="175" t="s">
        <v>217</v>
      </c>
      <c r="D11" s="176" t="s">
        <v>206</v>
      </c>
      <c r="F11" s="179" t="str">
        <f>if(Glendeep_Import!B26=true,"Yes!","No")</f>
        <v>Yes!</v>
      </c>
      <c r="G11" s="180" t="s">
        <v>593</v>
      </c>
      <c r="H11" s="181" t="s">
        <v>592</v>
      </c>
      <c r="I11" s="182"/>
      <c r="J11" s="172"/>
    </row>
    <row r="12">
      <c r="A12" s="173" t="str">
        <f>if(Glendeep_Import!B8=true,"Yes!","No")</f>
        <v>Yes!</v>
      </c>
      <c r="B12" s="174" t="s">
        <v>594</v>
      </c>
      <c r="C12" s="175" t="s">
        <v>221</v>
      </c>
      <c r="D12" s="176" t="s">
        <v>222</v>
      </c>
      <c r="F12" s="183" t="str">
        <f>if(Glendeep_Import!B27=true,"Yes!","No")</f>
        <v>No</v>
      </c>
      <c r="G12" s="184" t="s">
        <v>236</v>
      </c>
      <c r="H12" s="185" t="s">
        <v>592</v>
      </c>
      <c r="I12" s="182"/>
      <c r="J12" s="172"/>
    </row>
    <row r="13">
      <c r="A13" s="173" t="str">
        <f>if(Glendeep_Import!B9=true,"Yes!","No")</f>
        <v>Yes!</v>
      </c>
      <c r="B13" s="174" t="s">
        <v>254</v>
      </c>
      <c r="C13" s="175" t="s">
        <v>226</v>
      </c>
      <c r="D13" s="176" t="s">
        <v>595</v>
      </c>
      <c r="F13" s="183" t="str">
        <f>if(Glendeep_Import!B28=true,"Yes!","No")</f>
        <v>No</v>
      </c>
      <c r="G13" s="184" t="s">
        <v>216</v>
      </c>
      <c r="H13" s="185" t="s">
        <v>592</v>
      </c>
      <c r="I13" s="182"/>
      <c r="J13" s="172"/>
    </row>
    <row r="14">
      <c r="A14" s="173" t="str">
        <f>if(Glendeep_Import!B10=true,"Yes!","No")</f>
        <v>Yes!</v>
      </c>
      <c r="B14" s="174" t="s">
        <v>522</v>
      </c>
      <c r="C14" s="175" t="s">
        <v>596</v>
      </c>
      <c r="D14" s="176" t="s">
        <v>597</v>
      </c>
      <c r="F14" s="207" t="str">
        <f>if(Glendeep_Import!B29=true,"Yes!","No")</f>
        <v>No</v>
      </c>
      <c r="G14" s="208" t="s">
        <v>223</v>
      </c>
      <c r="H14" s="210" t="s">
        <v>592</v>
      </c>
      <c r="I14" s="189"/>
      <c r="J14" s="172"/>
    </row>
    <row r="15">
      <c r="A15" s="173" t="str">
        <f>if(Glendeep_Import!B11=true,"Yes!","No")</f>
        <v>Yes!</v>
      </c>
      <c r="B15" s="174" t="s">
        <v>239</v>
      </c>
      <c r="C15" s="175" t="s">
        <v>598</v>
      </c>
      <c r="D15" s="176" t="s">
        <v>232</v>
      </c>
      <c r="F15" s="177" t="str">
        <f>if(Glendeep_Import!B30=true,"Yes!","No")</f>
        <v>Yes!</v>
      </c>
      <c r="G15" s="169" t="s">
        <v>220</v>
      </c>
      <c r="H15" s="178" t="s">
        <v>599</v>
      </c>
      <c r="I15" s="250" t="s">
        <v>367</v>
      </c>
      <c r="J15" s="172">
        <f>COUNTif(F15:F18,"Yes!")</f>
        <v>2</v>
      </c>
    </row>
    <row r="16">
      <c r="A16" s="173" t="str">
        <f>if(Glendeep_Import!B12=true,"Yes!","No")</f>
        <v>Yes!</v>
      </c>
      <c r="B16" s="174" t="s">
        <v>563</v>
      </c>
      <c r="C16" s="175" t="s">
        <v>600</v>
      </c>
      <c r="D16" s="176" t="s">
        <v>601</v>
      </c>
      <c r="F16" s="183" t="str">
        <f>if(Glendeep_Import!B31=true,"Yes!","No")</f>
        <v>No</v>
      </c>
      <c r="G16" s="184" t="s">
        <v>518</v>
      </c>
      <c r="H16" s="185" t="s">
        <v>602</v>
      </c>
      <c r="I16" s="182"/>
      <c r="J16" s="172"/>
    </row>
    <row r="17">
      <c r="A17" s="173" t="str">
        <f>if(Glendeep_Import!B13=true,"Yes!","No")</f>
        <v>No</v>
      </c>
      <c r="B17" s="174" t="s">
        <v>409</v>
      </c>
      <c r="C17" s="175" t="s">
        <v>603</v>
      </c>
      <c r="D17" s="176" t="s">
        <v>604</v>
      </c>
      <c r="F17" s="179" t="str">
        <f>if(Glendeep_Import!B32=true,"Yes!","No")</f>
        <v>Yes!</v>
      </c>
      <c r="G17" s="180" t="s">
        <v>260</v>
      </c>
      <c r="H17" s="181" t="s">
        <v>605</v>
      </c>
      <c r="I17" s="182"/>
      <c r="J17" s="172"/>
    </row>
    <row r="18">
      <c r="A18" s="173" t="str">
        <f>if(Glendeep_Import!B14=true,"Yes!","No")</f>
        <v>Yes!</v>
      </c>
      <c r="B18" s="174" t="s">
        <v>606</v>
      </c>
      <c r="C18" s="175" t="s">
        <v>607</v>
      </c>
      <c r="D18" s="176" t="s">
        <v>608</v>
      </c>
      <c r="F18" s="207" t="str">
        <f>if(Glendeep_Import!B33=true,"Yes!","No")</f>
        <v>No</v>
      </c>
      <c r="G18" s="208" t="s">
        <v>524</v>
      </c>
      <c r="H18" s="210" t="s">
        <v>599</v>
      </c>
      <c r="I18" s="189"/>
      <c r="J18" s="172"/>
    </row>
    <row r="19">
      <c r="A19" s="173" t="str">
        <f>if(Glendeep_Import!B15=true,"Yes!","No")</f>
        <v>Yes!</v>
      </c>
      <c r="B19" s="174" t="s">
        <v>495</v>
      </c>
      <c r="C19" s="175" t="s">
        <v>609</v>
      </c>
      <c r="D19" s="176" t="s">
        <v>610</v>
      </c>
      <c r="E19" s="176"/>
      <c r="F19" s="194" t="str">
        <f>if(Glendeep_Import!B34=true,"Yes!","No")</f>
        <v>No</v>
      </c>
      <c r="G19" s="195" t="s">
        <v>492</v>
      </c>
      <c r="H19" s="196" t="s">
        <v>611</v>
      </c>
      <c r="I19" s="197"/>
      <c r="J19" s="172"/>
    </row>
    <row r="20">
      <c r="A20" s="173" t="str">
        <f>if(Glendeep_Import!B16=true,"Yes!","No")</f>
        <v>Yes!</v>
      </c>
      <c r="B20" s="174" t="s">
        <v>612</v>
      </c>
      <c r="C20" s="175" t="s">
        <v>613</v>
      </c>
      <c r="D20" s="176" t="s">
        <v>614</v>
      </c>
      <c r="F20" s="177" t="str">
        <f>if(Glendeep_Import!B35=true,"Yes!","No")</f>
        <v>Yes!</v>
      </c>
      <c r="G20" s="169" t="s">
        <v>568</v>
      </c>
      <c r="H20" s="178" t="s">
        <v>615</v>
      </c>
      <c r="I20" s="250" t="s">
        <v>267</v>
      </c>
      <c r="J20" s="172">
        <f>COUNTif(F20:F22,"Yes!")</f>
        <v>1</v>
      </c>
    </row>
    <row r="21">
      <c r="A21" s="173" t="str">
        <f>if(Glendeep_Import!B17=true,"Yes!","No")</f>
        <v>Yes!</v>
      </c>
      <c r="B21" s="174" t="s">
        <v>616</v>
      </c>
      <c r="C21" s="175" t="s">
        <v>546</v>
      </c>
      <c r="D21" s="176" t="s">
        <v>547</v>
      </c>
      <c r="F21" s="183" t="str">
        <f>if(Glendeep_Import!B36=true,"Yes!","No")</f>
        <v>No</v>
      </c>
      <c r="G21" s="184" t="s">
        <v>262</v>
      </c>
      <c r="H21" s="185" t="s">
        <v>617</v>
      </c>
      <c r="I21" s="182"/>
      <c r="J21" s="172"/>
    </row>
    <row r="22">
      <c r="A22" s="173" t="str">
        <f>if(Glendeep_Import!B18=true,"Yes!","No")</f>
        <v>No</v>
      </c>
      <c r="B22" s="174" t="s">
        <v>239</v>
      </c>
      <c r="C22" s="175" t="s">
        <v>618</v>
      </c>
      <c r="D22" s="176" t="s">
        <v>619</v>
      </c>
      <c r="F22" s="207" t="str">
        <f>if(Glendeep_Import!B37=true,"Yes!","No")</f>
        <v>No</v>
      </c>
      <c r="G22" s="208" t="s">
        <v>620</v>
      </c>
      <c r="H22" s="210" t="s">
        <v>621</v>
      </c>
      <c r="I22" s="189"/>
      <c r="J22" s="172"/>
    </row>
    <row r="23">
      <c r="A23" s="173" t="str">
        <f>if(Glendeep_Import!B19=true,"Yes!","No")</f>
        <v>No</v>
      </c>
      <c r="B23" s="174" t="s">
        <v>622</v>
      </c>
      <c r="C23" s="175" t="s">
        <v>273</v>
      </c>
      <c r="D23" s="314"/>
      <c r="F23" s="177" t="str">
        <f>if(Glendeep_Import!B38=true,"Yes!","No")</f>
        <v>Yes!</v>
      </c>
      <c r="G23" s="169" t="s">
        <v>308</v>
      </c>
      <c r="H23" s="178" t="s">
        <v>623</v>
      </c>
      <c r="I23" s="171" t="s">
        <v>281</v>
      </c>
      <c r="J23" s="172">
        <f>COUNTif(F23:F25,"Yes!")</f>
        <v>2</v>
      </c>
    </row>
    <row r="24">
      <c r="A24" s="198" t="str">
        <f>If(Dashboard!$M7=TRUE,"Yes!","No")</f>
        <v>Yes!</v>
      </c>
      <c r="B24" s="199" t="s">
        <v>282</v>
      </c>
      <c r="C24" s="200" t="s">
        <v>206</v>
      </c>
      <c r="D24" s="201" t="s">
        <v>206</v>
      </c>
      <c r="F24" s="183" t="str">
        <f>if(Glendeep_Import!B39=true,"Yes!","No")</f>
        <v>No</v>
      </c>
      <c r="G24" s="184" t="s">
        <v>624</v>
      </c>
      <c r="H24" s="185" t="s">
        <v>625</v>
      </c>
      <c r="I24" s="182"/>
      <c r="J24" s="172"/>
    </row>
    <row r="25">
      <c r="F25" s="179" t="str">
        <f>if(Glendeep_Import!B40=true,"Yes!","No")</f>
        <v>Yes!</v>
      </c>
      <c r="G25" s="180" t="s">
        <v>285</v>
      </c>
      <c r="H25" s="181" t="s">
        <v>626</v>
      </c>
      <c r="I25" s="182"/>
      <c r="J25" s="172"/>
    </row>
    <row r="26">
      <c r="A26" s="202" t="s">
        <v>287</v>
      </c>
      <c r="F26" s="177" t="str">
        <f>if(Glendeep_Import!B41=true,"Yes!","No")</f>
        <v>Yes!</v>
      </c>
      <c r="G26" s="169" t="s">
        <v>627</v>
      </c>
      <c r="H26" s="178" t="s">
        <v>628</v>
      </c>
      <c r="I26" s="171" t="s">
        <v>267</v>
      </c>
      <c r="J26" s="172">
        <f>COUNTif(F26:F28,"Yes!")</f>
        <v>2</v>
      </c>
    </row>
    <row r="27">
      <c r="A27" s="315" t="str">
        <f>IFERROR(__xludf.DUMMYFUNCTION("IFERROR(FILTER(FLATTEN({Glendeep_Import!C5:C20; Glendeep_Import!C24:C52; Glendeep_Import!A60:A90}),FLATTEN({Glendeep_Import!C5:C20; Glendeep_Import!C24:C52; Glendeep_Import!A60:A90}) &lt;&gt; """" ), """" )"),"Intro-ed to Gloucester, and talked about Baronness Adina Valerius (EL)")</f>
        <v>Intro-ed to Gloucester, and talked about Baronness Adina Valerius (EL)</v>
      </c>
      <c r="B27" s="4"/>
      <c r="C27" s="4"/>
      <c r="D27" s="5"/>
      <c r="F27" s="179" t="str">
        <f>if(Glendeep_Import!B42=true,"Yes!","No")</f>
        <v>Yes!</v>
      </c>
      <c r="G27" s="180" t="s">
        <v>455</v>
      </c>
      <c r="H27" s="181" t="s">
        <v>629</v>
      </c>
      <c r="I27" s="182"/>
      <c r="J27" s="172"/>
    </row>
    <row r="28">
      <c r="A28" s="272" t="str">
        <f>IFERROR(__xludf.DUMMYFUNCTION("""COMPUTED_VALUE"""),"Were reluctant to divulge the reason for the mission. I kept after them until they explained everything. I spoke at length with Hyram, There are many good people who will help you if they can, but you will need to trust. It was touching. They gave me a br"&amp;"acelet to thank me. (JP)")</f>
        <v>Were reluctant to divulge the reason for the mission. I kept after them until they explained everything. I spoke at length with Hyram, There are many good people who will help you if they can, but you will need to trust. It was touching. They gave me a bracelet to thank me. (JP)</v>
      </c>
      <c r="D28" s="182"/>
      <c r="F28" s="183" t="str">
        <f>if(Glendeep_Import!B43=true,"Yes!","No")</f>
        <v>No</v>
      </c>
      <c r="G28" s="184" t="s">
        <v>373</v>
      </c>
      <c r="H28" s="185" t="s">
        <v>630</v>
      </c>
      <c r="I28" s="189"/>
      <c r="J28" s="172"/>
    </row>
    <row r="29">
      <c r="A29" s="272" t="str">
        <f>IFERROR(__xludf.DUMMYFUNCTION("""COMPUTED_VALUE"""),"Took to Makai camp to meet Kemma Runereader (CL)")</f>
        <v>Took to Makai camp to meet Kemma Runereader (CL)</v>
      </c>
      <c r="D29" s="182"/>
      <c r="F29" s="177" t="str">
        <f>if(Glendeep_Import!B44=true,"Yes!","No")</f>
        <v>Yes!</v>
      </c>
      <c r="G29" s="169" t="s">
        <v>279</v>
      </c>
      <c r="H29" s="178" t="s">
        <v>631</v>
      </c>
      <c r="I29" s="171" t="s">
        <v>472</v>
      </c>
      <c r="J29" s="172">
        <f>COUNTif(F29:F35,"Yes!")</f>
        <v>6</v>
      </c>
    </row>
    <row r="30">
      <c r="A30" s="272" t="str">
        <f>IFERROR(__xludf.DUMMYFUNCTION("""COMPUTED_VALUE"""),"Cup of Insight Ritual - also read runes about sick child - candle, snowflake, owl with a moon (EC)")</f>
        <v>Cup of Insight Ritual - also read runes about sick child - candle, snowflake, owl with a moon (EC)</v>
      </c>
      <c r="D30" s="182"/>
      <c r="F30" s="179" t="str">
        <f>if(Glendeep_Import!B45=true,"Yes!","No")</f>
        <v>Yes!</v>
      </c>
      <c r="G30" s="180" t="s">
        <v>632</v>
      </c>
      <c r="H30" s="181" t="s">
        <v>633</v>
      </c>
      <c r="I30" s="182"/>
      <c r="J30" s="172"/>
    </row>
    <row r="31">
      <c r="A31" s="272" t="str">
        <f>IFERROR(__xludf.DUMMYFUNCTION("""COMPUTED_VALUE"""),"Came during the court of mirrors challenge when Poppy was busy with another party. Adina handled the ""transfer"" (LH)")</f>
        <v>Came during the court of mirrors challenge when Poppy was busy with another party. Adina handled the "transfer" (LH)</v>
      </c>
      <c r="D31" s="182"/>
      <c r="F31" s="183" t="str">
        <f>if(Glendeep_Import!B46=true,"Yes!","No")</f>
        <v>No</v>
      </c>
      <c r="G31" s="184" t="s">
        <v>211</v>
      </c>
      <c r="H31" s="185" t="s">
        <v>634</v>
      </c>
      <c r="I31" s="182"/>
      <c r="J31" s="172"/>
    </row>
    <row r="32">
      <c r="A32" s="272" t="str">
        <f>IFERROR(__xludf.DUMMYFUNCTION("""COMPUTED_VALUE"""),"I served them at breakfast but they didn't have their list so didn't connect me with shadow ward. Will try again at lunch. Update: they are back on track. Told them I'd think about helping and would meet them Sunday at 9:30am.")</f>
        <v>I served them at breakfast but they didn't have their list so didn't connect me with shadow ward. Will try again at lunch. Update: they are back on track. Told them I'd think about helping and would meet them Sunday at 9:30am.</v>
      </c>
      <c r="D32" s="182"/>
      <c r="F32" s="179" t="str">
        <f>if(Glendeep_Import!B47=true,"Yes!","No")</f>
        <v>Yes!</v>
      </c>
      <c r="G32" s="180" t="s">
        <v>635</v>
      </c>
      <c r="H32" s="181" t="s">
        <v>636</v>
      </c>
      <c r="I32" s="182"/>
      <c r="J32" s="172"/>
    </row>
    <row r="33">
      <c r="A33" s="272" t="str">
        <f>IFERROR(__xludf.DUMMYFUNCTION("""COMPUTED_VALUE"""),"This is a very gelled group who cares about eachother, they're sweet - BW")</f>
        <v>This is a very gelled group who cares about eachother, they're sweet - BW</v>
      </c>
      <c r="D33" s="182"/>
      <c r="F33" s="179" t="str">
        <f>if(Glendeep_Import!B48=true,"Yes!","No")</f>
        <v>Yes!</v>
      </c>
      <c r="G33" s="180" t="s">
        <v>382</v>
      </c>
      <c r="H33" s="181" t="s">
        <v>637</v>
      </c>
      <c r="I33" s="182"/>
      <c r="J33" s="172"/>
    </row>
    <row r="34">
      <c r="A34" s="272" t="str">
        <f>IFERROR(__xludf.DUMMYFUNCTION("""COMPUTED_VALUE"""),"Done.")</f>
        <v>Done.</v>
      </c>
      <c r="D34" s="182"/>
      <c r="F34" s="179" t="str">
        <f>if(Glendeep_Import!B49=true,"Yes!","No")</f>
        <v>Yes!</v>
      </c>
      <c r="G34" s="180" t="s">
        <v>207</v>
      </c>
      <c r="H34" s="181" t="s">
        <v>638</v>
      </c>
      <c r="I34" s="182"/>
      <c r="J34" s="172"/>
    </row>
    <row r="35">
      <c r="A35" s="272" t="str">
        <f>IFERROR(__xludf.DUMMYFUNCTION("""COMPUTED_VALUE"""),"Did the Observation Challenge outside of Smirches (after moderate handholding to realize that I had something they needed). They were impressively observant.")</f>
        <v>Did the Observation Challenge outside of Smirches (after moderate handholding to realize that I had something they needed). They were impressively observant.</v>
      </c>
      <c r="D35" s="182"/>
      <c r="F35" s="186" t="str">
        <f>if(Glendeep_Import!B50=true,"Yes!","No")</f>
        <v>Yes!</v>
      </c>
      <c r="G35" s="187" t="s">
        <v>298</v>
      </c>
      <c r="H35" s="188" t="s">
        <v>639</v>
      </c>
      <c r="I35" s="189"/>
      <c r="J35" s="172"/>
    </row>
    <row r="36">
      <c r="A36" s="272" t="str">
        <f>IFERROR(__xludf.DUMMYFUNCTION("""COMPUTED_VALUE"""),"they did a great job supporting each other.  Impressive because several are not tiny dudes.  Clearly comfortable with introspection and touchy-feely stuff. One of them (bigger guy) was really kind to Lincroft  (KLH)")</f>
        <v>they did a great job supporting each other.  Impressive because several are not tiny dudes.  Clearly comfortable with introspection and touchy-feely stuff. One of them (bigger guy) was really kind to Lincroft  (KLH)</v>
      </c>
      <c r="D36" s="182"/>
      <c r="F36" s="190" t="str">
        <f>if(Glendeep_Import!B51=true,"Yes!","No")</f>
        <v>Yes!</v>
      </c>
      <c r="G36" s="191" t="s">
        <v>640</v>
      </c>
      <c r="H36" s="192" t="s">
        <v>641</v>
      </c>
      <c r="I36" s="193" t="s">
        <v>209</v>
      </c>
      <c r="J36" s="172">
        <f t="shared" ref="J36:J37" si="1">COUNTif(F36,"Yes!")</f>
        <v>1</v>
      </c>
    </row>
    <row r="37">
      <c r="A37" s="272" t="str">
        <f>IFERROR(__xludf.DUMMYFUNCTION("""COMPUTED_VALUE"""),"they asked immediately if i knew who frost was and as i walked away one of them said ""frost does paintings!"" -MFL")</f>
        <v>they asked immediately if i knew who frost was and as i walked away one of them said "frost does paintings!" -MFL</v>
      </c>
      <c r="D37" s="182"/>
      <c r="F37" s="218" t="str">
        <f>if(Glendeep_Import!B52=true,"Yes!","No")</f>
        <v>No</v>
      </c>
      <c r="G37" s="219" t="s">
        <v>284</v>
      </c>
      <c r="H37" s="220" t="s">
        <v>642</v>
      </c>
      <c r="I37" s="221" t="s">
        <v>209</v>
      </c>
      <c r="J37" s="172">
        <f t="shared" si="1"/>
        <v>0</v>
      </c>
    </row>
    <row r="38">
      <c r="A38" s="272" t="str">
        <f>IFERROR(__xludf.DUMMYFUNCTION("""COMPUTED_VALUE"""),"Given after the ritual.  Traveller and Caster were very tuned in.")</f>
        <v>Given after the ritual.  Traveller and Caster were very tuned in.</v>
      </c>
      <c r="D38" s="182"/>
      <c r="F38" s="218" t="str">
        <f>if(Glendeep_Import!B53=true,"Yes!","No")</f>
        <v>No</v>
      </c>
      <c r="G38" s="219" t="s">
        <v>643</v>
      </c>
      <c r="H38" s="220" t="s">
        <v>644</v>
      </c>
      <c r="I38" s="294"/>
      <c r="J38" s="172"/>
    </row>
    <row r="39">
      <c r="A39" s="272" t="str">
        <f>IFERROR(__xludf.DUMMYFUNCTION("""COMPUTED_VALUE"""),"invited to house at lunch Sat, they're quite ""busy"", mentioned Frost")</f>
        <v>invited to house at lunch Sat, they're quite "busy", mentioned Frost</v>
      </c>
      <c r="D39" s="182"/>
      <c r="F39" s="190" t="str">
        <f>if(Dashboard!G7=true,"Yes!","No")</f>
        <v>Yes!</v>
      </c>
      <c r="G39" s="191" t="s">
        <v>302</v>
      </c>
      <c r="H39" s="192" t="s">
        <v>645</v>
      </c>
      <c r="I39" s="193" t="s">
        <v>209</v>
      </c>
      <c r="J39" s="172">
        <f t="shared" ref="J39:J42" si="2">COUNTif(F39,"Yes!")</f>
        <v>1</v>
      </c>
    </row>
    <row r="40">
      <c r="A40" s="272" t="str">
        <f>IFERROR(__xludf.DUMMYFUNCTION("""COMPUTED_VALUE"""),"told them the shoe cleaning story")</f>
        <v>told them the shoe cleaning story</v>
      </c>
      <c r="D40" s="182"/>
      <c r="F40" s="218" t="str">
        <f>if(Glendeep_Import!B55=true,"Yes!","No")</f>
        <v>No</v>
      </c>
      <c r="G40" s="219" t="s">
        <v>239</v>
      </c>
      <c r="H40" s="220" t="s">
        <v>646</v>
      </c>
      <c r="I40" s="221" t="s">
        <v>209</v>
      </c>
      <c r="J40" s="172">
        <f t="shared" si="2"/>
        <v>0</v>
      </c>
    </row>
    <row r="41">
      <c r="A41" s="272" t="str">
        <f>IFERROR(__xludf.DUMMYFUNCTION("""COMPUTED_VALUE"""),"gave story about lady carmina, they asked a lot of questions regarding changed people, tambourines, and hadn't met lady carmina yet")</f>
        <v>gave story about lady carmina, they asked a lot of questions regarding changed people, tambourines, and hadn't met lady carmina yet</v>
      </c>
      <c r="D41" s="182"/>
      <c r="F41" s="303" t="str">
        <f>if(Glendeep_Import!B56=true,"Yes!","No")</f>
        <v>No</v>
      </c>
      <c r="G41" s="219" t="s">
        <v>647</v>
      </c>
      <c r="H41" s="220" t="s">
        <v>648</v>
      </c>
      <c r="I41" s="221" t="s">
        <v>209</v>
      </c>
      <c r="J41" s="172">
        <f t="shared" si="2"/>
        <v>0</v>
      </c>
    </row>
    <row r="42">
      <c r="A42" s="272" t="str">
        <f>IFERROR(__xludf.DUMMYFUNCTION("""COMPUTED_VALUE"""),"told my clue to the traveler, who was focused on frost as the solution to the question.  I brought up Bordeaux in the process of complimenting Aesthetika's hard work and honesty")</f>
        <v>told my clue to the traveler, who was focused on frost as the solution to the question.  I brought up Bordeaux in the process of complimenting Aesthetika's hard work and honesty</v>
      </c>
      <c r="D42" s="182"/>
      <c r="F42" s="303" t="str">
        <f>if(Glendeep_Import!B57=true,"Yes!","No")</f>
        <v>No</v>
      </c>
      <c r="G42" s="219" t="s">
        <v>556</v>
      </c>
      <c r="H42" s="220" t="s">
        <v>649</v>
      </c>
      <c r="I42" s="221" t="s">
        <v>209</v>
      </c>
      <c r="J42" s="172">
        <f t="shared" si="2"/>
        <v>0</v>
      </c>
    </row>
    <row r="43">
      <c r="A43" s="226" t="str">
        <f>IFERROR(__xludf.DUMMYFUNCTION("""COMPUTED_VALUE"""),"Spoke with the Keeper.")</f>
        <v>Spoke with the Keeper.</v>
      </c>
      <c r="D43" s="182"/>
      <c r="E43" s="157"/>
    </row>
    <row r="44">
      <c r="A44" s="226" t="str">
        <f>IFERROR(__xludf.DUMMYFUNCTION("""COMPUTED_VALUE"""),"Gave the charge info to 3 party members, they mentioned that they were tracking that pictures were showing up and then 55 royals were going missing. Asked about who Frost was.  Knew that JPeg was a good artist but seemed to be tracking Frost and not getti"&amp;"ng distracted by JPeg.  1:30pm Sat")</f>
        <v>Gave the charge info to 3 party members, they mentioned that they were tracking that pictures were showing up and then 55 royals were going missing. Asked about who Frost was.  Knew that JPeg was a good artist but seemed to be tracking Frost and not getting distracted by JPeg.  1:30pm Sat</v>
      </c>
      <c r="D44" s="182"/>
      <c r="E44" s="157"/>
      <c r="F44" s="12"/>
      <c r="G44" s="158"/>
    </row>
    <row r="45">
      <c r="A45" s="226" t="str">
        <f>IFERROR(__xludf.DUMMYFUNCTION("""COMPUTED_VALUE"""),"they care and had great moment with maker very much thinks she did not do it but not sure how to prove")</f>
        <v>they care and had great moment with maker very much thinks she did not do it but not sure how to prove</v>
      </c>
      <c r="D45" s="182"/>
      <c r="E45" s="157"/>
      <c r="F45" s="12"/>
      <c r="G45" s="158"/>
    </row>
    <row r="46">
      <c r="A46" s="226" t="str">
        <f>IFERROR(__xludf.DUMMYFUNCTION("""COMPUTED_VALUE"""),"Told Caster alone about the odd coincidence of 55 royals gone from Elliot after he found his portrait, and then appearing in A's drawer. Assured them I still didn't think she was guilty.")</f>
        <v>Told Caster alone about the odd coincidence of 55 royals gone from Elliot after he found his portrait, and then appearing in A's drawer. Assured them I still didn't think she was guilty.</v>
      </c>
      <c r="D46" s="182"/>
      <c r="E46" s="157"/>
      <c r="F46" s="12"/>
      <c r="G46" s="158"/>
    </row>
    <row r="47">
      <c r="A47" s="226" t="str">
        <f>IFERROR(__xludf.DUMMYFUNCTION("""COMPUTED_VALUE"""),"spoke closely with Maker &amp; one other member about finding the painting &amp; 75 royals missing; they were very engaged. Sat breakfast. MO")</f>
        <v>spoke closely with Maker &amp; one other member about finding the painting &amp; 75 royals missing; they were very engaged. Sat breakfast. MO</v>
      </c>
      <c r="D47" s="182"/>
      <c r="E47" s="157"/>
      <c r="F47" s="12"/>
      <c r="G47" s="158"/>
    </row>
    <row r="48">
      <c r="A48" s="226" t="str">
        <f>IFERROR(__xludf.DUMMYFUNCTION("""COMPUTED_VALUE"""),"They were becoming suspicious of Frost")</f>
        <v>They were becoming suspicious of Frost</v>
      </c>
      <c r="D48" s="182"/>
      <c r="E48" s="157"/>
      <c r="F48" s="12"/>
      <c r="G48" s="158"/>
    </row>
    <row r="49">
      <c r="A49" s="226" t="str">
        <f>IFERROR(__xludf.DUMMYFUNCTION("""COMPUTED_VALUE"""),"seemed fixated on the fact that it was 55 royals that were stolen, I think they thought there was significance to the number (MR)")</f>
        <v>seemed fixated on the fact that it was 55 royals that were stolen, I think they thought there was significance to the number (MR)</v>
      </c>
      <c r="D49" s="182"/>
      <c r="E49" s="157"/>
      <c r="F49" s="12"/>
      <c r="G49" s="158"/>
    </row>
    <row r="50">
      <c r="A50" s="226" t="str">
        <f>IFERROR(__xludf.DUMMYFUNCTION("""COMPUTED_VALUE"""),"Totally connected the painting to the others. No mention of the glittery paint yet, did ask questions about whether money was taken (Sat 9:30 AM) - Mirin")</f>
        <v>Totally connected the painting to the others. No mention of the glittery paint yet, did ask questions about whether money was taken (Sat 9:30 AM) - Mirin</v>
      </c>
      <c r="D50" s="182"/>
      <c r="E50" s="157"/>
      <c r="F50" s="12"/>
      <c r="G50" s="158"/>
    </row>
    <row r="51">
      <c r="A51" s="226" t="str">
        <f>IFERROR(__xludf.DUMMYFUNCTION("""COMPUTED_VALUE"""),"Immediately brought up other painting situations they are on it. ")</f>
        <v>Immediately brought up other painting situations they are on it. </v>
      </c>
      <c r="D51" s="182"/>
      <c r="E51" s="157"/>
      <c r="F51" s="12"/>
      <c r="G51" s="158"/>
    </row>
    <row r="52">
      <c r="A52" s="226" t="str">
        <f>IFERROR(__xludf.DUMMYFUNCTION("""COMPUTED_VALUE"""),"They seemed already convinced Aesthetika is innocent, but relayed my full charge inforamtion . They asked follow ups.  Seem very organized.")</f>
        <v>They seemed already convinced Aesthetika is innocent, but relayed my full charge inforamtion . They asked follow ups.  Seem very organized.</v>
      </c>
      <c r="D52" s="182"/>
      <c r="E52" s="157"/>
      <c r="F52" s="12"/>
      <c r="G52" s="158"/>
    </row>
    <row r="53">
      <c r="A53" s="226" t="str">
        <f>IFERROR(__xludf.DUMMYFUNCTION("""COMPUTED_VALUE"""),"The party is very in it, kept asking if they could sleep in the lake. They have a ""buddy system"" for fights and checked in with each other after the Skeevers. They also gave me a token (bracelet) from Glendeep. (CL)")</f>
        <v>The party is very in it, kept asking if they could sleep in the lake. They have a "buddy system" for fights and checked in with each other after the Skeevers. They also gave me a token (bracelet) from Glendeep. (CL)</v>
      </c>
      <c r="D53" s="182"/>
      <c r="E53" s="157"/>
      <c r="F53" s="12"/>
      <c r="G53" s="158"/>
    </row>
    <row r="54">
      <c r="A54" s="226" t="str">
        <f>IFERROR(__xludf.DUMMYFUNCTION("""COMPUTED_VALUE"""),"They gave me (Kylie Talespinner) a friendship bracelet after chatting in the Tavern for 20 mins. They seem like a really nice and thoughtful party! MG")</f>
        <v>They gave me (Kylie Talespinner) a friendship bracelet after chatting in the Tavern for 20 mins. They seem like a really nice and thoughtful party! MG</v>
      </c>
      <c r="D54" s="182"/>
      <c r="E54" s="157"/>
      <c r="F54" s="12"/>
      <c r="G54" s="158"/>
    </row>
    <row r="55">
      <c r="A55" s="226" t="str">
        <f>IFERROR(__xludf.DUMMYFUNCTION("""COMPUTED_VALUE"""),"I asked them about the flora under the sea and literally every  single one of them participated in coming up with ideas about coral and sea cucumbers. They seem really cohesive. -MFL")</f>
        <v>I asked them about the flora under the sea and literally every  single one of them participated in coming up with ideas about coral and sea cucumbers. They seem really cohesive. -MFL</v>
      </c>
      <c r="D55" s="182"/>
      <c r="E55" s="157"/>
      <c r="F55" s="12"/>
      <c r="G55" s="158"/>
    </row>
    <row r="56">
      <c r="A56" s="226" t="str">
        <f>IFERROR(__xludf.DUMMYFUNCTION("""COMPUTED_VALUE"""),"Ander #2 restored a free hit. In good spirits.")</f>
        <v>Ander #2 restored a free hit. In good spirits.</v>
      </c>
      <c r="D56" s="182"/>
      <c r="E56" s="157"/>
      <c r="F56" s="12"/>
      <c r="G56" s="158"/>
    </row>
    <row r="57">
      <c r="A57" s="226" t="str">
        <f>IFERROR(__xludf.DUMMYFUNCTION("""COMPUTED_VALUE"""),"party photo taken -Mirin")</f>
        <v>party photo taken -Mirin</v>
      </c>
      <c r="D57" s="182"/>
      <c r="E57" s="157"/>
      <c r="F57" s="12"/>
      <c r="G57" s="158"/>
    </row>
    <row r="58">
      <c r="A58" s="226" t="str">
        <f>IFERROR(__xludf.DUMMYFUNCTION("""COMPUTED_VALUE"""),"Glendeep's maker stood up at lunch and invited fellow Makers to a ""Makers Space"" in the corner to collaborate around 1pm - very cool. Also gave me a friendship bracelet - Kira")</f>
        <v>Glendeep's maker stood up at lunch and invited fellow Makers to a "Makers Space" in the corner to collaborate around 1pm - very cool. Also gave me a friendship bracelet - Kira</v>
      </c>
      <c r="D58" s="182"/>
      <c r="E58" s="157"/>
      <c r="F58" s="12"/>
      <c r="G58" s="158"/>
    </row>
    <row r="59">
      <c r="A59" s="226" t="str">
        <f>IFERROR(__xludf.DUMMYFUNCTION("""COMPUTED_VALUE"""),"There Bailey a stick over and over until they took mercy and soothed me to sleep so I could have a rest")</f>
        <v>There Bailey a stick over and over until they took mercy and soothed me to sleep so I could have a rest</v>
      </c>
      <c r="D59" s="182"/>
      <c r="E59" s="157"/>
      <c r="F59" s="12"/>
      <c r="G59" s="158"/>
    </row>
    <row r="60">
      <c r="A60" s="226" t="str">
        <f>IFERROR(__xludf.DUMMYFUNCTION("""COMPUTED_VALUE"""),"So kind and hardworking. gave me a bracelet too! Lane 1:44 pm")</f>
        <v>So kind and hardworking. gave me a bracelet too! Lane 1:44 pm</v>
      </c>
      <c r="D60" s="182"/>
      <c r="E60" s="157"/>
      <c r="F60" s="12"/>
      <c r="G60" s="158"/>
    </row>
    <row r="61">
      <c r="A61" s="316" t="str">
        <f>IFERROR(__xludf.DUMMYFUNCTION("""COMPUTED_VALUE"""),"Such a lovely party. All very engaged. Gave Pansy a bracelet. - HA")</f>
        <v>Such a lovely party. All very engaged. Gave Pansy a bracelet. - HA</v>
      </c>
      <c r="B61" s="228"/>
      <c r="C61" s="228"/>
      <c r="D61" s="189"/>
      <c r="E61" s="157"/>
      <c r="F61" s="12"/>
      <c r="G61" s="158"/>
    </row>
    <row r="62">
      <c r="A62" s="138" t="str">
        <f>IFERROR(__xludf.DUMMYFUNCTION("""COMPUTED_VALUE"""),"Saturday AM: Equi told one member (tallish guy with a hat on) about the golden page and the visit with Nemaia ")</f>
        <v>Saturday AM: Equi told one member (tallish guy with a hat on) about the golden page and the visit with Nemaia </v>
      </c>
      <c r="B62" s="138"/>
      <c r="C62" s="138"/>
      <c r="D62" s="138"/>
      <c r="E62" s="157"/>
      <c r="F62" s="12"/>
      <c r="G62" s="158"/>
    </row>
    <row r="63">
      <c r="A63" s="138" t="str">
        <f>IFERROR(__xludf.DUMMYFUNCTION("""COMPUTED_VALUE"""),"as of Saturday noon, Gleedeep caster had (proudly) used 5 spells, but did not buy any renewals from C&amp;E at that time; used most of them against cursed skeever on Hillside side; I bought empty trap #36 from them and some kind of used vision mask as Crabtre"&amp;"e - MO")</f>
        <v>as of Saturday noon, Gleedeep caster had (proudly) used 5 spells, but did not buy any renewals from C&amp;E at that time; used most of them against cursed skeever on Hillside side; I bought empty trap #36 from them and some kind of used vision mask as Crabtree - MO</v>
      </c>
      <c r="B63" s="138"/>
      <c r="C63" s="138"/>
      <c r="D63" s="138"/>
      <c r="E63" s="157"/>
      <c r="F63" s="12"/>
      <c r="G63" s="158"/>
    </row>
    <row r="64">
      <c r="A64" s="153" t="str">
        <f>IFERROR(__xludf.DUMMYFUNCTION("""COMPUTED_VALUE"""),"They killed Hatchet with Hidden Path followed by Death….  Then tic tic boom during healing, but they SUCCESSFULLY DISPELLED it!   It was FANTASTIC!!!!!!")</f>
        <v>They killed Hatchet with Hidden Path followed by Death….  Then tic tic boom during healing, but they SUCCESSFULLY DISPELLED it!   It was FANTASTIC!!!!!!</v>
      </c>
      <c r="B64" s="229"/>
      <c r="C64" s="230"/>
      <c r="D64" s="231"/>
      <c r="E64" s="157"/>
      <c r="F64" s="12"/>
      <c r="G64" s="158"/>
    </row>
    <row r="65">
      <c r="A65" s="153" t="str">
        <f>IFERROR(__xludf.DUMMYFUNCTION("""COMPUTED_VALUE"""),"Gave the seeker the single combat he wanted AND THEN SOME. Great party!")</f>
        <v>Gave the seeker the single combat he wanted AND THEN SOME. Great party!</v>
      </c>
      <c r="B65" s="229"/>
      <c r="C65" s="230"/>
      <c r="D65" s="231"/>
      <c r="E65" s="157"/>
      <c r="F65" s="12"/>
      <c r="G65" s="158"/>
    </row>
    <row r="66">
      <c r="A66" s="153" t="str">
        <f>IFERROR(__xludf.DUMMYFUNCTION("""COMPUTED_VALUE"""),"Gave Seeker rejuvanation before Dreadwright after they answered ""what's keeping you from being the best version of yourself"" - beautiful answer about avoiding conflict and we ended up best friends. - Kels")</f>
        <v>Gave Seeker rejuvanation before Dreadwright after they answered "what's keeping you from being the best version of yourself" - beautiful answer about avoiding conflict and we ended up best friends. - Kels</v>
      </c>
      <c r="B66" s="229"/>
      <c r="C66" s="230"/>
      <c r="D66" s="231"/>
      <c r="E66" s="157"/>
      <c r="F66" s="12"/>
      <c r="G66" s="158"/>
    </row>
    <row r="67">
      <c r="A67" s="153"/>
      <c r="B67" s="229"/>
      <c r="C67" s="230"/>
      <c r="D67" s="231"/>
      <c r="E67" s="157"/>
      <c r="F67" s="12"/>
      <c r="G67" s="158"/>
    </row>
    <row r="68">
      <c r="A68" s="153"/>
      <c r="B68" s="229"/>
      <c r="C68" s="230"/>
      <c r="D68" s="231"/>
      <c r="E68" s="157"/>
      <c r="F68" s="12"/>
      <c r="G68" s="158"/>
    </row>
    <row r="69">
      <c r="A69" s="153"/>
      <c r="B69" s="229"/>
      <c r="C69" s="230"/>
      <c r="D69" s="231"/>
      <c r="E69" s="157"/>
      <c r="F69" s="12"/>
      <c r="G69" s="158"/>
    </row>
    <row r="70">
      <c r="A70" s="153"/>
      <c r="B70" s="229"/>
      <c r="C70" s="230"/>
      <c r="D70" s="231"/>
      <c r="E70" s="157"/>
      <c r="F70" s="12"/>
      <c r="G70" s="158"/>
    </row>
    <row r="71">
      <c r="A71" s="153"/>
      <c r="B71" s="229"/>
      <c r="C71" s="230"/>
      <c r="D71" s="231"/>
      <c r="E71" s="157"/>
      <c r="F71" s="12"/>
      <c r="G71" s="158"/>
    </row>
    <row r="72">
      <c r="A72" s="153"/>
      <c r="B72" s="229"/>
      <c r="C72" s="230"/>
      <c r="D72" s="231"/>
      <c r="E72" s="157"/>
      <c r="F72" s="12"/>
      <c r="G72" s="158"/>
    </row>
    <row r="73">
      <c r="A73" s="153"/>
      <c r="B73" s="229"/>
      <c r="C73" s="230"/>
      <c r="D73" s="231"/>
      <c r="E73" s="157"/>
      <c r="F73" s="12"/>
      <c r="G73" s="158"/>
    </row>
    <row r="74">
      <c r="A74" s="153"/>
      <c r="B74" s="229"/>
      <c r="C74" s="230"/>
      <c r="D74" s="231"/>
      <c r="E74" s="157"/>
      <c r="F74" s="12"/>
      <c r="G74" s="158"/>
    </row>
    <row r="75">
      <c r="A75" s="153"/>
      <c r="B75" s="229"/>
      <c r="C75" s="230"/>
      <c r="D75" s="231"/>
      <c r="E75" s="157"/>
      <c r="F75" s="12"/>
      <c r="G75" s="158"/>
    </row>
    <row r="76">
      <c r="A76" s="153"/>
      <c r="B76" s="229"/>
      <c r="C76" s="230"/>
      <c r="D76" s="231"/>
      <c r="E76" s="157"/>
      <c r="F76" s="12"/>
      <c r="G76" s="158"/>
    </row>
    <row r="77">
      <c r="A77" s="153"/>
      <c r="B77" s="229"/>
      <c r="C77" s="230"/>
      <c r="D77" s="231"/>
      <c r="E77" s="157"/>
      <c r="F77" s="12"/>
      <c r="G77" s="158"/>
    </row>
    <row r="78">
      <c r="A78" s="153"/>
      <c r="B78" s="229"/>
      <c r="C78" s="230"/>
      <c r="D78" s="231"/>
      <c r="E78" s="157"/>
      <c r="F78" s="12"/>
      <c r="G78" s="158"/>
    </row>
    <row r="79">
      <c r="A79" s="153"/>
      <c r="B79" s="229"/>
      <c r="C79" s="230"/>
      <c r="D79" s="231"/>
      <c r="E79" s="157"/>
      <c r="F79" s="12"/>
      <c r="G79" s="158"/>
    </row>
    <row r="80">
      <c r="A80" s="153"/>
      <c r="B80" s="229"/>
      <c r="C80" s="230"/>
      <c r="D80" s="231"/>
      <c r="E80" s="157"/>
      <c r="F80" s="12"/>
      <c r="G80" s="158"/>
    </row>
    <row r="81">
      <c r="A81" s="153"/>
      <c r="B81" s="229"/>
      <c r="C81" s="230"/>
      <c r="D81" s="231"/>
      <c r="E81" s="157"/>
      <c r="F81" s="12"/>
      <c r="G81" s="158"/>
    </row>
    <row r="82">
      <c r="A82" s="153"/>
      <c r="B82" s="229"/>
      <c r="C82" s="230"/>
      <c r="D82" s="231"/>
      <c r="E82" s="157"/>
      <c r="F82" s="12"/>
      <c r="G82" s="158"/>
    </row>
    <row r="83">
      <c r="A83" s="153"/>
      <c r="B83" s="229"/>
      <c r="C83" s="230"/>
      <c r="D83" s="231"/>
      <c r="E83" s="157"/>
      <c r="F83" s="12"/>
      <c r="G83" s="158"/>
    </row>
    <row r="84">
      <c r="A84" s="153"/>
      <c r="B84" s="229"/>
      <c r="C84" s="230"/>
      <c r="D84" s="231"/>
      <c r="E84" s="157"/>
      <c r="F84" s="12"/>
      <c r="G84" s="158"/>
    </row>
    <row r="85">
      <c r="A85" s="153"/>
      <c r="B85" s="229"/>
      <c r="C85" s="230"/>
      <c r="D85" s="231"/>
      <c r="E85" s="157"/>
      <c r="F85" s="12"/>
      <c r="G85" s="158"/>
    </row>
    <row r="86">
      <c r="A86" s="153"/>
      <c r="B86" s="229"/>
      <c r="C86" s="230"/>
      <c r="D86" s="231"/>
      <c r="E86" s="157"/>
      <c r="F86" s="12"/>
      <c r="G86" s="158"/>
    </row>
    <row r="87">
      <c r="A87" s="153"/>
      <c r="B87" s="229"/>
      <c r="C87" s="230"/>
      <c r="D87" s="231"/>
      <c r="E87" s="157"/>
      <c r="F87" s="12"/>
      <c r="G87" s="158"/>
    </row>
    <row r="88">
      <c r="A88" s="153"/>
      <c r="B88" s="229"/>
      <c r="C88" s="230"/>
      <c r="D88" s="231"/>
      <c r="E88" s="157"/>
      <c r="F88" s="12"/>
      <c r="G88" s="158"/>
    </row>
    <row r="89">
      <c r="A89" s="153"/>
      <c r="B89" s="229"/>
      <c r="C89" s="230"/>
      <c r="D89" s="231"/>
      <c r="E89" s="157"/>
      <c r="F89" s="12"/>
      <c r="G89" s="158"/>
    </row>
    <row r="90">
      <c r="A90" s="153"/>
      <c r="B90" s="229"/>
      <c r="C90" s="230"/>
      <c r="D90" s="231"/>
      <c r="E90" s="157"/>
      <c r="F90" s="12"/>
      <c r="G90" s="158"/>
    </row>
    <row r="91">
      <c r="A91" s="153"/>
      <c r="B91" s="229"/>
      <c r="C91" s="230"/>
      <c r="D91" s="231"/>
      <c r="E91" s="157"/>
      <c r="F91" s="12"/>
      <c r="G91" s="158"/>
    </row>
    <row r="92">
      <c r="A92" s="153"/>
      <c r="B92" s="229"/>
      <c r="C92" s="230"/>
      <c r="D92" s="231"/>
      <c r="E92" s="157"/>
      <c r="F92" s="12"/>
      <c r="G92" s="158"/>
    </row>
    <row r="93">
      <c r="A93" s="153"/>
      <c r="B93" s="229"/>
      <c r="C93" s="230"/>
      <c r="D93" s="231"/>
      <c r="E93" s="157"/>
      <c r="F93" s="12"/>
      <c r="G93" s="158"/>
    </row>
    <row r="94">
      <c r="A94" s="153"/>
      <c r="B94" s="229"/>
      <c r="C94" s="230"/>
      <c r="D94" s="231"/>
      <c r="E94" s="157"/>
      <c r="F94" s="12"/>
      <c r="G94" s="158"/>
    </row>
    <row r="95">
      <c r="A95" s="153"/>
      <c r="B95" s="229"/>
      <c r="C95" s="230"/>
      <c r="D95" s="231"/>
      <c r="E95" s="157"/>
      <c r="F95" s="12"/>
      <c r="G95" s="158"/>
    </row>
    <row r="96">
      <c r="A96" s="153"/>
      <c r="B96" s="229"/>
      <c r="C96" s="230"/>
      <c r="D96" s="231"/>
      <c r="E96" s="157"/>
      <c r="F96" s="12"/>
      <c r="G96" s="158"/>
    </row>
    <row r="97">
      <c r="A97" s="153"/>
      <c r="B97" s="229"/>
      <c r="C97" s="230"/>
      <c r="D97" s="231"/>
      <c r="E97" s="157"/>
      <c r="F97" s="12"/>
      <c r="G97" s="158"/>
    </row>
    <row r="98">
      <c r="A98" s="153"/>
      <c r="B98" s="229"/>
      <c r="C98" s="230"/>
      <c r="D98" s="231"/>
      <c r="E98" s="157"/>
      <c r="F98" s="12"/>
      <c r="G98" s="158"/>
    </row>
    <row r="99">
      <c r="A99" s="153"/>
      <c r="B99" s="229"/>
      <c r="C99" s="230"/>
      <c r="D99" s="231"/>
      <c r="E99" s="157"/>
      <c r="F99" s="12"/>
      <c r="G99" s="158"/>
    </row>
    <row r="100">
      <c r="A100" s="153"/>
      <c r="B100" s="229"/>
      <c r="C100" s="230"/>
      <c r="D100" s="231"/>
      <c r="E100" s="157"/>
      <c r="F100" s="12"/>
      <c r="G100" s="158"/>
    </row>
    <row r="101">
      <c r="A101" s="153"/>
      <c r="B101" s="229"/>
      <c r="C101" s="230"/>
      <c r="D101" s="231"/>
      <c r="E101" s="157"/>
      <c r="F101" s="12"/>
      <c r="G101" s="158"/>
    </row>
    <row r="102">
      <c r="A102" s="153"/>
      <c r="B102" s="229"/>
      <c r="C102" s="230"/>
      <c r="D102" s="231"/>
      <c r="E102" s="157"/>
      <c r="F102" s="12"/>
      <c r="G102" s="158"/>
    </row>
    <row r="103">
      <c r="A103" s="153"/>
      <c r="B103" s="229"/>
      <c r="C103" s="230"/>
      <c r="D103" s="231"/>
      <c r="E103" s="157"/>
      <c r="F103" s="12"/>
      <c r="G103" s="158"/>
    </row>
    <row r="104">
      <c r="A104" s="153"/>
      <c r="B104" s="229"/>
      <c r="C104" s="230"/>
      <c r="D104" s="231"/>
      <c r="E104" s="157"/>
      <c r="F104" s="12"/>
      <c r="G104" s="158"/>
    </row>
    <row r="105">
      <c r="A105" s="153"/>
      <c r="B105" s="229"/>
      <c r="C105" s="230"/>
      <c r="D105" s="231"/>
      <c r="E105" s="157"/>
      <c r="F105" s="12"/>
      <c r="G105" s="158"/>
    </row>
    <row r="106">
      <c r="A106" s="153"/>
      <c r="B106" s="229"/>
      <c r="C106" s="230"/>
      <c r="D106" s="231"/>
      <c r="E106" s="157"/>
      <c r="F106" s="12"/>
      <c r="G106" s="158"/>
    </row>
    <row r="107">
      <c r="A107" s="153"/>
      <c r="B107" s="229"/>
      <c r="C107" s="230"/>
      <c r="D107" s="231"/>
      <c r="E107" s="157"/>
      <c r="F107" s="12"/>
      <c r="G107" s="158"/>
    </row>
    <row r="108">
      <c r="A108" s="153"/>
      <c r="B108" s="229"/>
      <c r="C108" s="230"/>
      <c r="D108" s="231"/>
      <c r="E108" s="157"/>
      <c r="F108" s="12"/>
      <c r="G108" s="158"/>
    </row>
    <row r="109">
      <c r="A109" s="153"/>
      <c r="B109" s="229"/>
      <c r="C109" s="230"/>
      <c r="D109" s="231"/>
      <c r="E109" s="157"/>
      <c r="F109" s="12"/>
      <c r="G109" s="158"/>
    </row>
    <row r="110">
      <c r="A110" s="153"/>
      <c r="B110" s="229"/>
      <c r="C110" s="230"/>
      <c r="D110" s="231"/>
      <c r="E110" s="157"/>
      <c r="F110" s="12"/>
      <c r="G110" s="158"/>
    </row>
    <row r="111">
      <c r="A111" s="153"/>
      <c r="B111" s="229"/>
      <c r="C111" s="230"/>
      <c r="D111" s="231"/>
      <c r="E111" s="157"/>
      <c r="F111" s="12"/>
      <c r="G111" s="158"/>
    </row>
    <row r="112">
      <c r="A112" s="153"/>
      <c r="B112" s="229"/>
      <c r="C112" s="230"/>
      <c r="D112" s="231"/>
      <c r="E112" s="157"/>
      <c r="F112" s="12"/>
      <c r="G112" s="158"/>
    </row>
    <row r="113">
      <c r="A113" s="153"/>
      <c r="B113" s="229"/>
      <c r="C113" s="230"/>
      <c r="D113" s="231"/>
      <c r="E113" s="157"/>
      <c r="F113" s="12"/>
      <c r="G113" s="158"/>
    </row>
    <row r="114">
      <c r="A114" s="153"/>
      <c r="B114" s="229"/>
      <c r="C114" s="230"/>
      <c r="D114" s="231"/>
      <c r="E114" s="157"/>
      <c r="F114" s="12"/>
      <c r="G114" s="158"/>
    </row>
    <row r="115">
      <c r="A115" s="153"/>
      <c r="B115" s="229"/>
      <c r="C115" s="230"/>
      <c r="D115" s="231"/>
      <c r="E115" s="157"/>
      <c r="F115" s="12"/>
      <c r="G115" s="158"/>
    </row>
    <row r="116">
      <c r="A116" s="153"/>
      <c r="B116" s="229"/>
      <c r="C116" s="230"/>
      <c r="D116" s="231"/>
      <c r="E116" s="157"/>
      <c r="F116" s="12"/>
      <c r="G116" s="158"/>
    </row>
    <row r="117">
      <c r="A117" s="153"/>
      <c r="B117" s="229"/>
      <c r="C117" s="230"/>
      <c r="D117" s="231"/>
      <c r="E117" s="157"/>
      <c r="F117" s="12"/>
      <c r="G117" s="158"/>
    </row>
    <row r="118">
      <c r="A118" s="153"/>
      <c r="B118" s="229"/>
      <c r="C118" s="230"/>
      <c r="D118" s="231"/>
      <c r="E118" s="157"/>
      <c r="F118" s="12"/>
      <c r="G118" s="158"/>
    </row>
    <row r="119">
      <c r="A119" s="153"/>
      <c r="B119" s="229"/>
      <c r="C119" s="230"/>
      <c r="D119" s="231"/>
      <c r="E119" s="157"/>
      <c r="F119" s="12"/>
      <c r="G119" s="158"/>
    </row>
    <row r="120">
      <c r="A120" s="153"/>
      <c r="B120" s="229"/>
      <c r="C120" s="230"/>
      <c r="D120" s="231"/>
      <c r="E120" s="157"/>
      <c r="F120" s="12"/>
      <c r="G120" s="158"/>
    </row>
    <row r="121">
      <c r="A121" s="153"/>
      <c r="B121" s="229"/>
      <c r="C121" s="230"/>
      <c r="D121" s="231"/>
      <c r="E121" s="157"/>
      <c r="F121" s="12"/>
      <c r="G121" s="158"/>
    </row>
    <row r="122">
      <c r="A122" s="153"/>
      <c r="B122" s="229"/>
      <c r="C122" s="230"/>
      <c r="D122" s="231"/>
      <c r="E122" s="157"/>
      <c r="F122" s="12"/>
      <c r="G122" s="158"/>
    </row>
    <row r="123">
      <c r="A123" s="153"/>
      <c r="B123" s="229"/>
      <c r="C123" s="230"/>
      <c r="D123" s="231"/>
      <c r="E123" s="157"/>
      <c r="F123" s="12"/>
      <c r="G123" s="158"/>
    </row>
    <row r="124">
      <c r="A124" s="153"/>
      <c r="B124" s="229"/>
      <c r="C124" s="230"/>
      <c r="D124" s="231"/>
      <c r="E124" s="157"/>
      <c r="F124" s="12"/>
      <c r="G124" s="158"/>
    </row>
    <row r="125">
      <c r="A125" s="153"/>
      <c r="B125" s="229"/>
      <c r="C125" s="230"/>
      <c r="D125" s="231"/>
      <c r="E125" s="157"/>
      <c r="F125" s="12"/>
      <c r="G125" s="158"/>
    </row>
    <row r="126">
      <c r="A126" s="153"/>
      <c r="B126" s="229"/>
      <c r="C126" s="230"/>
      <c r="D126" s="231"/>
      <c r="E126" s="157"/>
      <c r="F126" s="12"/>
      <c r="G126" s="158"/>
    </row>
    <row r="127">
      <c r="A127" s="153"/>
      <c r="B127" s="229"/>
      <c r="C127" s="230"/>
      <c r="D127" s="231"/>
      <c r="E127" s="157"/>
      <c r="F127" s="12"/>
      <c r="G127" s="158"/>
    </row>
    <row r="128">
      <c r="A128" s="153"/>
      <c r="B128" s="229"/>
      <c r="C128" s="230"/>
      <c r="D128" s="231"/>
      <c r="E128" s="157"/>
      <c r="F128" s="12"/>
      <c r="G128" s="158"/>
    </row>
    <row r="129">
      <c r="A129" s="153"/>
      <c r="B129" s="229"/>
      <c r="C129" s="230"/>
      <c r="D129" s="231"/>
      <c r="E129" s="157"/>
      <c r="F129" s="12"/>
      <c r="G129" s="158"/>
    </row>
    <row r="130">
      <c r="A130" s="153"/>
      <c r="B130" s="229"/>
      <c r="C130" s="230"/>
      <c r="D130" s="231"/>
      <c r="E130" s="157"/>
      <c r="F130" s="12"/>
      <c r="G130" s="158"/>
    </row>
    <row r="131">
      <c r="A131" s="153"/>
      <c r="B131" s="229"/>
      <c r="C131" s="230"/>
      <c r="D131" s="231"/>
      <c r="E131" s="157"/>
      <c r="F131" s="12"/>
      <c r="G131" s="158"/>
    </row>
    <row r="132">
      <c r="A132" s="153"/>
      <c r="B132" s="229"/>
      <c r="C132" s="230"/>
      <c r="D132" s="231"/>
      <c r="E132" s="157"/>
      <c r="F132" s="12"/>
      <c r="G132" s="158"/>
    </row>
    <row r="133">
      <c r="A133" s="153"/>
      <c r="B133" s="229"/>
      <c r="C133" s="230"/>
      <c r="D133" s="231"/>
      <c r="E133" s="157"/>
      <c r="F133" s="12"/>
      <c r="G133" s="158"/>
    </row>
    <row r="134">
      <c r="A134" s="153"/>
      <c r="B134" s="229"/>
      <c r="C134" s="230"/>
      <c r="D134" s="231"/>
      <c r="E134" s="157"/>
      <c r="F134" s="12"/>
      <c r="G134" s="158"/>
    </row>
    <row r="135">
      <c r="A135" s="153"/>
      <c r="B135" s="229"/>
      <c r="C135" s="230"/>
      <c r="D135" s="231"/>
      <c r="E135" s="157"/>
      <c r="F135" s="12"/>
      <c r="G135" s="158"/>
    </row>
    <row r="136">
      <c r="A136" s="153"/>
      <c r="B136" s="229"/>
      <c r="C136" s="230"/>
      <c r="D136" s="231"/>
      <c r="E136" s="157"/>
      <c r="F136" s="12"/>
      <c r="G136" s="158"/>
    </row>
    <row r="137">
      <c r="A137" s="153"/>
      <c r="B137" s="229"/>
      <c r="C137" s="230"/>
      <c r="D137" s="231"/>
      <c r="E137" s="157"/>
      <c r="F137" s="12"/>
      <c r="G137" s="158"/>
    </row>
    <row r="138">
      <c r="A138" s="153"/>
      <c r="B138" s="229"/>
      <c r="C138" s="230"/>
      <c r="D138" s="231"/>
      <c r="E138" s="157"/>
      <c r="F138" s="12"/>
      <c r="G138" s="158"/>
    </row>
    <row r="139">
      <c r="A139" s="153"/>
      <c r="B139" s="229"/>
      <c r="C139" s="230"/>
      <c r="D139" s="231"/>
      <c r="E139" s="157"/>
      <c r="F139" s="12"/>
      <c r="G139" s="158"/>
    </row>
    <row r="140">
      <c r="A140" s="153"/>
      <c r="B140" s="229"/>
      <c r="C140" s="230"/>
      <c r="D140" s="231"/>
      <c r="E140" s="157"/>
      <c r="F140" s="12"/>
      <c r="G140" s="158"/>
    </row>
    <row r="141">
      <c r="A141" s="153"/>
      <c r="B141" s="229"/>
      <c r="C141" s="230"/>
      <c r="D141" s="231"/>
      <c r="E141" s="157"/>
      <c r="F141" s="12"/>
      <c r="G141" s="158"/>
    </row>
    <row r="142">
      <c r="A142" s="153"/>
      <c r="B142" s="229"/>
      <c r="C142" s="230"/>
      <c r="D142" s="231"/>
      <c r="E142" s="157"/>
      <c r="F142" s="12"/>
      <c r="G142" s="158"/>
    </row>
    <row r="143">
      <c r="A143" s="153"/>
      <c r="B143" s="229"/>
      <c r="C143" s="230"/>
      <c r="D143" s="231"/>
      <c r="E143" s="157"/>
      <c r="F143" s="12"/>
      <c r="G143" s="158"/>
    </row>
    <row r="144">
      <c r="A144" s="153"/>
      <c r="B144" s="229"/>
      <c r="C144" s="230"/>
      <c r="D144" s="231"/>
      <c r="E144" s="157"/>
      <c r="F144" s="12"/>
      <c r="G144" s="158"/>
    </row>
    <row r="145">
      <c r="A145" s="153"/>
      <c r="B145" s="229"/>
      <c r="C145" s="230"/>
      <c r="D145" s="231"/>
      <c r="E145" s="157"/>
      <c r="F145" s="12"/>
      <c r="G145" s="158"/>
    </row>
    <row r="146">
      <c r="A146" s="153"/>
      <c r="B146" s="229"/>
      <c r="C146" s="230"/>
      <c r="D146" s="231"/>
      <c r="E146" s="157"/>
      <c r="F146" s="12"/>
      <c r="G146" s="158"/>
    </row>
    <row r="147">
      <c r="A147" s="153"/>
      <c r="B147" s="229"/>
      <c r="C147" s="230"/>
      <c r="D147" s="231"/>
      <c r="E147" s="157"/>
      <c r="F147" s="12"/>
      <c r="G147" s="158"/>
    </row>
    <row r="148">
      <c r="A148" s="153"/>
      <c r="B148" s="229"/>
      <c r="C148" s="230"/>
      <c r="D148" s="231"/>
      <c r="E148" s="157"/>
      <c r="F148" s="12"/>
      <c r="G148" s="158"/>
    </row>
    <row r="149">
      <c r="A149" s="153"/>
      <c r="B149" s="229"/>
      <c r="C149" s="230"/>
      <c r="D149" s="231"/>
      <c r="E149" s="157"/>
      <c r="F149" s="12"/>
      <c r="G149" s="158"/>
    </row>
    <row r="150">
      <c r="A150" s="153"/>
      <c r="B150" s="229"/>
      <c r="C150" s="230"/>
      <c r="D150" s="231"/>
      <c r="E150" s="157"/>
      <c r="F150" s="12"/>
      <c r="G150" s="158"/>
    </row>
    <row r="151">
      <c r="A151" s="153"/>
      <c r="B151" s="229"/>
      <c r="C151" s="230"/>
      <c r="D151" s="231"/>
      <c r="E151" s="157"/>
      <c r="F151" s="12"/>
      <c r="G151" s="158"/>
    </row>
    <row r="152">
      <c r="A152" s="153"/>
      <c r="B152" s="229"/>
      <c r="C152" s="230"/>
      <c r="D152" s="231"/>
      <c r="E152" s="157"/>
      <c r="F152" s="12"/>
      <c r="G152" s="158"/>
    </row>
    <row r="153">
      <c r="A153" s="153"/>
      <c r="B153" s="229"/>
      <c r="C153" s="230"/>
      <c r="D153" s="231"/>
      <c r="E153" s="157"/>
      <c r="F153" s="12"/>
      <c r="G153" s="158"/>
    </row>
    <row r="154">
      <c r="A154" s="153"/>
      <c r="B154" s="229"/>
      <c r="C154" s="230"/>
      <c r="D154" s="231"/>
      <c r="E154" s="157"/>
      <c r="F154" s="12"/>
      <c r="G154" s="158"/>
    </row>
    <row r="155">
      <c r="A155" s="153"/>
      <c r="B155" s="229"/>
      <c r="C155" s="230"/>
      <c r="D155" s="231"/>
      <c r="E155" s="157"/>
      <c r="F155" s="12"/>
      <c r="G155" s="158"/>
    </row>
    <row r="156">
      <c r="A156" s="153"/>
      <c r="B156" s="229"/>
      <c r="C156" s="230"/>
      <c r="D156" s="231"/>
      <c r="E156" s="157"/>
      <c r="F156" s="12"/>
      <c r="G156" s="158"/>
    </row>
    <row r="157">
      <c r="A157" s="153"/>
      <c r="B157" s="229"/>
      <c r="C157" s="230"/>
      <c r="D157" s="231"/>
      <c r="E157" s="157"/>
      <c r="F157" s="12"/>
      <c r="G157" s="158"/>
    </row>
    <row r="158">
      <c r="A158" s="153"/>
      <c r="B158" s="229"/>
      <c r="C158" s="230"/>
      <c r="D158" s="231"/>
      <c r="E158" s="157"/>
      <c r="F158" s="12"/>
      <c r="G158" s="158"/>
    </row>
    <row r="159">
      <c r="A159" s="153"/>
      <c r="B159" s="229"/>
      <c r="C159" s="230"/>
      <c r="D159" s="231"/>
      <c r="E159" s="157"/>
      <c r="F159" s="12"/>
      <c r="G159" s="158"/>
    </row>
    <row r="160">
      <c r="A160" s="153"/>
      <c r="B160" s="229"/>
      <c r="C160" s="230"/>
      <c r="D160" s="231"/>
      <c r="E160" s="157"/>
      <c r="F160" s="12"/>
      <c r="G160" s="158"/>
    </row>
    <row r="161">
      <c r="A161" s="153"/>
      <c r="B161" s="229"/>
      <c r="C161" s="230"/>
      <c r="D161" s="231"/>
      <c r="E161" s="157"/>
      <c r="F161" s="12"/>
      <c r="G161" s="158"/>
    </row>
    <row r="162">
      <c r="A162" s="153"/>
      <c r="B162" s="229"/>
      <c r="C162" s="230"/>
      <c r="D162" s="231"/>
      <c r="E162" s="157"/>
      <c r="F162" s="12"/>
      <c r="G162" s="158"/>
    </row>
    <row r="163">
      <c r="A163" s="153"/>
      <c r="B163" s="229"/>
      <c r="C163" s="230"/>
      <c r="D163" s="231"/>
      <c r="E163" s="157"/>
      <c r="F163" s="12"/>
      <c r="G163" s="158"/>
    </row>
    <row r="164">
      <c r="A164" s="153"/>
      <c r="B164" s="229"/>
      <c r="C164" s="230"/>
      <c r="D164" s="231"/>
      <c r="E164" s="157"/>
      <c r="F164" s="12"/>
      <c r="G164" s="158"/>
    </row>
    <row r="165">
      <c r="A165" s="153"/>
      <c r="B165" s="229"/>
      <c r="C165" s="230"/>
      <c r="D165" s="231"/>
      <c r="E165" s="157"/>
      <c r="F165" s="12"/>
      <c r="G165" s="158"/>
    </row>
    <row r="166">
      <c r="A166" s="153"/>
      <c r="B166" s="229"/>
      <c r="C166" s="230"/>
      <c r="D166" s="231"/>
      <c r="E166" s="157"/>
      <c r="F166" s="12"/>
      <c r="G166" s="158"/>
    </row>
    <row r="167">
      <c r="A167" s="153"/>
      <c r="B167" s="229"/>
      <c r="C167" s="230"/>
      <c r="D167" s="231"/>
      <c r="E167" s="157"/>
      <c r="F167" s="12"/>
      <c r="G167" s="158"/>
    </row>
    <row r="168">
      <c r="A168" s="153"/>
      <c r="B168" s="229"/>
      <c r="C168" s="230"/>
      <c r="D168" s="231"/>
      <c r="E168" s="157"/>
      <c r="F168" s="12"/>
      <c r="G168" s="158"/>
    </row>
    <row r="169">
      <c r="A169" s="153"/>
      <c r="B169" s="229"/>
      <c r="C169" s="230"/>
      <c r="D169" s="231"/>
      <c r="E169" s="157"/>
      <c r="F169" s="12"/>
      <c r="G169" s="158"/>
    </row>
    <row r="170">
      <c r="A170" s="153"/>
      <c r="B170" s="229"/>
      <c r="C170" s="230"/>
      <c r="D170" s="231"/>
      <c r="E170" s="157"/>
      <c r="F170" s="12"/>
      <c r="G170" s="158"/>
    </row>
    <row r="171">
      <c r="A171" s="153"/>
      <c r="B171" s="229"/>
      <c r="C171" s="230"/>
      <c r="D171" s="231"/>
      <c r="E171" s="157"/>
      <c r="F171" s="12"/>
      <c r="G171" s="158"/>
    </row>
    <row r="172">
      <c r="A172" s="153"/>
      <c r="B172" s="229"/>
      <c r="C172" s="230"/>
      <c r="D172" s="231"/>
      <c r="E172" s="157"/>
      <c r="F172" s="12"/>
      <c r="G172" s="158"/>
    </row>
    <row r="173">
      <c r="A173" s="153"/>
      <c r="B173" s="229"/>
      <c r="C173" s="230"/>
      <c r="D173" s="231"/>
      <c r="E173" s="157"/>
      <c r="F173" s="12"/>
      <c r="G173" s="158"/>
    </row>
    <row r="174">
      <c r="A174" s="153"/>
      <c r="B174" s="229"/>
      <c r="C174" s="230"/>
      <c r="D174" s="231"/>
      <c r="E174" s="157"/>
      <c r="F174" s="12"/>
      <c r="G174" s="158"/>
    </row>
    <row r="175">
      <c r="A175" s="153"/>
      <c r="B175" s="229"/>
      <c r="C175" s="230"/>
      <c r="D175" s="231"/>
      <c r="E175" s="157"/>
      <c r="F175" s="12"/>
      <c r="G175" s="158"/>
    </row>
    <row r="176">
      <c r="A176" s="153"/>
      <c r="B176" s="229"/>
      <c r="C176" s="230"/>
      <c r="D176" s="231"/>
      <c r="E176" s="157"/>
      <c r="F176" s="12"/>
      <c r="G176" s="158"/>
    </row>
    <row r="177">
      <c r="A177" s="153"/>
      <c r="B177" s="229"/>
      <c r="C177" s="230"/>
      <c r="D177" s="231"/>
      <c r="E177" s="157"/>
      <c r="F177" s="12"/>
      <c r="G177" s="158"/>
    </row>
    <row r="178">
      <c r="A178" s="153"/>
      <c r="B178" s="229"/>
      <c r="C178" s="230"/>
      <c r="D178" s="231"/>
      <c r="E178" s="157"/>
      <c r="F178" s="12"/>
      <c r="G178" s="158"/>
    </row>
    <row r="179">
      <c r="A179" s="153"/>
      <c r="B179" s="229"/>
      <c r="C179" s="230"/>
      <c r="D179" s="231"/>
      <c r="E179" s="157"/>
      <c r="F179" s="12"/>
      <c r="G179" s="158"/>
    </row>
    <row r="180">
      <c r="A180" s="153"/>
      <c r="B180" s="229"/>
      <c r="C180" s="230"/>
      <c r="D180" s="231"/>
      <c r="E180" s="157"/>
      <c r="F180" s="12"/>
      <c r="G180" s="158"/>
    </row>
    <row r="181">
      <c r="A181" s="153"/>
      <c r="B181" s="229"/>
      <c r="C181" s="230"/>
      <c r="D181" s="231"/>
      <c r="E181" s="157"/>
      <c r="F181" s="12"/>
      <c r="G181" s="158"/>
    </row>
    <row r="182">
      <c r="A182" s="153"/>
      <c r="B182" s="229"/>
      <c r="C182" s="230"/>
      <c r="D182" s="231"/>
      <c r="E182" s="157"/>
      <c r="F182" s="12"/>
      <c r="G182" s="158"/>
    </row>
    <row r="183">
      <c r="A183" s="153"/>
      <c r="B183" s="229"/>
      <c r="C183" s="230"/>
      <c r="D183" s="231"/>
      <c r="E183" s="157"/>
      <c r="F183" s="12"/>
      <c r="G183" s="158"/>
    </row>
    <row r="184">
      <c r="A184" s="153"/>
      <c r="B184" s="229"/>
      <c r="C184" s="230"/>
      <c r="D184" s="231"/>
      <c r="E184" s="157"/>
      <c r="F184" s="12"/>
      <c r="G184" s="158"/>
    </row>
    <row r="185">
      <c r="A185" s="153"/>
      <c r="B185" s="229"/>
      <c r="C185" s="230"/>
      <c r="D185" s="231"/>
      <c r="E185" s="157"/>
      <c r="F185" s="12"/>
      <c r="G185" s="158"/>
    </row>
    <row r="186">
      <c r="A186" s="153"/>
      <c r="B186" s="229"/>
      <c r="C186" s="230"/>
      <c r="D186" s="231"/>
      <c r="E186" s="157"/>
      <c r="F186" s="12"/>
      <c r="G186" s="158"/>
    </row>
    <row r="187">
      <c r="A187" s="153"/>
      <c r="B187" s="229"/>
      <c r="C187" s="230"/>
      <c r="D187" s="231"/>
      <c r="E187" s="157"/>
      <c r="F187" s="12"/>
      <c r="G187" s="158"/>
    </row>
    <row r="188">
      <c r="A188" s="153"/>
      <c r="B188" s="229"/>
      <c r="C188" s="230"/>
      <c r="D188" s="231"/>
      <c r="E188" s="157"/>
      <c r="F188" s="12"/>
      <c r="G188" s="158"/>
    </row>
    <row r="189">
      <c r="A189" s="153"/>
      <c r="B189" s="229"/>
      <c r="C189" s="230"/>
      <c r="D189" s="231"/>
      <c r="E189" s="157"/>
      <c r="F189" s="12"/>
      <c r="G189" s="158"/>
    </row>
    <row r="190">
      <c r="A190" s="153"/>
      <c r="B190" s="229"/>
      <c r="C190" s="230"/>
      <c r="D190" s="231"/>
      <c r="E190" s="157"/>
      <c r="F190" s="12"/>
      <c r="G190" s="158"/>
    </row>
    <row r="191">
      <c r="A191" s="153"/>
      <c r="B191" s="229"/>
      <c r="C191" s="230"/>
      <c r="D191" s="231"/>
      <c r="E191" s="157"/>
      <c r="F191" s="12"/>
      <c r="G191" s="158"/>
    </row>
    <row r="192">
      <c r="A192" s="153"/>
      <c r="B192" s="229"/>
      <c r="C192" s="230"/>
      <c r="D192" s="231"/>
      <c r="E192" s="157"/>
      <c r="F192" s="12"/>
      <c r="G192" s="158"/>
    </row>
    <row r="193">
      <c r="A193" s="153"/>
      <c r="B193" s="229"/>
      <c r="C193" s="230"/>
      <c r="D193" s="231"/>
      <c r="E193" s="157"/>
      <c r="F193" s="12"/>
      <c r="G193" s="158"/>
    </row>
    <row r="194">
      <c r="A194" s="153"/>
      <c r="B194" s="229"/>
      <c r="C194" s="230"/>
      <c r="D194" s="231"/>
      <c r="E194" s="157"/>
      <c r="F194" s="12"/>
      <c r="G194" s="158"/>
    </row>
    <row r="195">
      <c r="A195" s="153"/>
      <c r="B195" s="229"/>
      <c r="C195" s="230"/>
      <c r="D195" s="231"/>
      <c r="E195" s="157"/>
      <c r="F195" s="12"/>
      <c r="G195" s="158"/>
    </row>
    <row r="196">
      <c r="A196" s="153"/>
      <c r="B196" s="229"/>
      <c r="C196" s="230"/>
      <c r="D196" s="231"/>
      <c r="E196" s="157"/>
      <c r="F196" s="12"/>
      <c r="G196" s="158"/>
    </row>
    <row r="197">
      <c r="A197" s="153"/>
      <c r="B197" s="229"/>
      <c r="C197" s="230"/>
      <c r="D197" s="231"/>
      <c r="E197" s="157"/>
      <c r="F197" s="12"/>
      <c r="G197" s="158"/>
    </row>
    <row r="198">
      <c r="A198" s="153"/>
      <c r="B198" s="229"/>
      <c r="C198" s="230"/>
      <c r="D198" s="231"/>
      <c r="E198" s="157"/>
      <c r="F198" s="12"/>
      <c r="G198" s="158"/>
    </row>
    <row r="199">
      <c r="A199" s="153"/>
      <c r="B199" s="229"/>
      <c r="C199" s="230"/>
      <c r="D199" s="231"/>
      <c r="E199" s="157"/>
      <c r="F199" s="12"/>
      <c r="G199" s="158"/>
    </row>
    <row r="200">
      <c r="A200" s="153"/>
      <c r="B200" s="229"/>
      <c r="C200" s="230"/>
      <c r="D200" s="231"/>
      <c r="E200" s="157"/>
      <c r="F200" s="12"/>
      <c r="G200" s="158"/>
    </row>
    <row r="201">
      <c r="A201" s="153"/>
      <c r="B201" s="229"/>
      <c r="C201" s="230"/>
      <c r="D201" s="231"/>
      <c r="E201" s="157"/>
      <c r="F201" s="12"/>
      <c r="G201" s="158"/>
    </row>
    <row r="202">
      <c r="A202" s="153"/>
      <c r="B202" s="229"/>
      <c r="C202" s="230"/>
      <c r="D202" s="231"/>
      <c r="E202" s="157"/>
      <c r="F202" s="12"/>
      <c r="G202" s="158"/>
    </row>
    <row r="203">
      <c r="A203" s="153"/>
      <c r="B203" s="229"/>
      <c r="C203" s="230"/>
      <c r="D203" s="231"/>
      <c r="E203" s="157"/>
      <c r="F203" s="12"/>
      <c r="G203" s="158"/>
    </row>
    <row r="204">
      <c r="A204" s="153"/>
      <c r="B204" s="229"/>
      <c r="C204" s="230"/>
      <c r="D204" s="231"/>
      <c r="E204" s="157"/>
      <c r="F204" s="12"/>
      <c r="G204" s="158"/>
    </row>
    <row r="205">
      <c r="A205" s="153"/>
      <c r="B205" s="229"/>
      <c r="C205" s="230"/>
      <c r="D205" s="231"/>
      <c r="E205" s="157"/>
      <c r="F205" s="12"/>
      <c r="G205" s="158"/>
    </row>
    <row r="206">
      <c r="A206" s="153"/>
      <c r="B206" s="229"/>
      <c r="C206" s="230"/>
      <c r="D206" s="231"/>
      <c r="E206" s="157"/>
      <c r="F206" s="12"/>
      <c r="G206" s="158"/>
    </row>
    <row r="207">
      <c r="A207" s="153"/>
      <c r="B207" s="229"/>
      <c r="C207" s="230"/>
      <c r="D207" s="231"/>
      <c r="E207" s="157"/>
      <c r="F207" s="12"/>
      <c r="G207" s="158"/>
    </row>
    <row r="208">
      <c r="A208" s="153"/>
      <c r="B208" s="229"/>
      <c r="C208" s="230"/>
      <c r="D208" s="231"/>
      <c r="E208" s="157"/>
      <c r="F208" s="12"/>
      <c r="G208" s="158"/>
    </row>
    <row r="209">
      <c r="A209" s="153"/>
      <c r="B209" s="229"/>
      <c r="C209" s="230"/>
      <c r="D209" s="231"/>
      <c r="E209" s="157"/>
      <c r="F209" s="12"/>
      <c r="G209" s="158"/>
    </row>
    <row r="210">
      <c r="A210" s="153"/>
      <c r="B210" s="229"/>
      <c r="C210" s="230"/>
      <c r="D210" s="231"/>
      <c r="E210" s="157"/>
      <c r="F210" s="12"/>
      <c r="G210" s="158"/>
    </row>
    <row r="211">
      <c r="A211" s="153"/>
      <c r="B211" s="229"/>
      <c r="C211" s="230"/>
      <c r="D211" s="231"/>
      <c r="E211" s="157"/>
      <c r="F211" s="12"/>
      <c r="G211" s="158"/>
    </row>
    <row r="212">
      <c r="A212" s="153"/>
      <c r="B212" s="229"/>
      <c r="C212" s="230"/>
      <c r="D212" s="231"/>
      <c r="E212" s="157"/>
      <c r="F212" s="12"/>
      <c r="G212" s="158"/>
    </row>
    <row r="213">
      <c r="A213" s="153"/>
      <c r="B213" s="229"/>
      <c r="C213" s="230"/>
      <c r="D213" s="231"/>
      <c r="E213" s="157"/>
      <c r="F213" s="12"/>
      <c r="G213" s="158"/>
    </row>
    <row r="214">
      <c r="A214" s="153"/>
      <c r="B214" s="229"/>
      <c r="C214" s="230"/>
      <c r="D214" s="231"/>
      <c r="E214" s="157"/>
      <c r="F214" s="12"/>
      <c r="G214" s="158"/>
    </row>
    <row r="215">
      <c r="A215" s="153"/>
      <c r="B215" s="229"/>
      <c r="C215" s="230"/>
      <c r="D215" s="231"/>
      <c r="E215" s="157"/>
      <c r="F215" s="12"/>
      <c r="G215" s="158"/>
    </row>
    <row r="216">
      <c r="A216" s="153"/>
      <c r="B216" s="229"/>
      <c r="C216" s="230"/>
      <c r="D216" s="231"/>
      <c r="E216" s="157"/>
      <c r="F216" s="12"/>
      <c r="G216" s="158"/>
    </row>
    <row r="217">
      <c r="A217" s="153"/>
      <c r="B217" s="229"/>
      <c r="C217" s="230"/>
      <c r="D217" s="231"/>
      <c r="E217" s="157"/>
      <c r="F217" s="12"/>
      <c r="G217" s="158"/>
    </row>
    <row r="218">
      <c r="A218" s="153"/>
      <c r="B218" s="229"/>
      <c r="C218" s="230"/>
      <c r="D218" s="231"/>
      <c r="E218" s="157"/>
      <c r="F218" s="12"/>
      <c r="G218" s="158"/>
    </row>
    <row r="219">
      <c r="A219" s="153"/>
      <c r="B219" s="229"/>
      <c r="C219" s="230"/>
      <c r="D219" s="231"/>
      <c r="E219" s="157"/>
      <c r="F219" s="12"/>
      <c r="G219" s="158"/>
    </row>
    <row r="220">
      <c r="A220" s="153"/>
      <c r="B220" s="229"/>
      <c r="C220" s="230"/>
      <c r="D220" s="231"/>
      <c r="E220" s="157"/>
      <c r="F220" s="12"/>
      <c r="G220" s="158"/>
    </row>
    <row r="221">
      <c r="A221" s="153"/>
      <c r="B221" s="229"/>
      <c r="C221" s="230"/>
      <c r="D221" s="231"/>
      <c r="E221" s="157"/>
      <c r="F221" s="12"/>
      <c r="G221" s="158"/>
    </row>
    <row r="222">
      <c r="A222" s="153"/>
      <c r="B222" s="229"/>
      <c r="C222" s="230"/>
      <c r="D222" s="231"/>
      <c r="E222" s="157"/>
      <c r="F222" s="12"/>
      <c r="G222" s="158"/>
    </row>
    <row r="223">
      <c r="A223" s="153"/>
      <c r="B223" s="229"/>
      <c r="C223" s="230"/>
      <c r="D223" s="231"/>
      <c r="E223" s="157"/>
      <c r="F223" s="12"/>
      <c r="G223" s="158"/>
    </row>
    <row r="224">
      <c r="A224" s="153"/>
      <c r="B224" s="229"/>
      <c r="C224" s="230"/>
      <c r="D224" s="231"/>
      <c r="E224" s="157"/>
      <c r="F224" s="12"/>
      <c r="G224" s="158"/>
    </row>
    <row r="225">
      <c r="A225" s="153"/>
      <c r="B225" s="229"/>
      <c r="C225" s="230"/>
      <c r="D225" s="231"/>
      <c r="E225" s="157"/>
      <c r="F225" s="12"/>
      <c r="G225" s="158"/>
    </row>
    <row r="226">
      <c r="A226" s="153"/>
      <c r="B226" s="229"/>
      <c r="C226" s="230"/>
      <c r="D226" s="231"/>
      <c r="E226" s="157"/>
      <c r="F226" s="12"/>
      <c r="G226" s="158"/>
    </row>
    <row r="227">
      <c r="A227" s="153"/>
      <c r="B227" s="229"/>
      <c r="C227" s="230"/>
      <c r="D227" s="231"/>
      <c r="E227" s="157"/>
      <c r="F227" s="12"/>
      <c r="G227" s="158"/>
    </row>
    <row r="228">
      <c r="A228" s="153"/>
      <c r="B228" s="229"/>
      <c r="C228" s="230"/>
      <c r="D228" s="231"/>
      <c r="E228" s="157"/>
      <c r="F228" s="12"/>
      <c r="G228" s="158"/>
    </row>
    <row r="229">
      <c r="A229" s="153"/>
      <c r="B229" s="229"/>
      <c r="C229" s="230"/>
      <c r="D229" s="231"/>
      <c r="E229" s="157"/>
      <c r="F229" s="12"/>
      <c r="G229" s="158"/>
    </row>
    <row r="230">
      <c r="A230" s="153"/>
      <c r="B230" s="229"/>
      <c r="C230" s="230"/>
      <c r="D230" s="231"/>
      <c r="E230" s="157"/>
      <c r="F230" s="12"/>
      <c r="G230" s="158"/>
    </row>
    <row r="231">
      <c r="A231" s="153"/>
      <c r="B231" s="229"/>
      <c r="C231" s="230"/>
      <c r="D231" s="231"/>
      <c r="E231" s="157"/>
      <c r="F231" s="12"/>
      <c r="G231" s="158"/>
    </row>
    <row r="232">
      <c r="A232" s="153"/>
      <c r="B232" s="229"/>
      <c r="C232" s="230"/>
      <c r="D232" s="231"/>
      <c r="E232" s="157"/>
      <c r="F232" s="12"/>
      <c r="G232" s="158"/>
    </row>
    <row r="233">
      <c r="A233" s="153"/>
      <c r="B233" s="229"/>
      <c r="C233" s="230"/>
      <c r="D233" s="231"/>
      <c r="E233" s="157"/>
      <c r="F233" s="12"/>
      <c r="G233" s="158"/>
    </row>
    <row r="234">
      <c r="A234" s="153"/>
      <c r="B234" s="229"/>
      <c r="C234" s="230"/>
      <c r="D234" s="231"/>
      <c r="E234" s="157"/>
      <c r="F234" s="12"/>
      <c r="G234" s="158"/>
    </row>
    <row r="235">
      <c r="A235" s="153"/>
      <c r="B235" s="229"/>
      <c r="C235" s="230"/>
      <c r="D235" s="231"/>
      <c r="E235" s="157"/>
      <c r="F235" s="12"/>
      <c r="G235" s="158"/>
    </row>
    <row r="236">
      <c r="A236" s="153"/>
      <c r="B236" s="229"/>
      <c r="C236" s="230"/>
      <c r="D236" s="231"/>
      <c r="E236" s="157"/>
      <c r="F236" s="12"/>
      <c r="G236" s="158"/>
    </row>
    <row r="237">
      <c r="A237" s="153"/>
      <c r="B237" s="229"/>
      <c r="C237" s="230"/>
      <c r="D237" s="231"/>
      <c r="E237" s="157"/>
      <c r="F237" s="12"/>
      <c r="G237" s="158"/>
    </row>
    <row r="238">
      <c r="A238" s="153"/>
      <c r="B238" s="229"/>
      <c r="C238" s="230"/>
      <c r="D238" s="231"/>
      <c r="E238" s="157"/>
      <c r="F238" s="12"/>
      <c r="G238" s="158"/>
    </row>
    <row r="239">
      <c r="A239" s="153"/>
      <c r="B239" s="229"/>
      <c r="C239" s="230"/>
      <c r="D239" s="231"/>
      <c r="E239" s="157"/>
      <c r="F239" s="12"/>
      <c r="G239" s="158"/>
    </row>
    <row r="240">
      <c r="A240" s="153"/>
      <c r="B240" s="229"/>
      <c r="C240" s="230"/>
      <c r="D240" s="231"/>
      <c r="E240" s="157"/>
      <c r="F240" s="12"/>
      <c r="G240" s="158"/>
    </row>
    <row r="241">
      <c r="A241" s="153"/>
      <c r="B241" s="229"/>
      <c r="C241" s="230"/>
      <c r="D241" s="231"/>
      <c r="E241" s="157"/>
      <c r="F241" s="12"/>
      <c r="G241" s="158"/>
    </row>
    <row r="242">
      <c r="A242" s="153"/>
      <c r="B242" s="229"/>
      <c r="C242" s="230"/>
      <c r="D242" s="231"/>
      <c r="E242" s="157"/>
      <c r="F242" s="12"/>
      <c r="G242" s="158"/>
    </row>
    <row r="243">
      <c r="A243" s="153"/>
      <c r="B243" s="229"/>
      <c r="C243" s="230"/>
      <c r="D243" s="231"/>
      <c r="E243" s="157"/>
      <c r="F243" s="12"/>
      <c r="G243" s="158"/>
    </row>
    <row r="244">
      <c r="A244" s="153"/>
      <c r="B244" s="229"/>
      <c r="C244" s="230"/>
      <c r="D244" s="231"/>
      <c r="E244" s="157"/>
      <c r="F244" s="12"/>
      <c r="G244" s="158"/>
    </row>
    <row r="245">
      <c r="A245" s="153"/>
      <c r="B245" s="229"/>
      <c r="C245" s="230"/>
      <c r="D245" s="231"/>
      <c r="E245" s="157"/>
      <c r="F245" s="12"/>
      <c r="G245" s="158"/>
    </row>
    <row r="246">
      <c r="A246" s="153"/>
      <c r="B246" s="229"/>
      <c r="C246" s="230"/>
      <c r="D246" s="231"/>
      <c r="E246" s="157"/>
      <c r="F246" s="12"/>
      <c r="G246" s="158"/>
    </row>
    <row r="247">
      <c r="A247" s="153"/>
      <c r="B247" s="229"/>
      <c r="C247" s="230"/>
      <c r="D247" s="231"/>
      <c r="E247" s="157"/>
      <c r="F247" s="12"/>
      <c r="G247" s="158"/>
    </row>
    <row r="248">
      <c r="A248" s="153"/>
      <c r="B248" s="229"/>
      <c r="C248" s="230"/>
      <c r="D248" s="231"/>
      <c r="E248" s="157"/>
      <c r="F248" s="12"/>
      <c r="G248" s="158"/>
    </row>
    <row r="249">
      <c r="A249" s="153"/>
      <c r="B249" s="229"/>
      <c r="C249" s="230"/>
      <c r="D249" s="231"/>
      <c r="E249" s="157"/>
      <c r="F249" s="12"/>
      <c r="G249" s="158"/>
    </row>
    <row r="250">
      <c r="A250" s="153"/>
      <c r="B250" s="229"/>
      <c r="C250" s="230"/>
      <c r="D250" s="231"/>
      <c r="E250" s="157"/>
      <c r="F250" s="12"/>
      <c r="G250" s="158"/>
    </row>
    <row r="251">
      <c r="A251" s="153"/>
      <c r="B251" s="229"/>
      <c r="C251" s="230"/>
      <c r="D251" s="231"/>
      <c r="E251" s="157"/>
      <c r="F251" s="12"/>
      <c r="G251" s="158"/>
    </row>
    <row r="252">
      <c r="A252" s="153"/>
      <c r="B252" s="229"/>
      <c r="C252" s="230"/>
      <c r="D252" s="231"/>
      <c r="E252" s="157"/>
      <c r="F252" s="12"/>
      <c r="G252" s="158"/>
    </row>
    <row r="253">
      <c r="A253" s="153"/>
      <c r="B253" s="229"/>
      <c r="C253" s="230"/>
      <c r="D253" s="231"/>
      <c r="E253" s="157"/>
      <c r="F253" s="12"/>
      <c r="G253" s="158"/>
    </row>
    <row r="254">
      <c r="A254" s="153"/>
      <c r="B254" s="229"/>
      <c r="C254" s="230"/>
      <c r="D254" s="231"/>
      <c r="E254" s="157"/>
      <c r="F254" s="12"/>
      <c r="G254" s="158"/>
    </row>
    <row r="255">
      <c r="A255" s="153"/>
      <c r="B255" s="229"/>
      <c r="C255" s="230"/>
      <c r="D255" s="231"/>
      <c r="E255" s="157"/>
      <c r="F255" s="12"/>
      <c r="G255" s="158"/>
    </row>
    <row r="256">
      <c r="A256" s="153"/>
      <c r="B256" s="229"/>
      <c r="C256" s="230"/>
      <c r="D256" s="231"/>
      <c r="E256" s="157"/>
      <c r="F256" s="12"/>
      <c r="G256" s="158"/>
    </row>
    <row r="257">
      <c r="A257" s="153"/>
      <c r="B257" s="229"/>
      <c r="C257" s="230"/>
      <c r="D257" s="231"/>
      <c r="E257" s="157"/>
      <c r="F257" s="12"/>
      <c r="G257" s="158"/>
    </row>
    <row r="258">
      <c r="A258" s="153"/>
      <c r="B258" s="229"/>
      <c r="C258" s="230"/>
      <c r="D258" s="231"/>
      <c r="E258" s="157"/>
      <c r="F258" s="12"/>
      <c r="G258" s="158"/>
    </row>
    <row r="259">
      <c r="A259" s="153"/>
      <c r="B259" s="229"/>
      <c r="C259" s="230"/>
      <c r="D259" s="231"/>
      <c r="E259" s="157"/>
      <c r="F259" s="12"/>
      <c r="G259" s="158"/>
    </row>
    <row r="260">
      <c r="A260" s="153"/>
      <c r="B260" s="229"/>
      <c r="C260" s="230"/>
      <c r="D260" s="231"/>
      <c r="E260" s="157"/>
      <c r="F260" s="12"/>
      <c r="G260" s="158"/>
    </row>
    <row r="261">
      <c r="A261" s="153"/>
      <c r="B261" s="229"/>
      <c r="C261" s="230"/>
      <c r="D261" s="231"/>
      <c r="E261" s="157"/>
      <c r="F261" s="12"/>
      <c r="G261" s="158"/>
    </row>
    <row r="262">
      <c r="A262" s="153"/>
      <c r="B262" s="229"/>
      <c r="C262" s="230"/>
      <c r="D262" s="231"/>
      <c r="E262" s="157"/>
      <c r="F262" s="12"/>
      <c r="G262" s="158"/>
    </row>
    <row r="263">
      <c r="A263" s="153"/>
      <c r="B263" s="229"/>
      <c r="C263" s="230"/>
      <c r="D263" s="231"/>
      <c r="E263" s="157"/>
      <c r="F263" s="12"/>
      <c r="G263" s="158"/>
    </row>
    <row r="264">
      <c r="A264" s="153"/>
      <c r="B264" s="229"/>
      <c r="C264" s="230"/>
      <c r="D264" s="231"/>
      <c r="E264" s="157"/>
      <c r="F264" s="12"/>
      <c r="G264" s="158"/>
    </row>
    <row r="265">
      <c r="A265" s="153"/>
      <c r="B265" s="229"/>
      <c r="C265" s="230"/>
      <c r="D265" s="231"/>
      <c r="E265" s="157"/>
      <c r="F265" s="12"/>
      <c r="G265" s="158"/>
    </row>
    <row r="266">
      <c r="A266" s="153"/>
      <c r="B266" s="229"/>
      <c r="C266" s="230"/>
      <c r="D266" s="231"/>
      <c r="E266" s="157"/>
      <c r="F266" s="12"/>
      <c r="G266" s="158"/>
    </row>
    <row r="267">
      <c r="A267" s="153"/>
      <c r="B267" s="229"/>
      <c r="C267" s="230"/>
      <c r="D267" s="231"/>
      <c r="E267" s="157"/>
      <c r="F267" s="12"/>
      <c r="G267" s="158"/>
    </row>
    <row r="268">
      <c r="A268" s="153"/>
      <c r="B268" s="229"/>
      <c r="C268" s="230"/>
      <c r="D268" s="231"/>
      <c r="E268" s="157"/>
      <c r="F268" s="12"/>
      <c r="G268" s="158"/>
    </row>
    <row r="269">
      <c r="A269" s="153"/>
      <c r="B269" s="229"/>
      <c r="C269" s="230"/>
      <c r="D269" s="231"/>
      <c r="E269" s="157"/>
      <c r="F269" s="12"/>
      <c r="G269" s="158"/>
    </row>
    <row r="270">
      <c r="A270" s="153"/>
      <c r="B270" s="229"/>
      <c r="C270" s="230"/>
      <c r="D270" s="231"/>
      <c r="E270" s="157"/>
      <c r="F270" s="12"/>
      <c r="G270" s="158"/>
    </row>
    <row r="271">
      <c r="A271" s="153"/>
      <c r="B271" s="229"/>
      <c r="C271" s="230"/>
      <c r="D271" s="231"/>
      <c r="E271" s="157"/>
      <c r="F271" s="12"/>
      <c r="G271" s="158"/>
    </row>
    <row r="272">
      <c r="A272" s="153"/>
      <c r="B272" s="229"/>
      <c r="C272" s="230"/>
      <c r="D272" s="231"/>
      <c r="E272" s="157"/>
      <c r="F272" s="12"/>
      <c r="G272" s="158"/>
    </row>
    <row r="273">
      <c r="A273" s="153"/>
      <c r="B273" s="229"/>
      <c r="C273" s="230"/>
      <c r="D273" s="231"/>
      <c r="E273" s="157"/>
      <c r="F273" s="12"/>
      <c r="G273" s="158"/>
    </row>
    <row r="274">
      <c r="A274" s="153"/>
      <c r="B274" s="229"/>
      <c r="C274" s="230"/>
      <c r="D274" s="231"/>
      <c r="E274" s="157"/>
      <c r="F274" s="12"/>
      <c r="G274" s="158"/>
    </row>
    <row r="275">
      <c r="A275" s="153"/>
      <c r="B275" s="229"/>
      <c r="C275" s="230"/>
      <c r="D275" s="231"/>
      <c r="E275" s="157"/>
      <c r="F275" s="12"/>
      <c r="G275" s="158"/>
    </row>
    <row r="276">
      <c r="A276" s="153"/>
      <c r="B276" s="229"/>
      <c r="C276" s="230"/>
      <c r="D276" s="231"/>
      <c r="E276" s="157"/>
      <c r="F276" s="12"/>
      <c r="G276" s="158"/>
    </row>
    <row r="277">
      <c r="A277" s="153"/>
      <c r="B277" s="229"/>
      <c r="C277" s="230"/>
      <c r="D277" s="231"/>
      <c r="E277" s="157"/>
      <c r="F277" s="12"/>
      <c r="G277" s="158"/>
    </row>
    <row r="278">
      <c r="A278" s="153"/>
      <c r="B278" s="229"/>
      <c r="C278" s="230"/>
      <c r="D278" s="231"/>
      <c r="E278" s="157"/>
      <c r="F278" s="12"/>
      <c r="G278" s="158"/>
    </row>
    <row r="279">
      <c r="A279" s="153"/>
      <c r="B279" s="229"/>
      <c r="C279" s="230"/>
      <c r="D279" s="231"/>
      <c r="E279" s="157"/>
      <c r="F279" s="12"/>
      <c r="G279" s="158"/>
    </row>
    <row r="280">
      <c r="A280" s="153"/>
      <c r="B280" s="229"/>
      <c r="C280" s="230"/>
      <c r="D280" s="231"/>
      <c r="E280" s="157"/>
      <c r="F280" s="12"/>
      <c r="G280" s="158"/>
    </row>
    <row r="281">
      <c r="A281" s="153"/>
      <c r="B281" s="229"/>
      <c r="C281" s="230"/>
      <c r="D281" s="231"/>
      <c r="E281" s="157"/>
      <c r="F281" s="12"/>
      <c r="G281" s="158"/>
    </row>
    <row r="282">
      <c r="A282" s="153"/>
      <c r="B282" s="229"/>
      <c r="C282" s="230"/>
      <c r="D282" s="231"/>
      <c r="E282" s="157"/>
      <c r="F282" s="12"/>
      <c r="G282" s="158"/>
    </row>
    <row r="283">
      <c r="A283" s="153"/>
      <c r="B283" s="229"/>
      <c r="C283" s="230"/>
      <c r="D283" s="231"/>
      <c r="E283" s="157"/>
      <c r="F283" s="12"/>
      <c r="G283" s="158"/>
    </row>
    <row r="284">
      <c r="A284" s="153"/>
      <c r="B284" s="229"/>
      <c r="C284" s="230"/>
      <c r="D284" s="231"/>
      <c r="E284" s="157"/>
      <c r="F284" s="12"/>
      <c r="G284" s="158"/>
    </row>
    <row r="285">
      <c r="A285" s="153"/>
      <c r="B285" s="229"/>
      <c r="C285" s="230"/>
      <c r="D285" s="231"/>
      <c r="E285" s="157"/>
      <c r="F285" s="12"/>
      <c r="G285" s="158"/>
    </row>
    <row r="286">
      <c r="A286" s="153"/>
      <c r="B286" s="229"/>
      <c r="C286" s="230"/>
      <c r="D286" s="231"/>
      <c r="E286" s="157"/>
      <c r="F286" s="12"/>
      <c r="G286" s="158"/>
    </row>
    <row r="287">
      <c r="A287" s="153"/>
      <c r="B287" s="229"/>
      <c r="C287" s="230"/>
      <c r="D287" s="231"/>
      <c r="E287" s="157"/>
      <c r="F287" s="12"/>
      <c r="G287" s="158"/>
    </row>
    <row r="288">
      <c r="A288" s="153"/>
      <c r="B288" s="229"/>
      <c r="C288" s="230"/>
      <c r="D288" s="231"/>
      <c r="E288" s="157"/>
      <c r="F288" s="12"/>
      <c r="G288" s="158"/>
    </row>
    <row r="289">
      <c r="A289" s="153"/>
      <c r="B289" s="229"/>
      <c r="C289" s="230"/>
      <c r="D289" s="231"/>
      <c r="E289" s="157"/>
      <c r="F289" s="12"/>
      <c r="G289" s="158"/>
    </row>
    <row r="290">
      <c r="A290" s="153"/>
      <c r="B290" s="229"/>
      <c r="C290" s="230"/>
      <c r="D290" s="231"/>
      <c r="E290" s="157"/>
      <c r="F290" s="12"/>
      <c r="G290" s="158"/>
    </row>
    <row r="291">
      <c r="A291" s="153"/>
      <c r="B291" s="229"/>
      <c r="C291" s="230"/>
      <c r="D291" s="231"/>
      <c r="E291" s="157"/>
      <c r="F291" s="12"/>
      <c r="G291" s="158"/>
    </row>
    <row r="292">
      <c r="A292" s="153"/>
      <c r="B292" s="229"/>
      <c r="C292" s="230"/>
      <c r="D292" s="231"/>
      <c r="E292" s="157"/>
      <c r="F292" s="12"/>
      <c r="G292" s="158"/>
    </row>
    <row r="293">
      <c r="A293" s="153"/>
      <c r="B293" s="229"/>
      <c r="C293" s="230"/>
      <c r="D293" s="231"/>
      <c r="E293" s="157"/>
      <c r="F293" s="12"/>
      <c r="G293" s="158"/>
    </row>
    <row r="294">
      <c r="A294" s="153"/>
      <c r="B294" s="229"/>
      <c r="C294" s="230"/>
      <c r="D294" s="231"/>
      <c r="E294" s="157"/>
      <c r="F294" s="12"/>
      <c r="G294" s="158"/>
    </row>
    <row r="295">
      <c r="A295" s="153"/>
      <c r="B295" s="229"/>
      <c r="C295" s="230"/>
      <c r="D295" s="231"/>
      <c r="E295" s="157"/>
      <c r="F295" s="12"/>
      <c r="G295" s="158"/>
    </row>
    <row r="296">
      <c r="A296" s="153"/>
      <c r="B296" s="229"/>
      <c r="C296" s="230"/>
      <c r="D296" s="231"/>
      <c r="E296" s="157"/>
      <c r="F296" s="12"/>
      <c r="G296" s="158"/>
    </row>
    <row r="297">
      <c r="A297" s="153"/>
      <c r="B297" s="229"/>
      <c r="C297" s="230"/>
      <c r="D297" s="231"/>
      <c r="E297" s="157"/>
      <c r="F297" s="12"/>
      <c r="G297" s="158"/>
    </row>
    <row r="298">
      <c r="A298" s="153"/>
      <c r="B298" s="229"/>
      <c r="C298" s="230"/>
      <c r="D298" s="231"/>
      <c r="E298" s="157"/>
      <c r="F298" s="12"/>
      <c r="G298" s="158"/>
    </row>
    <row r="299">
      <c r="A299" s="153"/>
      <c r="B299" s="229"/>
      <c r="C299" s="230"/>
      <c r="D299" s="231"/>
      <c r="E299" s="157"/>
      <c r="F299" s="12"/>
      <c r="G299" s="158"/>
    </row>
    <row r="300">
      <c r="A300" s="153"/>
      <c r="B300" s="229"/>
      <c r="C300" s="230"/>
      <c r="D300" s="231"/>
      <c r="E300" s="157"/>
      <c r="F300" s="12"/>
      <c r="G300" s="158"/>
    </row>
    <row r="301">
      <c r="A301" s="153"/>
      <c r="B301" s="229"/>
      <c r="C301" s="230"/>
      <c r="D301" s="231"/>
      <c r="E301" s="157"/>
      <c r="F301" s="12"/>
      <c r="G301" s="158"/>
    </row>
    <row r="302">
      <c r="A302" s="153"/>
      <c r="B302" s="229"/>
      <c r="C302" s="230"/>
      <c r="D302" s="231"/>
      <c r="E302" s="157"/>
      <c r="F302" s="12"/>
      <c r="G302" s="158"/>
    </row>
    <row r="303">
      <c r="A303" s="153"/>
      <c r="B303" s="229"/>
      <c r="C303" s="230"/>
      <c r="D303" s="231"/>
      <c r="E303" s="157"/>
      <c r="F303" s="12"/>
      <c r="G303" s="158"/>
    </row>
    <row r="304">
      <c r="A304" s="153"/>
      <c r="B304" s="229"/>
      <c r="C304" s="230"/>
      <c r="D304" s="231"/>
      <c r="E304" s="157"/>
      <c r="F304" s="12"/>
      <c r="G304" s="158"/>
    </row>
    <row r="305">
      <c r="A305" s="153"/>
      <c r="B305" s="229"/>
      <c r="C305" s="230"/>
      <c r="D305" s="231"/>
      <c r="E305" s="157"/>
      <c r="F305" s="12"/>
      <c r="G305" s="158"/>
    </row>
    <row r="306">
      <c r="A306" s="153"/>
      <c r="B306" s="229"/>
      <c r="C306" s="230"/>
      <c r="D306" s="231"/>
      <c r="E306" s="157"/>
      <c r="F306" s="12"/>
      <c r="G306" s="158"/>
    </row>
    <row r="307">
      <c r="A307" s="153"/>
      <c r="B307" s="229"/>
      <c r="C307" s="230"/>
      <c r="D307" s="231"/>
      <c r="E307" s="157"/>
      <c r="F307" s="12"/>
      <c r="G307" s="158"/>
    </row>
    <row r="308">
      <c r="A308" s="153"/>
      <c r="B308" s="229"/>
      <c r="C308" s="230"/>
      <c r="D308" s="231"/>
      <c r="E308" s="157"/>
      <c r="F308" s="12"/>
      <c r="G308" s="158"/>
    </row>
    <row r="309">
      <c r="A309" s="153"/>
      <c r="B309" s="229"/>
      <c r="C309" s="230"/>
      <c r="D309" s="231"/>
      <c r="E309" s="157"/>
      <c r="F309" s="12"/>
      <c r="G309" s="158"/>
    </row>
    <row r="310">
      <c r="A310" s="153"/>
      <c r="B310" s="229"/>
      <c r="C310" s="230"/>
      <c r="D310" s="231"/>
      <c r="E310" s="157"/>
      <c r="F310" s="12"/>
      <c r="G310" s="158"/>
    </row>
    <row r="311">
      <c r="A311" s="153"/>
      <c r="B311" s="229"/>
      <c r="C311" s="230"/>
      <c r="D311" s="231"/>
      <c r="E311" s="157"/>
      <c r="F311" s="12"/>
      <c r="G311" s="158"/>
    </row>
    <row r="312">
      <c r="A312" s="153"/>
      <c r="B312" s="229"/>
      <c r="C312" s="230"/>
      <c r="D312" s="231"/>
      <c r="E312" s="157"/>
      <c r="F312" s="12"/>
      <c r="G312" s="158"/>
    </row>
    <row r="313">
      <c r="A313" s="153"/>
      <c r="B313" s="229"/>
      <c r="C313" s="230"/>
      <c r="D313" s="231"/>
      <c r="E313" s="157"/>
      <c r="F313" s="12"/>
      <c r="G313" s="158"/>
    </row>
    <row r="314">
      <c r="A314" s="153"/>
      <c r="B314" s="229"/>
      <c r="C314" s="230"/>
      <c r="D314" s="231"/>
      <c r="E314" s="157"/>
      <c r="F314" s="12"/>
      <c r="G314" s="158"/>
    </row>
    <row r="315">
      <c r="A315" s="153"/>
      <c r="B315" s="229"/>
      <c r="C315" s="230"/>
      <c r="D315" s="231"/>
      <c r="E315" s="157"/>
      <c r="F315" s="12"/>
      <c r="G315" s="158"/>
    </row>
    <row r="316">
      <c r="A316" s="153"/>
      <c r="B316" s="229"/>
      <c r="C316" s="230"/>
      <c r="D316" s="231"/>
      <c r="E316" s="157"/>
      <c r="F316" s="12"/>
      <c r="G316" s="158"/>
    </row>
    <row r="317">
      <c r="A317" s="153"/>
      <c r="B317" s="229"/>
      <c r="C317" s="230"/>
      <c r="D317" s="231"/>
      <c r="E317" s="157"/>
      <c r="F317" s="12"/>
      <c r="G317" s="158"/>
    </row>
    <row r="318">
      <c r="A318" s="153"/>
      <c r="B318" s="229"/>
      <c r="C318" s="230"/>
      <c r="D318" s="231"/>
      <c r="E318" s="157"/>
      <c r="F318" s="12"/>
      <c r="G318" s="158"/>
    </row>
    <row r="319">
      <c r="A319" s="153"/>
      <c r="B319" s="229"/>
      <c r="C319" s="230"/>
      <c r="D319" s="231"/>
      <c r="E319" s="157"/>
      <c r="F319" s="12"/>
      <c r="G319" s="158"/>
    </row>
    <row r="320">
      <c r="A320" s="153"/>
      <c r="B320" s="229"/>
      <c r="C320" s="230"/>
      <c r="D320" s="231"/>
      <c r="E320" s="157"/>
      <c r="F320" s="12"/>
      <c r="G320" s="158"/>
    </row>
    <row r="321">
      <c r="A321" s="153"/>
      <c r="B321" s="229"/>
      <c r="C321" s="230"/>
      <c r="D321" s="231"/>
      <c r="E321" s="157"/>
      <c r="F321" s="12"/>
      <c r="G321" s="158"/>
    </row>
    <row r="322">
      <c r="A322" s="153"/>
      <c r="B322" s="229"/>
      <c r="C322" s="230"/>
      <c r="D322" s="231"/>
      <c r="E322" s="157"/>
      <c r="F322" s="12"/>
      <c r="G322" s="158"/>
    </row>
    <row r="323">
      <c r="A323" s="153"/>
      <c r="B323" s="229"/>
      <c r="C323" s="230"/>
      <c r="D323" s="231"/>
      <c r="E323" s="157"/>
      <c r="F323" s="12"/>
      <c r="G323" s="158"/>
    </row>
    <row r="324">
      <c r="A324" s="153"/>
      <c r="B324" s="229"/>
      <c r="C324" s="230"/>
      <c r="D324" s="231"/>
      <c r="E324" s="157"/>
      <c r="F324" s="12"/>
      <c r="G324" s="158"/>
    </row>
    <row r="325">
      <c r="A325" s="153"/>
      <c r="B325" s="229"/>
      <c r="C325" s="230"/>
      <c r="D325" s="231"/>
      <c r="E325" s="157"/>
      <c r="F325" s="12"/>
      <c r="G325" s="158"/>
    </row>
    <row r="326">
      <c r="A326" s="153"/>
      <c r="B326" s="229"/>
      <c r="C326" s="230"/>
      <c r="D326" s="231"/>
      <c r="E326" s="157"/>
      <c r="F326" s="12"/>
      <c r="G326" s="158"/>
    </row>
    <row r="327">
      <c r="A327" s="153"/>
      <c r="B327" s="229"/>
      <c r="C327" s="230"/>
      <c r="D327" s="231"/>
      <c r="E327" s="157"/>
      <c r="F327" s="12"/>
      <c r="G327" s="158"/>
    </row>
    <row r="328">
      <c r="A328" s="153"/>
      <c r="B328" s="229"/>
      <c r="C328" s="230"/>
      <c r="D328" s="231"/>
      <c r="E328" s="157"/>
      <c r="F328" s="12"/>
      <c r="G328" s="158"/>
    </row>
    <row r="329">
      <c r="A329" s="153"/>
      <c r="B329" s="229"/>
      <c r="C329" s="230"/>
      <c r="D329" s="231"/>
      <c r="E329" s="157"/>
      <c r="F329" s="12"/>
      <c r="G329" s="158"/>
    </row>
    <row r="330">
      <c r="A330" s="153"/>
      <c r="B330" s="229"/>
      <c r="C330" s="230"/>
      <c r="D330" s="231"/>
      <c r="E330" s="157"/>
      <c r="F330" s="12"/>
      <c r="G330" s="158"/>
    </row>
    <row r="331">
      <c r="A331" s="153"/>
      <c r="B331" s="229"/>
      <c r="C331" s="230"/>
      <c r="D331" s="231"/>
      <c r="E331" s="157"/>
      <c r="F331" s="12"/>
      <c r="G331" s="158"/>
    </row>
    <row r="332">
      <c r="A332" s="153"/>
      <c r="B332" s="229"/>
      <c r="C332" s="230"/>
      <c r="D332" s="231"/>
      <c r="E332" s="157"/>
      <c r="F332" s="12"/>
      <c r="G332" s="158"/>
    </row>
    <row r="333">
      <c r="A333" s="153"/>
      <c r="B333" s="229"/>
      <c r="C333" s="230"/>
      <c r="D333" s="231"/>
      <c r="E333" s="157"/>
      <c r="F333" s="12"/>
      <c r="G333" s="158"/>
    </row>
    <row r="334">
      <c r="A334" s="153"/>
      <c r="B334" s="229"/>
      <c r="C334" s="230"/>
      <c r="D334" s="231"/>
      <c r="E334" s="157"/>
      <c r="F334" s="12"/>
      <c r="G334" s="158"/>
    </row>
    <row r="335">
      <c r="A335" s="153"/>
      <c r="B335" s="229"/>
      <c r="C335" s="230"/>
      <c r="D335" s="231"/>
      <c r="E335" s="157"/>
      <c r="F335" s="12"/>
      <c r="G335" s="158"/>
    </row>
    <row r="336">
      <c r="A336" s="153"/>
      <c r="B336" s="229"/>
      <c r="C336" s="230"/>
      <c r="D336" s="231"/>
      <c r="E336" s="157"/>
      <c r="F336" s="12"/>
      <c r="G336" s="158"/>
    </row>
    <row r="337">
      <c r="A337" s="153"/>
      <c r="B337" s="229"/>
      <c r="C337" s="230"/>
      <c r="D337" s="231"/>
      <c r="E337" s="157"/>
      <c r="F337" s="12"/>
      <c r="G337" s="158"/>
    </row>
    <row r="338">
      <c r="A338" s="153"/>
      <c r="B338" s="229"/>
      <c r="C338" s="230"/>
      <c r="D338" s="231"/>
      <c r="E338" s="157"/>
      <c r="F338" s="12"/>
      <c r="G338" s="158"/>
    </row>
    <row r="339">
      <c r="A339" s="153"/>
      <c r="B339" s="229"/>
      <c r="C339" s="230"/>
      <c r="D339" s="231"/>
      <c r="E339" s="157"/>
      <c r="F339" s="12"/>
      <c r="G339" s="158"/>
    </row>
    <row r="340">
      <c r="A340" s="153"/>
      <c r="B340" s="229"/>
      <c r="C340" s="230"/>
      <c r="D340" s="231"/>
      <c r="E340" s="157"/>
      <c r="F340" s="12"/>
      <c r="G340" s="158"/>
    </row>
    <row r="341">
      <c r="A341" s="153"/>
      <c r="B341" s="229"/>
      <c r="C341" s="230"/>
      <c r="D341" s="231"/>
      <c r="E341" s="157"/>
      <c r="F341" s="12"/>
      <c r="G341" s="158"/>
    </row>
    <row r="342">
      <c r="A342" s="153"/>
      <c r="B342" s="229"/>
      <c r="C342" s="230"/>
      <c r="D342" s="231"/>
      <c r="E342" s="157"/>
      <c r="F342" s="12"/>
      <c r="G342" s="158"/>
    </row>
    <row r="343">
      <c r="A343" s="153"/>
      <c r="B343" s="229"/>
      <c r="C343" s="230"/>
      <c r="D343" s="231"/>
      <c r="E343" s="157"/>
      <c r="F343" s="12"/>
      <c r="G343" s="158"/>
    </row>
    <row r="344">
      <c r="A344" s="153"/>
      <c r="B344" s="229"/>
      <c r="C344" s="230"/>
      <c r="D344" s="231"/>
      <c r="E344" s="157"/>
      <c r="F344" s="12"/>
      <c r="G344" s="158"/>
    </row>
    <row r="345">
      <c r="A345" s="153"/>
      <c r="B345" s="229"/>
      <c r="C345" s="230"/>
      <c r="D345" s="231"/>
      <c r="E345" s="157"/>
      <c r="F345" s="12"/>
      <c r="G345" s="158"/>
    </row>
    <row r="346">
      <c r="A346" s="153"/>
      <c r="B346" s="229"/>
      <c r="C346" s="230"/>
      <c r="D346" s="231"/>
      <c r="E346" s="157"/>
      <c r="F346" s="12"/>
      <c r="G346" s="158"/>
    </row>
    <row r="347">
      <c r="A347" s="153"/>
      <c r="B347" s="229"/>
      <c r="C347" s="230"/>
      <c r="D347" s="231"/>
      <c r="E347" s="157"/>
      <c r="F347" s="12"/>
      <c r="G347" s="158"/>
    </row>
    <row r="348">
      <c r="A348" s="153"/>
      <c r="B348" s="229"/>
      <c r="C348" s="230"/>
      <c r="D348" s="231"/>
      <c r="E348" s="157"/>
      <c r="F348" s="12"/>
      <c r="G348" s="158"/>
    </row>
    <row r="349">
      <c r="A349" s="153"/>
      <c r="B349" s="229"/>
      <c r="C349" s="230"/>
      <c r="D349" s="231"/>
      <c r="E349" s="157"/>
      <c r="F349" s="12"/>
      <c r="G349" s="158"/>
    </row>
    <row r="350">
      <c r="A350" s="153"/>
      <c r="B350" s="229"/>
      <c r="C350" s="230"/>
      <c r="D350" s="231"/>
      <c r="E350" s="157"/>
      <c r="F350" s="12"/>
      <c r="G350" s="158"/>
    </row>
    <row r="351">
      <c r="A351" s="153"/>
      <c r="B351" s="229"/>
      <c r="C351" s="230"/>
      <c r="D351" s="231"/>
      <c r="E351" s="157"/>
      <c r="F351" s="12"/>
      <c r="G351" s="158"/>
    </row>
    <row r="352">
      <c r="A352" s="153"/>
      <c r="B352" s="229"/>
      <c r="C352" s="230"/>
      <c r="D352" s="231"/>
      <c r="E352" s="157"/>
      <c r="F352" s="12"/>
      <c r="G352" s="158"/>
    </row>
    <row r="353">
      <c r="A353" s="153"/>
      <c r="B353" s="229"/>
      <c r="C353" s="230"/>
      <c r="D353" s="231"/>
      <c r="E353" s="157"/>
      <c r="F353" s="12"/>
      <c r="G353" s="158"/>
    </row>
    <row r="354">
      <c r="A354" s="153"/>
      <c r="B354" s="229"/>
      <c r="C354" s="230"/>
      <c r="D354" s="231"/>
      <c r="E354" s="157"/>
      <c r="F354" s="12"/>
      <c r="G354" s="158"/>
    </row>
    <row r="355">
      <c r="A355" s="153"/>
      <c r="B355" s="229"/>
      <c r="C355" s="230"/>
      <c r="D355" s="231"/>
      <c r="E355" s="157"/>
      <c r="F355" s="12"/>
      <c r="G355" s="158"/>
    </row>
    <row r="356">
      <c r="A356" s="153"/>
      <c r="B356" s="229"/>
      <c r="C356" s="230"/>
      <c r="D356" s="231"/>
      <c r="E356" s="157"/>
      <c r="F356" s="12"/>
      <c r="G356" s="158"/>
    </row>
    <row r="357">
      <c r="A357" s="153"/>
      <c r="B357" s="229"/>
      <c r="C357" s="230"/>
      <c r="D357" s="231"/>
      <c r="E357" s="157"/>
      <c r="F357" s="12"/>
      <c r="G357" s="158"/>
    </row>
    <row r="358">
      <c r="A358" s="153"/>
      <c r="B358" s="229"/>
      <c r="C358" s="230"/>
      <c r="D358" s="231"/>
      <c r="E358" s="157"/>
      <c r="F358" s="12"/>
      <c r="G358" s="158"/>
    </row>
    <row r="359">
      <c r="A359" s="153"/>
      <c r="B359" s="229"/>
      <c r="C359" s="230"/>
      <c r="D359" s="231"/>
      <c r="E359" s="157"/>
      <c r="F359" s="12"/>
      <c r="G359" s="158"/>
    </row>
    <row r="360">
      <c r="A360" s="153"/>
      <c r="B360" s="229"/>
      <c r="C360" s="230"/>
      <c r="D360" s="231"/>
      <c r="E360" s="157"/>
      <c r="F360" s="12"/>
      <c r="G360" s="158"/>
    </row>
    <row r="361">
      <c r="A361" s="153"/>
      <c r="B361" s="229"/>
      <c r="C361" s="230"/>
      <c r="D361" s="231"/>
      <c r="E361" s="157"/>
      <c r="F361" s="12"/>
      <c r="G361" s="158"/>
    </row>
    <row r="362">
      <c r="A362" s="153"/>
      <c r="B362" s="229"/>
      <c r="C362" s="230"/>
      <c r="D362" s="231"/>
      <c r="E362" s="157"/>
      <c r="F362" s="12"/>
      <c r="G362" s="158"/>
    </row>
    <row r="363">
      <c r="A363" s="153"/>
      <c r="B363" s="229"/>
      <c r="C363" s="230"/>
      <c r="D363" s="231"/>
      <c r="E363" s="157"/>
      <c r="F363" s="12"/>
      <c r="G363" s="158"/>
    </row>
    <row r="364">
      <c r="A364" s="153"/>
      <c r="B364" s="229"/>
      <c r="C364" s="230"/>
      <c r="D364" s="231"/>
      <c r="E364" s="157"/>
      <c r="F364" s="12"/>
      <c r="G364" s="158"/>
    </row>
    <row r="365">
      <c r="A365" s="153"/>
      <c r="B365" s="229"/>
      <c r="C365" s="230"/>
      <c r="D365" s="231"/>
      <c r="E365" s="157"/>
      <c r="F365" s="12"/>
      <c r="G365" s="158"/>
    </row>
    <row r="366">
      <c r="A366" s="153"/>
      <c r="B366" s="229"/>
      <c r="C366" s="230"/>
      <c r="D366" s="231"/>
      <c r="E366" s="157"/>
      <c r="F366" s="12"/>
      <c r="G366" s="158"/>
    </row>
    <row r="367">
      <c r="A367" s="153"/>
      <c r="B367" s="229"/>
      <c r="C367" s="230"/>
      <c r="D367" s="231"/>
      <c r="E367" s="157"/>
      <c r="F367" s="12"/>
      <c r="G367" s="158"/>
    </row>
    <row r="368">
      <c r="A368" s="153"/>
      <c r="B368" s="229"/>
      <c r="C368" s="230"/>
      <c r="D368" s="231"/>
      <c r="E368" s="157"/>
      <c r="F368" s="12"/>
      <c r="G368" s="158"/>
    </row>
    <row r="369">
      <c r="A369" s="153"/>
      <c r="B369" s="229"/>
      <c r="C369" s="230"/>
      <c r="D369" s="231"/>
      <c r="E369" s="157"/>
      <c r="F369" s="12"/>
      <c r="G369" s="158"/>
    </row>
    <row r="370">
      <c r="A370" s="153"/>
      <c r="B370" s="229"/>
      <c r="C370" s="230"/>
      <c r="D370" s="231"/>
      <c r="E370" s="157"/>
      <c r="F370" s="12"/>
      <c r="G370" s="158"/>
    </row>
    <row r="371">
      <c r="A371" s="153"/>
      <c r="B371" s="229"/>
      <c r="C371" s="230"/>
      <c r="D371" s="231"/>
      <c r="E371" s="157"/>
      <c r="F371" s="12"/>
      <c r="G371" s="158"/>
    </row>
    <row r="372">
      <c r="A372" s="153"/>
      <c r="B372" s="229"/>
      <c r="C372" s="230"/>
      <c r="D372" s="231"/>
      <c r="E372" s="157"/>
      <c r="F372" s="12"/>
      <c r="G372" s="158"/>
    </row>
    <row r="373">
      <c r="A373" s="153"/>
      <c r="B373" s="229"/>
      <c r="C373" s="230"/>
      <c r="D373" s="231"/>
      <c r="E373" s="157"/>
      <c r="F373" s="12"/>
      <c r="G373" s="158"/>
    </row>
    <row r="374">
      <c r="A374" s="153"/>
      <c r="B374" s="229"/>
      <c r="C374" s="230"/>
      <c r="D374" s="231"/>
      <c r="E374" s="157"/>
      <c r="F374" s="12"/>
      <c r="G374" s="158"/>
    </row>
    <row r="375">
      <c r="A375" s="153"/>
      <c r="B375" s="229"/>
      <c r="C375" s="230"/>
      <c r="D375" s="231"/>
      <c r="E375" s="157"/>
      <c r="F375" s="12"/>
      <c r="G375" s="158"/>
    </row>
    <row r="376">
      <c r="A376" s="153"/>
      <c r="B376" s="229"/>
      <c r="C376" s="230"/>
      <c r="D376" s="231"/>
      <c r="E376" s="157"/>
      <c r="F376" s="12"/>
      <c r="G376" s="158"/>
    </row>
    <row r="377">
      <c r="A377" s="153"/>
      <c r="B377" s="229"/>
      <c r="C377" s="230"/>
      <c r="D377" s="231"/>
      <c r="E377" s="157"/>
      <c r="F377" s="12"/>
      <c r="G377" s="158"/>
    </row>
    <row r="378">
      <c r="A378" s="153"/>
      <c r="B378" s="229"/>
      <c r="C378" s="230"/>
      <c r="D378" s="231"/>
      <c r="E378" s="157"/>
      <c r="F378" s="12"/>
      <c r="G378" s="158"/>
    </row>
    <row r="379">
      <c r="A379" s="153"/>
      <c r="B379" s="229"/>
      <c r="C379" s="230"/>
      <c r="D379" s="231"/>
      <c r="E379" s="157"/>
      <c r="F379" s="12"/>
      <c r="G379" s="158"/>
    </row>
    <row r="380">
      <c r="A380" s="153"/>
      <c r="B380" s="229"/>
      <c r="C380" s="230"/>
      <c r="D380" s="231"/>
      <c r="E380" s="157"/>
      <c r="F380" s="12"/>
      <c r="G380" s="158"/>
    </row>
    <row r="381">
      <c r="A381" s="153"/>
      <c r="B381" s="229"/>
      <c r="C381" s="230"/>
      <c r="D381" s="231"/>
      <c r="E381" s="157"/>
      <c r="F381" s="12"/>
      <c r="G381" s="158"/>
    </row>
    <row r="382">
      <c r="A382" s="153"/>
      <c r="B382" s="229"/>
      <c r="C382" s="230"/>
      <c r="D382" s="231"/>
      <c r="E382" s="157"/>
      <c r="F382" s="12"/>
      <c r="G382" s="158"/>
    </row>
    <row r="383">
      <c r="A383" s="153"/>
      <c r="B383" s="229"/>
      <c r="C383" s="230"/>
      <c r="D383" s="231"/>
      <c r="E383" s="157"/>
      <c r="F383" s="12"/>
      <c r="G383" s="158"/>
    </row>
    <row r="384">
      <c r="A384" s="153"/>
      <c r="B384" s="229"/>
      <c r="C384" s="230"/>
      <c r="D384" s="231"/>
      <c r="E384" s="157"/>
      <c r="F384" s="12"/>
      <c r="G384" s="158"/>
    </row>
    <row r="385">
      <c r="A385" s="153"/>
      <c r="B385" s="229"/>
      <c r="C385" s="230"/>
      <c r="D385" s="231"/>
      <c r="E385" s="157"/>
      <c r="F385" s="12"/>
      <c r="G385" s="158"/>
    </row>
    <row r="386">
      <c r="A386" s="153"/>
      <c r="B386" s="229"/>
      <c r="C386" s="230"/>
      <c r="D386" s="231"/>
      <c r="E386" s="157"/>
      <c r="F386" s="12"/>
      <c r="G386" s="158"/>
    </row>
    <row r="387">
      <c r="A387" s="153"/>
      <c r="B387" s="229"/>
      <c r="C387" s="230"/>
      <c r="D387" s="231"/>
      <c r="E387" s="157"/>
      <c r="F387" s="12"/>
      <c r="G387" s="158"/>
    </row>
    <row r="388">
      <c r="A388" s="153"/>
      <c r="B388" s="229"/>
      <c r="C388" s="230"/>
      <c r="D388" s="231"/>
      <c r="E388" s="157"/>
      <c r="F388" s="12"/>
      <c r="G388" s="158"/>
    </row>
    <row r="389">
      <c r="A389" s="153"/>
      <c r="B389" s="229"/>
      <c r="C389" s="230"/>
      <c r="D389" s="231"/>
      <c r="E389" s="157"/>
      <c r="F389" s="12"/>
      <c r="G389" s="158"/>
    </row>
    <row r="390">
      <c r="A390" s="153"/>
      <c r="B390" s="229"/>
      <c r="C390" s="230"/>
      <c r="D390" s="231"/>
      <c r="E390" s="157"/>
      <c r="F390" s="12"/>
      <c r="G390" s="158"/>
    </row>
    <row r="391">
      <c r="A391" s="153"/>
      <c r="B391" s="229"/>
      <c r="C391" s="230"/>
      <c r="D391" s="231"/>
      <c r="E391" s="157"/>
      <c r="F391" s="12"/>
      <c r="G391" s="158"/>
    </row>
    <row r="392">
      <c r="A392" s="153"/>
      <c r="B392" s="229"/>
      <c r="C392" s="230"/>
      <c r="D392" s="231"/>
      <c r="E392" s="157"/>
      <c r="F392" s="12"/>
      <c r="G392" s="158"/>
    </row>
    <row r="393">
      <c r="A393" s="153"/>
      <c r="B393" s="229"/>
      <c r="C393" s="230"/>
      <c r="D393" s="231"/>
      <c r="E393" s="157"/>
      <c r="F393" s="12"/>
      <c r="G393" s="158"/>
    </row>
    <row r="394">
      <c r="A394" s="153"/>
      <c r="B394" s="229"/>
      <c r="C394" s="230"/>
      <c r="D394" s="231"/>
      <c r="E394" s="157"/>
      <c r="F394" s="12"/>
      <c r="G394" s="158"/>
    </row>
    <row r="395">
      <c r="A395" s="153"/>
      <c r="B395" s="229"/>
      <c r="C395" s="230"/>
      <c r="D395" s="231"/>
      <c r="E395" s="157"/>
      <c r="F395" s="12"/>
      <c r="G395" s="158"/>
    </row>
    <row r="396">
      <c r="A396" s="153"/>
      <c r="B396" s="229"/>
      <c r="C396" s="230"/>
      <c r="D396" s="231"/>
      <c r="E396" s="157"/>
      <c r="F396" s="12"/>
      <c r="G396" s="158"/>
    </row>
    <row r="397">
      <c r="A397" s="153"/>
      <c r="B397" s="229"/>
      <c r="C397" s="230"/>
      <c r="D397" s="231"/>
      <c r="E397" s="157"/>
      <c r="F397" s="12"/>
      <c r="G397" s="158"/>
    </row>
    <row r="398">
      <c r="A398" s="153"/>
      <c r="B398" s="229"/>
      <c r="C398" s="230"/>
      <c r="D398" s="231"/>
      <c r="E398" s="157"/>
      <c r="F398" s="12"/>
      <c r="G398" s="158"/>
    </row>
    <row r="399">
      <c r="A399" s="153"/>
      <c r="B399" s="229"/>
      <c r="C399" s="230"/>
      <c r="D399" s="231"/>
      <c r="E399" s="157"/>
      <c r="F399" s="12"/>
      <c r="G399" s="158"/>
    </row>
    <row r="400">
      <c r="A400" s="153"/>
      <c r="B400" s="229"/>
      <c r="C400" s="230"/>
      <c r="D400" s="231"/>
      <c r="E400" s="157"/>
      <c r="F400" s="12"/>
      <c r="G400" s="158"/>
    </row>
    <row r="401">
      <c r="A401" s="153"/>
      <c r="B401" s="229"/>
      <c r="C401" s="230"/>
      <c r="D401" s="231"/>
      <c r="E401" s="157"/>
      <c r="F401" s="12"/>
      <c r="G401" s="158"/>
    </row>
    <row r="402">
      <c r="A402" s="153"/>
      <c r="B402" s="229"/>
      <c r="C402" s="230"/>
      <c r="D402" s="231"/>
      <c r="E402" s="157"/>
      <c r="F402" s="12"/>
      <c r="G402" s="158"/>
    </row>
    <row r="403">
      <c r="A403" s="153"/>
      <c r="B403" s="229"/>
      <c r="C403" s="230"/>
      <c r="D403" s="231"/>
      <c r="E403" s="157"/>
      <c r="F403" s="12"/>
      <c r="G403" s="158"/>
    </row>
    <row r="404">
      <c r="A404" s="153"/>
      <c r="B404" s="229"/>
      <c r="C404" s="230"/>
      <c r="D404" s="231"/>
      <c r="E404" s="157"/>
      <c r="F404" s="12"/>
      <c r="G404" s="158"/>
    </row>
    <row r="405">
      <c r="A405" s="153"/>
      <c r="B405" s="229"/>
      <c r="C405" s="230"/>
      <c r="D405" s="231"/>
      <c r="E405" s="157"/>
      <c r="F405" s="12"/>
      <c r="G405" s="158"/>
    </row>
    <row r="406">
      <c r="A406" s="153"/>
      <c r="B406" s="229"/>
      <c r="C406" s="230"/>
      <c r="D406" s="231"/>
      <c r="E406" s="157"/>
      <c r="F406" s="12"/>
      <c r="G406" s="158"/>
    </row>
    <row r="407">
      <c r="A407" s="153"/>
      <c r="B407" s="229"/>
      <c r="C407" s="230"/>
      <c r="D407" s="231"/>
      <c r="E407" s="157"/>
      <c r="F407" s="12"/>
      <c r="G407" s="158"/>
    </row>
    <row r="408">
      <c r="A408" s="153"/>
      <c r="B408" s="229"/>
      <c r="C408" s="230"/>
      <c r="D408" s="231"/>
      <c r="E408" s="157"/>
      <c r="F408" s="12"/>
      <c r="G408" s="158"/>
    </row>
    <row r="409">
      <c r="A409" s="153"/>
      <c r="B409" s="229"/>
      <c r="C409" s="230"/>
      <c r="D409" s="231"/>
      <c r="E409" s="157"/>
      <c r="F409" s="12"/>
      <c r="G409" s="158"/>
    </row>
    <row r="410">
      <c r="A410" s="153"/>
      <c r="B410" s="229"/>
      <c r="C410" s="230"/>
      <c r="D410" s="231"/>
      <c r="E410" s="157"/>
      <c r="F410" s="12"/>
      <c r="G410" s="158"/>
    </row>
    <row r="411">
      <c r="A411" s="153"/>
      <c r="B411" s="229"/>
      <c r="C411" s="230"/>
      <c r="D411" s="231"/>
      <c r="E411" s="157"/>
      <c r="F411" s="12"/>
      <c r="G411" s="158"/>
    </row>
    <row r="412">
      <c r="A412" s="153"/>
      <c r="B412" s="229"/>
      <c r="C412" s="230"/>
      <c r="D412" s="231"/>
      <c r="E412" s="157"/>
      <c r="F412" s="12"/>
      <c r="G412" s="158"/>
    </row>
    <row r="413">
      <c r="A413" s="153"/>
      <c r="B413" s="229"/>
      <c r="C413" s="230"/>
      <c r="D413" s="231"/>
      <c r="E413" s="157"/>
      <c r="F413" s="12"/>
      <c r="G413" s="158"/>
    </row>
    <row r="414">
      <c r="A414" s="153"/>
      <c r="B414" s="229"/>
      <c r="C414" s="230"/>
      <c r="D414" s="231"/>
      <c r="E414" s="157"/>
      <c r="F414" s="12"/>
      <c r="G414" s="158"/>
    </row>
    <row r="415">
      <c r="A415" s="153"/>
      <c r="B415" s="229"/>
      <c r="C415" s="230"/>
      <c r="D415" s="231"/>
      <c r="E415" s="157"/>
      <c r="F415" s="12"/>
      <c r="G415" s="158"/>
    </row>
    <row r="416">
      <c r="A416" s="153"/>
      <c r="B416" s="229"/>
      <c r="C416" s="230"/>
      <c r="D416" s="231"/>
      <c r="E416" s="157"/>
      <c r="F416" s="12"/>
      <c r="G416" s="158"/>
    </row>
    <row r="417">
      <c r="A417" s="153"/>
      <c r="B417" s="229"/>
      <c r="C417" s="230"/>
      <c r="D417" s="231"/>
      <c r="E417" s="157"/>
      <c r="F417" s="12"/>
      <c r="G417" s="158"/>
    </row>
    <row r="418">
      <c r="A418" s="153"/>
      <c r="B418" s="229"/>
      <c r="C418" s="230"/>
      <c r="D418" s="231"/>
      <c r="E418" s="157"/>
      <c r="F418" s="12"/>
      <c r="G418" s="158"/>
    </row>
    <row r="419">
      <c r="A419" s="153"/>
      <c r="B419" s="229"/>
      <c r="C419" s="230"/>
      <c r="D419" s="231"/>
      <c r="E419" s="157"/>
      <c r="F419" s="12"/>
      <c r="G419" s="158"/>
    </row>
    <row r="420">
      <c r="A420" s="153"/>
      <c r="B420" s="229"/>
      <c r="C420" s="230"/>
      <c r="D420" s="231"/>
      <c r="E420" s="157"/>
      <c r="F420" s="12"/>
      <c r="G420" s="158"/>
    </row>
    <row r="421">
      <c r="A421" s="153"/>
      <c r="B421" s="229"/>
      <c r="C421" s="230"/>
      <c r="D421" s="231"/>
      <c r="E421" s="157"/>
      <c r="F421" s="12"/>
      <c r="G421" s="158"/>
    </row>
    <row r="422">
      <c r="A422" s="153"/>
      <c r="B422" s="229"/>
      <c r="C422" s="230"/>
      <c r="D422" s="231"/>
      <c r="E422" s="157"/>
      <c r="F422" s="12"/>
      <c r="G422" s="158"/>
    </row>
    <row r="423">
      <c r="A423" s="153"/>
      <c r="B423" s="229"/>
      <c r="C423" s="230"/>
      <c r="D423" s="231"/>
      <c r="E423" s="157"/>
      <c r="F423" s="12"/>
      <c r="G423" s="158"/>
    </row>
    <row r="424">
      <c r="A424" s="153"/>
      <c r="B424" s="229"/>
      <c r="C424" s="230"/>
      <c r="D424" s="231"/>
      <c r="E424" s="157"/>
      <c r="F424" s="12"/>
      <c r="G424" s="158"/>
    </row>
    <row r="425">
      <c r="A425" s="153"/>
      <c r="B425" s="229"/>
      <c r="C425" s="230"/>
      <c r="D425" s="231"/>
      <c r="E425" s="157"/>
      <c r="F425" s="12"/>
      <c r="G425" s="158"/>
    </row>
    <row r="426">
      <c r="A426" s="153"/>
      <c r="B426" s="229"/>
      <c r="C426" s="230"/>
      <c r="D426" s="231"/>
      <c r="E426" s="157"/>
      <c r="F426" s="12"/>
      <c r="G426" s="158"/>
    </row>
    <row r="427">
      <c r="A427" s="153"/>
      <c r="B427" s="229"/>
      <c r="C427" s="230"/>
      <c r="D427" s="231"/>
      <c r="E427" s="157"/>
      <c r="F427" s="12"/>
      <c r="G427" s="158"/>
    </row>
    <row r="428">
      <c r="A428" s="153"/>
      <c r="B428" s="229"/>
      <c r="C428" s="230"/>
      <c r="D428" s="231"/>
      <c r="E428" s="157"/>
      <c r="F428" s="12"/>
      <c r="G428" s="158"/>
    </row>
    <row r="429">
      <c r="A429" s="153"/>
      <c r="B429" s="229"/>
      <c r="C429" s="230"/>
      <c r="D429" s="231"/>
      <c r="E429" s="157"/>
      <c r="F429" s="12"/>
      <c r="G429" s="158"/>
    </row>
    <row r="430">
      <c r="A430" s="153"/>
      <c r="B430" s="229"/>
      <c r="C430" s="230"/>
      <c r="D430" s="231"/>
      <c r="E430" s="157"/>
      <c r="F430" s="12"/>
      <c r="G430" s="158"/>
    </row>
    <row r="431">
      <c r="A431" s="153"/>
      <c r="B431" s="229"/>
      <c r="C431" s="230"/>
      <c r="D431" s="231"/>
      <c r="E431" s="157"/>
      <c r="F431" s="12"/>
      <c r="G431" s="158"/>
    </row>
    <row r="432">
      <c r="A432" s="153"/>
      <c r="B432" s="229"/>
      <c r="C432" s="230"/>
      <c r="D432" s="231"/>
      <c r="E432" s="157"/>
      <c r="F432" s="12"/>
      <c r="G432" s="158"/>
    </row>
    <row r="433">
      <c r="A433" s="153"/>
      <c r="B433" s="229"/>
      <c r="C433" s="230"/>
      <c r="D433" s="231"/>
      <c r="E433" s="157"/>
      <c r="F433" s="12"/>
      <c r="G433" s="158"/>
    </row>
    <row r="434">
      <c r="A434" s="153"/>
      <c r="B434" s="229"/>
      <c r="C434" s="230"/>
      <c r="D434" s="231"/>
      <c r="E434" s="157"/>
      <c r="F434" s="12"/>
      <c r="G434" s="158"/>
    </row>
    <row r="435">
      <c r="A435" s="153"/>
      <c r="B435" s="229"/>
      <c r="C435" s="230"/>
      <c r="D435" s="231"/>
      <c r="E435" s="157"/>
      <c r="F435" s="12"/>
      <c r="G435" s="158"/>
    </row>
    <row r="436">
      <c r="A436" s="153"/>
      <c r="B436" s="229"/>
      <c r="C436" s="230"/>
      <c r="D436" s="231"/>
      <c r="E436" s="157"/>
      <c r="F436" s="12"/>
      <c r="G436" s="158"/>
    </row>
    <row r="437">
      <c r="A437" s="153"/>
      <c r="B437" s="229"/>
      <c r="C437" s="230"/>
      <c r="D437" s="231"/>
      <c r="E437" s="157"/>
      <c r="F437" s="12"/>
      <c r="G437" s="158"/>
    </row>
    <row r="438">
      <c r="A438" s="153"/>
      <c r="B438" s="229"/>
      <c r="C438" s="230"/>
      <c r="D438" s="231"/>
      <c r="E438" s="157"/>
      <c r="F438" s="12"/>
      <c r="G438" s="158"/>
    </row>
    <row r="439">
      <c r="A439" s="153"/>
      <c r="B439" s="229"/>
      <c r="C439" s="230"/>
      <c r="D439" s="231"/>
      <c r="E439" s="157"/>
      <c r="F439" s="12"/>
      <c r="G439" s="158"/>
    </row>
    <row r="440">
      <c r="A440" s="153"/>
      <c r="B440" s="229"/>
      <c r="C440" s="230"/>
      <c r="D440" s="231"/>
      <c r="E440" s="157"/>
      <c r="F440" s="12"/>
      <c r="G440" s="158"/>
    </row>
    <row r="441">
      <c r="A441" s="153"/>
      <c r="B441" s="229"/>
      <c r="C441" s="230"/>
      <c r="D441" s="231"/>
      <c r="E441" s="157"/>
      <c r="F441" s="12"/>
      <c r="G441" s="158"/>
    </row>
    <row r="442">
      <c r="A442" s="153"/>
      <c r="B442" s="229"/>
      <c r="C442" s="230"/>
      <c r="D442" s="231"/>
      <c r="E442" s="157"/>
      <c r="F442" s="12"/>
      <c r="G442" s="158"/>
    </row>
    <row r="443">
      <c r="A443" s="153"/>
      <c r="B443" s="229"/>
      <c r="C443" s="230"/>
      <c r="D443" s="231"/>
      <c r="E443" s="157"/>
      <c r="F443" s="12"/>
      <c r="G443" s="158"/>
    </row>
    <row r="444">
      <c r="A444" s="153"/>
      <c r="B444" s="229"/>
      <c r="C444" s="230"/>
      <c r="D444" s="231"/>
      <c r="E444" s="157"/>
      <c r="F444" s="12"/>
      <c r="G444" s="158"/>
    </row>
    <row r="445">
      <c r="A445" s="153"/>
      <c r="B445" s="229"/>
      <c r="C445" s="230"/>
      <c r="D445" s="231"/>
      <c r="E445" s="157"/>
      <c r="F445" s="12"/>
      <c r="G445" s="158"/>
    </row>
    <row r="446">
      <c r="A446" s="153"/>
      <c r="B446" s="229"/>
      <c r="C446" s="230"/>
      <c r="D446" s="231"/>
      <c r="E446" s="157"/>
      <c r="F446" s="12"/>
      <c r="G446" s="158"/>
    </row>
    <row r="447">
      <c r="A447" s="153"/>
      <c r="B447" s="229"/>
      <c r="C447" s="230"/>
      <c r="D447" s="231"/>
      <c r="E447" s="157"/>
      <c r="F447" s="12"/>
      <c r="G447" s="158"/>
    </row>
    <row r="448">
      <c r="A448" s="153"/>
      <c r="B448" s="229"/>
      <c r="C448" s="230"/>
      <c r="D448" s="231"/>
      <c r="E448" s="157"/>
      <c r="F448" s="12"/>
      <c r="G448" s="158"/>
    </row>
    <row r="449">
      <c r="A449" s="153"/>
      <c r="B449" s="229"/>
      <c r="C449" s="230"/>
      <c r="D449" s="231"/>
      <c r="E449" s="157"/>
      <c r="F449" s="12"/>
      <c r="G449" s="158"/>
    </row>
    <row r="450">
      <c r="A450" s="153"/>
      <c r="B450" s="229"/>
      <c r="C450" s="230"/>
      <c r="D450" s="231"/>
      <c r="E450" s="157"/>
      <c r="F450" s="12"/>
      <c r="G450" s="158"/>
    </row>
    <row r="451">
      <c r="A451" s="153"/>
      <c r="B451" s="229"/>
      <c r="C451" s="230"/>
      <c r="D451" s="231"/>
      <c r="E451" s="157"/>
      <c r="F451" s="12"/>
      <c r="G451" s="158"/>
    </row>
    <row r="452">
      <c r="A452" s="153"/>
      <c r="B452" s="229"/>
      <c r="C452" s="230"/>
      <c r="D452" s="231"/>
      <c r="E452" s="157"/>
      <c r="F452" s="12"/>
      <c r="G452" s="158"/>
    </row>
    <row r="453">
      <c r="A453" s="153"/>
      <c r="B453" s="229"/>
      <c r="C453" s="230"/>
      <c r="D453" s="231"/>
      <c r="E453" s="157"/>
      <c r="F453" s="12"/>
      <c r="G453" s="158"/>
    </row>
    <row r="454">
      <c r="A454" s="153"/>
      <c r="B454" s="229"/>
      <c r="C454" s="230"/>
      <c r="D454" s="231"/>
      <c r="E454" s="157"/>
      <c r="F454" s="12"/>
      <c r="G454" s="158"/>
    </row>
    <row r="455">
      <c r="A455" s="153"/>
      <c r="B455" s="229"/>
      <c r="C455" s="230"/>
      <c r="D455" s="231"/>
      <c r="E455" s="157"/>
      <c r="F455" s="12"/>
      <c r="G455" s="158"/>
    </row>
    <row r="456">
      <c r="A456" s="153"/>
      <c r="B456" s="229"/>
      <c r="C456" s="230"/>
      <c r="D456" s="231"/>
      <c r="E456" s="157"/>
      <c r="F456" s="12"/>
      <c r="G456" s="158"/>
    </row>
    <row r="457">
      <c r="A457" s="153"/>
      <c r="B457" s="229"/>
      <c r="C457" s="230"/>
      <c r="D457" s="231"/>
      <c r="E457" s="157"/>
      <c r="F457" s="12"/>
      <c r="G457" s="158"/>
    </row>
    <row r="458">
      <c r="A458" s="153"/>
      <c r="B458" s="229"/>
      <c r="C458" s="230"/>
      <c r="D458" s="231"/>
      <c r="E458" s="157"/>
      <c r="F458" s="12"/>
      <c r="G458" s="158"/>
    </row>
    <row r="459">
      <c r="A459" s="153"/>
      <c r="B459" s="229"/>
      <c r="C459" s="230"/>
      <c r="D459" s="231"/>
      <c r="E459" s="157"/>
      <c r="F459" s="12"/>
      <c r="G459" s="158"/>
    </row>
    <row r="460">
      <c r="A460" s="153"/>
      <c r="B460" s="229"/>
      <c r="C460" s="230"/>
      <c r="D460" s="231"/>
      <c r="E460" s="157"/>
      <c r="F460" s="12"/>
      <c r="G460" s="158"/>
    </row>
    <row r="461">
      <c r="A461" s="153"/>
      <c r="B461" s="229"/>
      <c r="C461" s="230"/>
      <c r="D461" s="231"/>
      <c r="E461" s="157"/>
      <c r="F461" s="12"/>
      <c r="G461" s="158"/>
    </row>
    <row r="462">
      <c r="A462" s="153"/>
      <c r="B462" s="229"/>
      <c r="C462" s="230"/>
      <c r="D462" s="231"/>
      <c r="E462" s="157"/>
      <c r="F462" s="12"/>
      <c r="G462" s="158"/>
    </row>
    <row r="463">
      <c r="A463" s="153"/>
      <c r="B463" s="229"/>
      <c r="C463" s="230"/>
      <c r="D463" s="231"/>
      <c r="E463" s="157"/>
      <c r="F463" s="12"/>
      <c r="G463" s="158"/>
    </row>
    <row r="464">
      <c r="A464" s="153"/>
      <c r="B464" s="229"/>
      <c r="C464" s="230"/>
      <c r="D464" s="231"/>
      <c r="E464" s="157"/>
      <c r="F464" s="12"/>
      <c r="G464" s="158"/>
    </row>
    <row r="465">
      <c r="A465" s="153"/>
      <c r="B465" s="229"/>
      <c r="C465" s="230"/>
      <c r="D465" s="231"/>
      <c r="E465" s="157"/>
      <c r="F465" s="12"/>
      <c r="G465" s="158"/>
    </row>
    <row r="466">
      <c r="A466" s="153"/>
      <c r="B466" s="229"/>
      <c r="C466" s="230"/>
      <c r="D466" s="231"/>
      <c r="E466" s="157"/>
      <c r="F466" s="12"/>
      <c r="G466" s="158"/>
    </row>
    <row r="467">
      <c r="A467" s="153"/>
      <c r="B467" s="229"/>
      <c r="C467" s="230"/>
      <c r="D467" s="231"/>
      <c r="E467" s="157"/>
      <c r="F467" s="12"/>
      <c r="G467" s="158"/>
    </row>
    <row r="468">
      <c r="A468" s="153"/>
      <c r="B468" s="229"/>
      <c r="C468" s="230"/>
      <c r="D468" s="231"/>
      <c r="E468" s="157"/>
      <c r="F468" s="12"/>
      <c r="G468" s="158"/>
    </row>
    <row r="469">
      <c r="A469" s="153"/>
      <c r="B469" s="229"/>
      <c r="C469" s="230"/>
      <c r="D469" s="231"/>
      <c r="E469" s="157"/>
      <c r="F469" s="12"/>
      <c r="G469" s="158"/>
    </row>
    <row r="470">
      <c r="A470" s="153"/>
      <c r="B470" s="229"/>
      <c r="C470" s="230"/>
      <c r="D470" s="231"/>
      <c r="E470" s="157"/>
      <c r="F470" s="12"/>
      <c r="G470" s="158"/>
    </row>
    <row r="471">
      <c r="A471" s="153"/>
      <c r="B471" s="229"/>
      <c r="C471" s="230"/>
      <c r="D471" s="231"/>
      <c r="E471" s="157"/>
      <c r="F471" s="12"/>
      <c r="G471" s="158"/>
    </row>
    <row r="472">
      <c r="A472" s="153"/>
      <c r="B472" s="229"/>
      <c r="C472" s="230"/>
      <c r="D472" s="231"/>
      <c r="E472" s="157"/>
      <c r="F472" s="12"/>
      <c r="G472" s="158"/>
    </row>
    <row r="473">
      <c r="A473" s="153"/>
      <c r="B473" s="229"/>
      <c r="C473" s="230"/>
      <c r="D473" s="231"/>
      <c r="E473" s="157"/>
      <c r="F473" s="12"/>
      <c r="G473" s="158"/>
    </row>
    <row r="474">
      <c r="A474" s="153"/>
      <c r="B474" s="229"/>
      <c r="C474" s="230"/>
      <c r="D474" s="231"/>
      <c r="E474" s="157"/>
      <c r="F474" s="12"/>
      <c r="G474" s="158"/>
    </row>
    <row r="475">
      <c r="A475" s="153"/>
      <c r="B475" s="229"/>
      <c r="C475" s="230"/>
      <c r="D475" s="231"/>
      <c r="E475" s="157"/>
      <c r="F475" s="12"/>
      <c r="G475" s="158"/>
    </row>
    <row r="476">
      <c r="A476" s="153"/>
      <c r="B476" s="229"/>
      <c r="C476" s="230"/>
      <c r="D476" s="231"/>
      <c r="E476" s="157"/>
      <c r="F476" s="12"/>
      <c r="G476" s="158"/>
    </row>
    <row r="477">
      <c r="A477" s="153"/>
      <c r="B477" s="229"/>
      <c r="C477" s="230"/>
      <c r="D477" s="231"/>
      <c r="E477" s="157"/>
      <c r="F477" s="12"/>
      <c r="G477" s="158"/>
    </row>
    <row r="478">
      <c r="A478" s="153"/>
      <c r="B478" s="229"/>
      <c r="C478" s="230"/>
      <c r="D478" s="231"/>
      <c r="E478" s="157"/>
      <c r="F478" s="12"/>
      <c r="G478" s="158"/>
    </row>
    <row r="479">
      <c r="A479" s="153"/>
      <c r="B479" s="229"/>
      <c r="C479" s="230"/>
      <c r="D479" s="231"/>
      <c r="E479" s="157"/>
      <c r="F479" s="12"/>
      <c r="G479" s="158"/>
    </row>
    <row r="480">
      <c r="A480" s="153"/>
      <c r="B480" s="229"/>
      <c r="C480" s="230"/>
      <c r="D480" s="231"/>
      <c r="E480" s="157"/>
      <c r="F480" s="12"/>
      <c r="G480" s="158"/>
    </row>
    <row r="481">
      <c r="A481" s="153"/>
      <c r="B481" s="229"/>
      <c r="C481" s="230"/>
      <c r="D481" s="231"/>
      <c r="E481" s="157"/>
      <c r="F481" s="12"/>
      <c r="G481" s="158"/>
    </row>
    <row r="482">
      <c r="A482" s="153"/>
      <c r="B482" s="229"/>
      <c r="C482" s="230"/>
      <c r="D482" s="231"/>
      <c r="E482" s="157"/>
      <c r="F482" s="12"/>
      <c r="G482" s="158"/>
    </row>
    <row r="483">
      <c r="A483" s="153"/>
      <c r="B483" s="229"/>
      <c r="C483" s="230"/>
      <c r="D483" s="231"/>
      <c r="E483" s="157"/>
      <c r="F483" s="12"/>
      <c r="G483" s="158"/>
    </row>
    <row r="484">
      <c r="A484" s="153"/>
      <c r="B484" s="229"/>
      <c r="C484" s="230"/>
      <c r="D484" s="231"/>
      <c r="E484" s="157"/>
      <c r="F484" s="12"/>
      <c r="G484" s="158"/>
    </row>
    <row r="485">
      <c r="A485" s="153"/>
      <c r="B485" s="229"/>
      <c r="C485" s="230"/>
      <c r="D485" s="231"/>
      <c r="E485" s="157"/>
      <c r="F485" s="12"/>
      <c r="G485" s="158"/>
    </row>
    <row r="486">
      <c r="A486" s="153"/>
      <c r="B486" s="229"/>
      <c r="C486" s="230"/>
      <c r="D486" s="231"/>
      <c r="E486" s="157"/>
      <c r="F486" s="12"/>
      <c r="G486" s="158"/>
    </row>
    <row r="487">
      <c r="A487" s="153"/>
      <c r="B487" s="229"/>
      <c r="C487" s="230"/>
      <c r="D487" s="231"/>
      <c r="E487" s="157"/>
      <c r="F487" s="12"/>
      <c r="G487" s="158"/>
    </row>
    <row r="488">
      <c r="A488" s="153"/>
      <c r="B488" s="229"/>
      <c r="C488" s="230"/>
      <c r="D488" s="231"/>
      <c r="E488" s="157"/>
      <c r="F488" s="12"/>
      <c r="G488" s="158"/>
    </row>
    <row r="489">
      <c r="A489" s="153"/>
      <c r="B489" s="229"/>
      <c r="C489" s="230"/>
      <c r="D489" s="231"/>
      <c r="E489" s="157"/>
      <c r="F489" s="12"/>
      <c r="G489" s="158"/>
    </row>
    <row r="490">
      <c r="A490" s="153"/>
      <c r="B490" s="229"/>
      <c r="C490" s="230"/>
      <c r="D490" s="231"/>
      <c r="E490" s="157"/>
      <c r="F490" s="12"/>
      <c r="G490" s="158"/>
    </row>
    <row r="491">
      <c r="A491" s="153"/>
      <c r="B491" s="229"/>
      <c r="C491" s="230"/>
      <c r="D491" s="231"/>
      <c r="E491" s="157"/>
      <c r="F491" s="12"/>
      <c r="G491" s="158"/>
    </row>
    <row r="492">
      <c r="A492" s="153"/>
      <c r="B492" s="229"/>
      <c r="C492" s="230"/>
      <c r="D492" s="231"/>
      <c r="E492" s="157"/>
      <c r="F492" s="12"/>
      <c r="G492" s="158"/>
    </row>
    <row r="493">
      <c r="A493" s="153"/>
      <c r="B493" s="229"/>
      <c r="C493" s="230"/>
      <c r="D493" s="231"/>
      <c r="E493" s="157"/>
      <c r="F493" s="12"/>
      <c r="G493" s="158"/>
    </row>
    <row r="494">
      <c r="A494" s="153"/>
      <c r="B494" s="229"/>
      <c r="C494" s="230"/>
      <c r="D494" s="231"/>
      <c r="E494" s="157"/>
      <c r="F494" s="12"/>
      <c r="G494" s="158"/>
    </row>
    <row r="495">
      <c r="A495" s="153"/>
      <c r="B495" s="229"/>
      <c r="C495" s="230"/>
      <c r="D495" s="231"/>
      <c r="E495" s="157"/>
      <c r="F495" s="12"/>
      <c r="G495" s="158"/>
    </row>
    <row r="496">
      <c r="A496" s="153"/>
      <c r="B496" s="229"/>
      <c r="C496" s="230"/>
      <c r="D496" s="231"/>
      <c r="E496" s="157"/>
      <c r="F496" s="12"/>
      <c r="G496" s="158"/>
    </row>
    <row r="497">
      <c r="A497" s="153"/>
      <c r="B497" s="229"/>
      <c r="C497" s="230"/>
      <c r="D497" s="231"/>
      <c r="E497" s="157"/>
      <c r="F497" s="12"/>
      <c r="G497" s="158"/>
    </row>
    <row r="498">
      <c r="A498" s="153"/>
      <c r="B498" s="229"/>
      <c r="C498" s="230"/>
      <c r="D498" s="231"/>
      <c r="E498" s="157"/>
      <c r="F498" s="12"/>
      <c r="G498" s="158"/>
    </row>
    <row r="499">
      <c r="A499" s="153"/>
      <c r="B499" s="229"/>
      <c r="C499" s="230"/>
      <c r="D499" s="231"/>
      <c r="E499" s="157"/>
      <c r="F499" s="12"/>
      <c r="G499" s="158"/>
    </row>
    <row r="500">
      <c r="A500" s="153"/>
      <c r="B500" s="229"/>
      <c r="C500" s="230"/>
      <c r="D500" s="231"/>
      <c r="E500" s="157"/>
      <c r="F500" s="12"/>
      <c r="G500" s="158"/>
    </row>
    <row r="501">
      <c r="A501" s="153"/>
      <c r="B501" s="229"/>
      <c r="C501" s="230"/>
      <c r="D501" s="231"/>
      <c r="E501" s="157"/>
      <c r="F501" s="12"/>
      <c r="G501" s="158"/>
    </row>
    <row r="502">
      <c r="A502" s="153"/>
      <c r="B502" s="229"/>
      <c r="C502" s="230"/>
      <c r="D502" s="231"/>
      <c r="E502" s="157"/>
      <c r="F502" s="12"/>
      <c r="G502" s="158"/>
    </row>
    <row r="503">
      <c r="A503" s="153"/>
      <c r="B503" s="229"/>
      <c r="C503" s="230"/>
      <c r="D503" s="231"/>
      <c r="E503" s="157"/>
      <c r="F503" s="12"/>
      <c r="G503" s="158"/>
    </row>
    <row r="504">
      <c r="A504" s="153"/>
      <c r="B504" s="229"/>
      <c r="C504" s="230"/>
      <c r="D504" s="231"/>
      <c r="E504" s="157"/>
      <c r="F504" s="12"/>
      <c r="G504" s="158"/>
    </row>
    <row r="505">
      <c r="A505" s="153"/>
      <c r="B505" s="229"/>
      <c r="C505" s="230"/>
      <c r="D505" s="231"/>
      <c r="E505" s="157"/>
      <c r="F505" s="12"/>
      <c r="G505" s="158"/>
    </row>
    <row r="506">
      <c r="A506" s="153"/>
      <c r="B506" s="229"/>
      <c r="C506" s="230"/>
      <c r="D506" s="231"/>
      <c r="E506" s="157"/>
      <c r="F506" s="12"/>
      <c r="G506" s="158"/>
    </row>
    <row r="507">
      <c r="A507" s="153"/>
      <c r="B507" s="229"/>
      <c r="C507" s="230"/>
      <c r="D507" s="231"/>
      <c r="E507" s="157"/>
      <c r="F507" s="12"/>
      <c r="G507" s="158"/>
    </row>
    <row r="508">
      <c r="A508" s="153"/>
      <c r="B508" s="229"/>
      <c r="C508" s="230"/>
      <c r="D508" s="231"/>
      <c r="E508" s="157"/>
      <c r="F508" s="12"/>
      <c r="G508" s="158"/>
    </row>
    <row r="509">
      <c r="A509" s="153"/>
      <c r="B509" s="229"/>
      <c r="C509" s="230"/>
      <c r="D509" s="231"/>
      <c r="E509" s="157"/>
      <c r="F509" s="12"/>
      <c r="G509" s="158"/>
    </row>
    <row r="510">
      <c r="A510" s="153"/>
      <c r="B510" s="229"/>
      <c r="C510" s="230"/>
      <c r="D510" s="231"/>
      <c r="E510" s="157"/>
      <c r="F510" s="12"/>
      <c r="G510" s="158"/>
    </row>
    <row r="511">
      <c r="A511" s="153"/>
      <c r="B511" s="229"/>
      <c r="C511" s="230"/>
      <c r="D511" s="231"/>
      <c r="E511" s="157"/>
      <c r="F511" s="12"/>
      <c r="G511" s="158"/>
    </row>
    <row r="512">
      <c r="A512" s="153"/>
      <c r="B512" s="229"/>
      <c r="C512" s="230"/>
      <c r="D512" s="231"/>
      <c r="E512" s="157"/>
      <c r="F512" s="12"/>
      <c r="G512" s="158"/>
    </row>
    <row r="513">
      <c r="A513" s="153"/>
      <c r="B513" s="229"/>
      <c r="C513" s="230"/>
      <c r="D513" s="231"/>
      <c r="E513" s="157"/>
      <c r="F513" s="12"/>
      <c r="G513" s="158"/>
    </row>
    <row r="514">
      <c r="A514" s="153"/>
      <c r="B514" s="229"/>
      <c r="C514" s="230"/>
      <c r="D514" s="231"/>
      <c r="E514" s="157"/>
      <c r="F514" s="12"/>
      <c r="G514" s="158"/>
    </row>
    <row r="515">
      <c r="A515" s="153"/>
      <c r="B515" s="229"/>
      <c r="C515" s="230"/>
      <c r="D515" s="231"/>
      <c r="E515" s="157"/>
      <c r="F515" s="12"/>
      <c r="G515" s="158"/>
    </row>
    <row r="516">
      <c r="A516" s="153"/>
      <c r="B516" s="229"/>
      <c r="C516" s="230"/>
      <c r="D516" s="231"/>
      <c r="E516" s="157"/>
      <c r="F516" s="12"/>
      <c r="G516" s="158"/>
    </row>
    <row r="517">
      <c r="A517" s="153"/>
      <c r="B517" s="229"/>
      <c r="C517" s="230"/>
      <c r="D517" s="231"/>
      <c r="E517" s="157"/>
      <c r="F517" s="12"/>
      <c r="G517" s="158"/>
    </row>
    <row r="518">
      <c r="A518" s="153"/>
      <c r="B518" s="229"/>
      <c r="C518" s="230"/>
      <c r="D518" s="231"/>
      <c r="E518" s="157"/>
      <c r="F518" s="12"/>
      <c r="G518" s="158"/>
    </row>
    <row r="519">
      <c r="A519" s="153"/>
      <c r="B519" s="229"/>
      <c r="C519" s="230"/>
      <c r="D519" s="231"/>
      <c r="E519" s="157"/>
      <c r="F519" s="12"/>
      <c r="G519" s="158"/>
    </row>
    <row r="520">
      <c r="A520" s="153"/>
      <c r="B520" s="229"/>
      <c r="C520" s="230"/>
      <c r="D520" s="231"/>
      <c r="E520" s="157"/>
      <c r="F520" s="12"/>
      <c r="G520" s="158"/>
    </row>
    <row r="521">
      <c r="A521" s="153"/>
      <c r="B521" s="229"/>
      <c r="C521" s="230"/>
      <c r="D521" s="231"/>
      <c r="E521" s="157"/>
      <c r="F521" s="12"/>
      <c r="G521" s="158"/>
    </row>
    <row r="522">
      <c r="A522" s="153"/>
      <c r="B522" s="229"/>
      <c r="C522" s="230"/>
      <c r="D522" s="231"/>
      <c r="E522" s="157"/>
      <c r="F522" s="12"/>
      <c r="G522" s="158"/>
    </row>
    <row r="523">
      <c r="A523" s="153"/>
      <c r="B523" s="229"/>
      <c r="C523" s="230"/>
      <c r="D523" s="231"/>
      <c r="E523" s="157"/>
      <c r="F523" s="12"/>
      <c r="G523" s="158"/>
    </row>
    <row r="524">
      <c r="A524" s="153"/>
      <c r="B524" s="229"/>
      <c r="C524" s="230"/>
      <c r="D524" s="231"/>
      <c r="E524" s="157"/>
      <c r="F524" s="12"/>
      <c r="G524" s="158"/>
    </row>
    <row r="525">
      <c r="A525" s="153"/>
      <c r="B525" s="229"/>
      <c r="C525" s="230"/>
      <c r="D525" s="231"/>
      <c r="E525" s="157"/>
      <c r="F525" s="12"/>
      <c r="G525" s="158"/>
    </row>
    <row r="526">
      <c r="A526" s="153"/>
      <c r="B526" s="229"/>
      <c r="C526" s="230"/>
      <c r="D526" s="231"/>
      <c r="E526" s="157"/>
      <c r="F526" s="12"/>
      <c r="G526" s="158"/>
    </row>
    <row r="527">
      <c r="A527" s="153"/>
      <c r="B527" s="229"/>
      <c r="C527" s="230"/>
      <c r="D527" s="231"/>
      <c r="E527" s="157"/>
      <c r="F527" s="12"/>
      <c r="G527" s="158"/>
    </row>
    <row r="528">
      <c r="A528" s="153"/>
      <c r="B528" s="229"/>
      <c r="C528" s="230"/>
      <c r="D528" s="231"/>
      <c r="E528" s="157"/>
      <c r="F528" s="12"/>
      <c r="G528" s="158"/>
    </row>
    <row r="529">
      <c r="A529" s="153"/>
      <c r="B529" s="229"/>
      <c r="C529" s="230"/>
      <c r="D529" s="231"/>
      <c r="E529" s="157"/>
      <c r="F529" s="12"/>
      <c r="G529" s="158"/>
    </row>
    <row r="530">
      <c r="A530" s="153"/>
      <c r="B530" s="229"/>
      <c r="C530" s="230"/>
      <c r="D530" s="231"/>
      <c r="E530" s="157"/>
      <c r="F530" s="12"/>
      <c r="G530" s="158"/>
    </row>
    <row r="531">
      <c r="A531" s="153"/>
      <c r="B531" s="229"/>
      <c r="C531" s="230"/>
      <c r="D531" s="231"/>
      <c r="E531" s="157"/>
      <c r="F531" s="12"/>
      <c r="G531" s="158"/>
    </row>
    <row r="532">
      <c r="A532" s="153"/>
      <c r="B532" s="229"/>
      <c r="C532" s="230"/>
      <c r="D532" s="231"/>
      <c r="E532" s="157"/>
      <c r="F532" s="12"/>
      <c r="G532" s="158"/>
    </row>
    <row r="533">
      <c r="A533" s="153"/>
      <c r="B533" s="229"/>
      <c r="C533" s="230"/>
      <c r="D533" s="231"/>
      <c r="E533" s="157"/>
      <c r="F533" s="12"/>
      <c r="G533" s="158"/>
    </row>
    <row r="534">
      <c r="A534" s="153"/>
      <c r="B534" s="229"/>
      <c r="C534" s="230"/>
      <c r="D534" s="231"/>
      <c r="E534" s="157"/>
      <c r="F534" s="12"/>
      <c r="G534" s="158"/>
    </row>
    <row r="535">
      <c r="A535" s="153"/>
      <c r="B535" s="229"/>
      <c r="C535" s="230"/>
      <c r="D535" s="231"/>
      <c r="E535" s="157"/>
      <c r="F535" s="12"/>
      <c r="G535" s="158"/>
    </row>
    <row r="536">
      <c r="A536" s="153"/>
      <c r="B536" s="229"/>
      <c r="C536" s="230"/>
      <c r="D536" s="231"/>
      <c r="E536" s="157"/>
      <c r="F536" s="12"/>
      <c r="G536" s="158"/>
    </row>
    <row r="537">
      <c r="A537" s="153"/>
      <c r="B537" s="229"/>
      <c r="C537" s="230"/>
      <c r="D537" s="231"/>
      <c r="E537" s="157"/>
      <c r="F537" s="12"/>
      <c r="G537" s="158"/>
    </row>
    <row r="538">
      <c r="A538" s="153"/>
      <c r="B538" s="229"/>
      <c r="C538" s="230"/>
      <c r="D538" s="231"/>
      <c r="E538" s="157"/>
      <c r="F538" s="12"/>
      <c r="G538" s="158"/>
    </row>
    <row r="539">
      <c r="A539" s="153"/>
      <c r="B539" s="229"/>
      <c r="C539" s="230"/>
      <c r="D539" s="231"/>
      <c r="E539" s="157"/>
      <c r="F539" s="12"/>
      <c r="G539" s="158"/>
    </row>
    <row r="540">
      <c r="A540" s="153"/>
      <c r="B540" s="229"/>
      <c r="C540" s="230"/>
      <c r="D540" s="231"/>
      <c r="E540" s="157"/>
      <c r="F540" s="12"/>
      <c r="G540" s="158"/>
    </row>
    <row r="541">
      <c r="A541" s="153"/>
      <c r="B541" s="229"/>
      <c r="C541" s="230"/>
      <c r="D541" s="231"/>
      <c r="E541" s="157"/>
      <c r="F541" s="12"/>
      <c r="G541" s="158"/>
    </row>
    <row r="542">
      <c r="A542" s="153"/>
      <c r="B542" s="229"/>
      <c r="C542" s="230"/>
      <c r="D542" s="231"/>
      <c r="E542" s="157"/>
      <c r="F542" s="12"/>
      <c r="G542" s="158"/>
    </row>
    <row r="543">
      <c r="A543" s="153"/>
      <c r="B543" s="229"/>
      <c r="C543" s="230"/>
      <c r="D543" s="231"/>
      <c r="E543" s="157"/>
      <c r="F543" s="12"/>
      <c r="G543" s="158"/>
    </row>
    <row r="544">
      <c r="A544" s="153"/>
      <c r="B544" s="229"/>
      <c r="C544" s="230"/>
      <c r="D544" s="231"/>
      <c r="E544" s="157"/>
      <c r="F544" s="12"/>
      <c r="G544" s="158"/>
    </row>
    <row r="545">
      <c r="A545" s="153"/>
      <c r="B545" s="229"/>
      <c r="C545" s="230"/>
      <c r="D545" s="231"/>
      <c r="E545" s="157"/>
      <c r="F545" s="12"/>
      <c r="G545" s="158"/>
    </row>
    <row r="546">
      <c r="A546" s="153"/>
      <c r="B546" s="229"/>
      <c r="C546" s="230"/>
      <c r="D546" s="231"/>
      <c r="E546" s="157"/>
      <c r="F546" s="12"/>
      <c r="G546" s="158"/>
    </row>
    <row r="547">
      <c r="A547" s="153"/>
      <c r="B547" s="229"/>
      <c r="C547" s="230"/>
      <c r="D547" s="231"/>
      <c r="E547" s="157"/>
      <c r="F547" s="12"/>
      <c r="G547" s="158"/>
    </row>
    <row r="548">
      <c r="A548" s="153"/>
      <c r="B548" s="229"/>
      <c r="C548" s="230"/>
      <c r="D548" s="231"/>
      <c r="E548" s="157"/>
      <c r="F548" s="12"/>
      <c r="G548" s="158"/>
    </row>
    <row r="549">
      <c r="A549" s="153"/>
      <c r="B549" s="229"/>
      <c r="C549" s="230"/>
      <c r="D549" s="231"/>
      <c r="E549" s="157"/>
      <c r="F549" s="12"/>
      <c r="G549" s="158"/>
    </row>
    <row r="550">
      <c r="A550" s="153"/>
      <c r="B550" s="229"/>
      <c r="C550" s="230"/>
      <c r="D550" s="231"/>
      <c r="E550" s="157"/>
      <c r="F550" s="12"/>
      <c r="G550" s="158"/>
    </row>
    <row r="551">
      <c r="A551" s="153"/>
      <c r="B551" s="229"/>
      <c r="C551" s="230"/>
      <c r="D551" s="231"/>
      <c r="E551" s="157"/>
      <c r="F551" s="12"/>
      <c r="G551" s="158"/>
    </row>
    <row r="552">
      <c r="A552" s="153"/>
      <c r="B552" s="229"/>
      <c r="C552" s="230"/>
      <c r="D552" s="231"/>
      <c r="E552" s="157"/>
      <c r="F552" s="12"/>
      <c r="G552" s="158"/>
    </row>
    <row r="553">
      <c r="A553" s="153"/>
      <c r="B553" s="229"/>
      <c r="C553" s="230"/>
      <c r="D553" s="231"/>
      <c r="E553" s="157"/>
      <c r="F553" s="12"/>
      <c r="G553" s="158"/>
    </row>
    <row r="554">
      <c r="A554" s="153"/>
      <c r="B554" s="229"/>
      <c r="C554" s="230"/>
      <c r="D554" s="231"/>
      <c r="E554" s="157"/>
      <c r="F554" s="12"/>
      <c r="G554" s="158"/>
    </row>
    <row r="555">
      <c r="A555" s="153"/>
      <c r="B555" s="229"/>
      <c r="C555" s="230"/>
      <c r="D555" s="231"/>
      <c r="E555" s="157"/>
      <c r="F555" s="12"/>
      <c r="G555" s="158"/>
    </row>
    <row r="556">
      <c r="A556" s="153"/>
      <c r="B556" s="229"/>
      <c r="C556" s="230"/>
      <c r="D556" s="231"/>
      <c r="E556" s="157"/>
      <c r="F556" s="12"/>
      <c r="G556" s="158"/>
    </row>
    <row r="557">
      <c r="A557" s="153"/>
      <c r="B557" s="229"/>
      <c r="C557" s="230"/>
      <c r="D557" s="231"/>
      <c r="E557" s="157"/>
      <c r="F557" s="12"/>
      <c r="G557" s="158"/>
    </row>
    <row r="558">
      <c r="A558" s="153"/>
      <c r="B558" s="229"/>
      <c r="C558" s="230"/>
      <c r="D558" s="231"/>
      <c r="E558" s="157"/>
      <c r="F558" s="12"/>
      <c r="G558" s="158"/>
    </row>
    <row r="559">
      <c r="A559" s="153"/>
      <c r="B559" s="229"/>
      <c r="C559" s="230"/>
      <c r="D559" s="231"/>
      <c r="E559" s="157"/>
      <c r="F559" s="12"/>
      <c r="G559" s="158"/>
    </row>
    <row r="560">
      <c r="A560" s="153"/>
      <c r="B560" s="229"/>
      <c r="C560" s="230"/>
      <c r="D560" s="231"/>
      <c r="E560" s="157"/>
      <c r="F560" s="12"/>
      <c r="G560" s="158"/>
    </row>
    <row r="561">
      <c r="A561" s="153"/>
      <c r="B561" s="229"/>
      <c r="C561" s="230"/>
      <c r="D561" s="231"/>
      <c r="E561" s="157"/>
      <c r="F561" s="12"/>
      <c r="G561" s="158"/>
    </row>
    <row r="562">
      <c r="A562" s="153"/>
      <c r="B562" s="229"/>
      <c r="C562" s="230"/>
      <c r="D562" s="231"/>
      <c r="E562" s="157"/>
      <c r="F562" s="12"/>
      <c r="G562" s="158"/>
    </row>
    <row r="563">
      <c r="A563" s="153"/>
      <c r="B563" s="229"/>
      <c r="C563" s="230"/>
      <c r="D563" s="231"/>
      <c r="E563" s="157"/>
      <c r="F563" s="12"/>
      <c r="G563" s="158"/>
    </row>
    <row r="564">
      <c r="A564" s="153"/>
      <c r="B564" s="229"/>
      <c r="C564" s="230"/>
      <c r="D564" s="231"/>
      <c r="E564" s="157"/>
      <c r="F564" s="12"/>
      <c r="G564" s="158"/>
    </row>
    <row r="565">
      <c r="A565" s="153"/>
      <c r="B565" s="229"/>
      <c r="C565" s="230"/>
      <c r="D565" s="231"/>
      <c r="E565" s="157"/>
      <c r="F565" s="12"/>
      <c r="G565" s="158"/>
    </row>
    <row r="566">
      <c r="A566" s="153"/>
      <c r="B566" s="229"/>
      <c r="C566" s="230"/>
      <c r="D566" s="231"/>
      <c r="E566" s="157"/>
      <c r="F566" s="12"/>
      <c r="G566" s="158"/>
    </row>
    <row r="567">
      <c r="A567" s="153"/>
      <c r="B567" s="229"/>
      <c r="C567" s="230"/>
      <c r="D567" s="231"/>
      <c r="E567" s="157"/>
      <c r="F567" s="12"/>
      <c r="G567" s="158"/>
    </row>
    <row r="568">
      <c r="A568" s="153"/>
      <c r="B568" s="229"/>
      <c r="C568" s="230"/>
      <c r="D568" s="231"/>
      <c r="E568" s="157"/>
      <c r="F568" s="12"/>
      <c r="G568" s="158"/>
    </row>
    <row r="569">
      <c r="A569" s="153"/>
      <c r="B569" s="229"/>
      <c r="C569" s="230"/>
      <c r="D569" s="231"/>
      <c r="E569" s="157"/>
      <c r="F569" s="12"/>
      <c r="G569" s="158"/>
    </row>
    <row r="570">
      <c r="A570" s="153"/>
      <c r="B570" s="229"/>
      <c r="C570" s="230"/>
      <c r="D570" s="231"/>
      <c r="E570" s="157"/>
      <c r="F570" s="12"/>
      <c r="G570" s="158"/>
    </row>
    <row r="571">
      <c r="A571" s="153"/>
      <c r="B571" s="229"/>
      <c r="C571" s="230"/>
      <c r="D571" s="231"/>
      <c r="E571" s="157"/>
      <c r="F571" s="12"/>
      <c r="G571" s="158"/>
    </row>
    <row r="572">
      <c r="A572" s="153"/>
      <c r="B572" s="229"/>
      <c r="C572" s="230"/>
      <c r="D572" s="231"/>
      <c r="E572" s="157"/>
      <c r="F572" s="12"/>
      <c r="G572" s="158"/>
    </row>
    <row r="573">
      <c r="A573" s="153"/>
      <c r="B573" s="229"/>
      <c r="C573" s="230"/>
      <c r="D573" s="231"/>
      <c r="E573" s="157"/>
      <c r="F573" s="12"/>
      <c r="G573" s="158"/>
    </row>
    <row r="574">
      <c r="A574" s="153"/>
      <c r="B574" s="229"/>
      <c r="C574" s="230"/>
      <c r="D574" s="231"/>
      <c r="E574" s="157"/>
      <c r="F574" s="12"/>
      <c r="G574" s="158"/>
    </row>
    <row r="575">
      <c r="A575" s="153"/>
      <c r="B575" s="229"/>
      <c r="C575" s="230"/>
      <c r="D575" s="231"/>
      <c r="E575" s="157"/>
      <c r="F575" s="12"/>
      <c r="G575" s="158"/>
    </row>
    <row r="576">
      <c r="A576" s="153"/>
      <c r="B576" s="229"/>
      <c r="C576" s="230"/>
      <c r="D576" s="231"/>
      <c r="E576" s="157"/>
      <c r="F576" s="12"/>
      <c r="G576" s="158"/>
    </row>
    <row r="577">
      <c r="A577" s="153"/>
      <c r="B577" s="229"/>
      <c r="C577" s="230"/>
      <c r="D577" s="231"/>
      <c r="E577" s="157"/>
      <c r="F577" s="12"/>
      <c r="G577" s="158"/>
    </row>
    <row r="578">
      <c r="A578" s="153"/>
      <c r="B578" s="229"/>
      <c r="C578" s="230"/>
      <c r="D578" s="231"/>
      <c r="E578" s="157"/>
      <c r="F578" s="12"/>
      <c r="G578" s="158"/>
    </row>
    <row r="579">
      <c r="A579" s="153"/>
      <c r="B579" s="229"/>
      <c r="C579" s="230"/>
      <c r="D579" s="231"/>
      <c r="E579" s="157"/>
      <c r="F579" s="12"/>
      <c r="G579" s="158"/>
    </row>
    <row r="580">
      <c r="A580" s="153"/>
      <c r="B580" s="229"/>
      <c r="C580" s="230"/>
      <c r="D580" s="231"/>
      <c r="E580" s="157"/>
      <c r="F580" s="12"/>
      <c r="G580" s="158"/>
    </row>
    <row r="581">
      <c r="A581" s="153"/>
      <c r="B581" s="229"/>
      <c r="C581" s="230"/>
      <c r="D581" s="231"/>
      <c r="E581" s="157"/>
      <c r="F581" s="12"/>
      <c r="G581" s="158"/>
    </row>
    <row r="582">
      <c r="A582" s="153"/>
      <c r="B582" s="229"/>
      <c r="C582" s="230"/>
      <c r="D582" s="231"/>
      <c r="E582" s="157"/>
      <c r="F582" s="12"/>
      <c r="G582" s="158"/>
    </row>
    <row r="583">
      <c r="A583" s="153"/>
      <c r="B583" s="229"/>
      <c r="C583" s="230"/>
      <c r="D583" s="231"/>
      <c r="E583" s="157"/>
      <c r="F583" s="12"/>
      <c r="G583" s="158"/>
    </row>
    <row r="584">
      <c r="A584" s="153"/>
      <c r="B584" s="229"/>
      <c r="C584" s="230"/>
      <c r="D584" s="231"/>
      <c r="E584" s="157"/>
      <c r="F584" s="12"/>
      <c r="G584" s="158"/>
    </row>
    <row r="585">
      <c r="A585" s="153"/>
      <c r="B585" s="229"/>
      <c r="C585" s="230"/>
      <c r="D585" s="231"/>
      <c r="E585" s="157"/>
      <c r="F585" s="12"/>
      <c r="G585" s="158"/>
    </row>
    <row r="586">
      <c r="A586" s="153"/>
      <c r="B586" s="229"/>
      <c r="C586" s="230"/>
      <c r="D586" s="231"/>
      <c r="E586" s="157"/>
      <c r="F586" s="12"/>
      <c r="G586" s="158"/>
    </row>
    <row r="587">
      <c r="A587" s="153"/>
      <c r="B587" s="229"/>
      <c r="C587" s="230"/>
      <c r="D587" s="231"/>
      <c r="E587" s="157"/>
      <c r="F587" s="12"/>
      <c r="G587" s="158"/>
    </row>
    <row r="588">
      <c r="A588" s="153"/>
      <c r="B588" s="229"/>
      <c r="C588" s="230"/>
      <c r="D588" s="231"/>
      <c r="E588" s="157"/>
      <c r="F588" s="12"/>
      <c r="G588" s="158"/>
    </row>
    <row r="589">
      <c r="A589" s="153"/>
      <c r="B589" s="229"/>
      <c r="C589" s="230"/>
      <c r="D589" s="231"/>
      <c r="E589" s="157"/>
      <c r="F589" s="12"/>
      <c r="G589" s="158"/>
    </row>
    <row r="590">
      <c r="A590" s="153"/>
      <c r="B590" s="229"/>
      <c r="C590" s="230"/>
      <c r="D590" s="231"/>
      <c r="E590" s="157"/>
      <c r="F590" s="12"/>
      <c r="G590" s="158"/>
    </row>
    <row r="591">
      <c r="A591" s="153"/>
      <c r="B591" s="229"/>
      <c r="C591" s="230"/>
      <c r="D591" s="231"/>
      <c r="E591" s="157"/>
      <c r="F591" s="12"/>
      <c r="G591" s="158"/>
    </row>
    <row r="592">
      <c r="A592" s="153"/>
      <c r="B592" s="229"/>
      <c r="C592" s="230"/>
      <c r="D592" s="231"/>
      <c r="E592" s="157"/>
      <c r="F592" s="12"/>
      <c r="G592" s="158"/>
    </row>
    <row r="593">
      <c r="A593" s="153"/>
      <c r="B593" s="229"/>
      <c r="C593" s="230"/>
      <c r="D593" s="231"/>
      <c r="E593" s="157"/>
      <c r="F593" s="12"/>
      <c r="G593" s="158"/>
    </row>
    <row r="594">
      <c r="A594" s="153"/>
      <c r="B594" s="229"/>
      <c r="C594" s="230"/>
      <c r="D594" s="231"/>
      <c r="E594" s="157"/>
      <c r="F594" s="12"/>
      <c r="G594" s="158"/>
    </row>
    <row r="595">
      <c r="A595" s="153"/>
      <c r="B595" s="229"/>
      <c r="C595" s="230"/>
      <c r="D595" s="231"/>
      <c r="E595" s="157"/>
      <c r="F595" s="12"/>
      <c r="G595" s="158"/>
    </row>
    <row r="596">
      <c r="A596" s="153"/>
      <c r="B596" s="229"/>
      <c r="C596" s="230"/>
      <c r="D596" s="231"/>
      <c r="E596" s="157"/>
      <c r="F596" s="12"/>
      <c r="G596" s="158"/>
    </row>
    <row r="597">
      <c r="A597" s="153"/>
      <c r="B597" s="229"/>
      <c r="C597" s="230"/>
      <c r="D597" s="231"/>
      <c r="E597" s="157"/>
      <c r="F597" s="12"/>
      <c r="G597" s="158"/>
    </row>
    <row r="598">
      <c r="A598" s="153"/>
      <c r="B598" s="229"/>
      <c r="C598" s="230"/>
      <c r="D598" s="231"/>
      <c r="E598" s="157"/>
      <c r="F598" s="12"/>
      <c r="G598" s="158"/>
    </row>
    <row r="599">
      <c r="A599" s="153"/>
      <c r="B599" s="229"/>
      <c r="C599" s="230"/>
      <c r="D599" s="231"/>
      <c r="E599" s="157"/>
      <c r="F599" s="12"/>
      <c r="G599" s="158"/>
    </row>
    <row r="600">
      <c r="A600" s="153"/>
      <c r="B600" s="229"/>
      <c r="C600" s="230"/>
      <c r="D600" s="231"/>
      <c r="E600" s="157"/>
      <c r="F600" s="12"/>
      <c r="G600" s="158"/>
    </row>
    <row r="601">
      <c r="A601" s="153"/>
      <c r="B601" s="229"/>
      <c r="C601" s="230"/>
      <c r="D601" s="231"/>
      <c r="E601" s="157"/>
      <c r="F601" s="12"/>
      <c r="G601" s="158"/>
    </row>
    <row r="602">
      <c r="A602" s="153"/>
      <c r="B602" s="229"/>
      <c r="C602" s="230"/>
      <c r="D602" s="231"/>
      <c r="E602" s="157"/>
      <c r="F602" s="12"/>
      <c r="G602" s="158"/>
    </row>
    <row r="603">
      <c r="A603" s="153"/>
      <c r="B603" s="229"/>
      <c r="C603" s="230"/>
      <c r="D603" s="231"/>
      <c r="E603" s="157"/>
      <c r="F603" s="12"/>
      <c r="G603" s="158"/>
    </row>
    <row r="604">
      <c r="A604" s="153"/>
      <c r="B604" s="229"/>
      <c r="C604" s="230"/>
      <c r="D604" s="231"/>
      <c r="E604" s="157"/>
      <c r="F604" s="12"/>
      <c r="G604" s="158"/>
    </row>
    <row r="605">
      <c r="A605" s="153"/>
      <c r="B605" s="229"/>
      <c r="C605" s="230"/>
      <c r="D605" s="231"/>
      <c r="E605" s="157"/>
      <c r="F605" s="12"/>
      <c r="G605" s="158"/>
    </row>
    <row r="606">
      <c r="A606" s="153"/>
      <c r="B606" s="229"/>
      <c r="C606" s="230"/>
      <c r="D606" s="231"/>
      <c r="E606" s="157"/>
      <c r="F606" s="12"/>
      <c r="G606" s="158"/>
    </row>
    <row r="607">
      <c r="A607" s="153"/>
      <c r="B607" s="229"/>
      <c r="C607" s="230"/>
      <c r="D607" s="231"/>
      <c r="E607" s="157"/>
      <c r="F607" s="12"/>
      <c r="G607" s="158"/>
    </row>
    <row r="608">
      <c r="A608" s="153"/>
      <c r="B608" s="229"/>
      <c r="C608" s="230"/>
      <c r="D608" s="231"/>
      <c r="E608" s="157"/>
      <c r="F608" s="12"/>
      <c r="G608" s="158"/>
    </row>
    <row r="609">
      <c r="A609" s="153"/>
      <c r="B609" s="229"/>
      <c r="C609" s="230"/>
      <c r="D609" s="231"/>
      <c r="E609" s="157"/>
      <c r="F609" s="12"/>
      <c r="G609" s="158"/>
    </row>
    <row r="610">
      <c r="A610" s="153"/>
      <c r="B610" s="229"/>
      <c r="C610" s="230"/>
      <c r="D610" s="231"/>
      <c r="E610" s="157"/>
      <c r="F610" s="12"/>
      <c r="G610" s="158"/>
    </row>
    <row r="611">
      <c r="A611" s="153"/>
      <c r="B611" s="229"/>
      <c r="C611" s="230"/>
      <c r="D611" s="231"/>
      <c r="E611" s="157"/>
      <c r="F611" s="12"/>
      <c r="G611" s="158"/>
    </row>
    <row r="612">
      <c r="A612" s="153"/>
      <c r="B612" s="229"/>
      <c r="C612" s="230"/>
      <c r="D612" s="231"/>
      <c r="E612" s="157"/>
      <c r="F612" s="12"/>
      <c r="G612" s="158"/>
    </row>
    <row r="613">
      <c r="A613" s="153"/>
      <c r="B613" s="229"/>
      <c r="C613" s="230"/>
      <c r="D613" s="231"/>
      <c r="E613" s="157"/>
      <c r="F613" s="12"/>
      <c r="G613" s="158"/>
    </row>
    <row r="614">
      <c r="A614" s="153"/>
      <c r="B614" s="229"/>
      <c r="C614" s="230"/>
      <c r="D614" s="231"/>
      <c r="E614" s="157"/>
      <c r="F614" s="12"/>
      <c r="G614" s="158"/>
    </row>
    <row r="615">
      <c r="A615" s="153"/>
      <c r="B615" s="229"/>
      <c r="C615" s="230"/>
      <c r="D615" s="231"/>
      <c r="E615" s="157"/>
      <c r="F615" s="12"/>
      <c r="G615" s="158"/>
    </row>
    <row r="616">
      <c r="A616" s="153"/>
      <c r="B616" s="229"/>
      <c r="C616" s="230"/>
      <c r="D616" s="231"/>
      <c r="E616" s="157"/>
      <c r="F616" s="12"/>
      <c r="G616" s="158"/>
    </row>
    <row r="617">
      <c r="A617" s="153"/>
      <c r="B617" s="229"/>
      <c r="C617" s="230"/>
      <c r="D617" s="231"/>
      <c r="E617" s="157"/>
      <c r="F617" s="12"/>
      <c r="G617" s="158"/>
    </row>
    <row r="618">
      <c r="A618" s="153"/>
      <c r="B618" s="229"/>
      <c r="C618" s="230"/>
      <c r="D618" s="231"/>
      <c r="E618" s="157"/>
      <c r="F618" s="12"/>
      <c r="G618" s="158"/>
    </row>
    <row r="619">
      <c r="A619" s="153"/>
      <c r="B619" s="229"/>
      <c r="C619" s="230"/>
      <c r="D619" s="231"/>
      <c r="E619" s="157"/>
      <c r="F619" s="12"/>
      <c r="G619" s="158"/>
    </row>
    <row r="620">
      <c r="A620" s="153"/>
      <c r="B620" s="229"/>
      <c r="C620" s="230"/>
      <c r="D620" s="231"/>
      <c r="E620" s="157"/>
      <c r="F620" s="12"/>
      <c r="G620" s="158"/>
    </row>
    <row r="621">
      <c r="A621" s="153"/>
      <c r="B621" s="229"/>
      <c r="C621" s="230"/>
      <c r="D621" s="231"/>
      <c r="E621" s="157"/>
      <c r="F621" s="12"/>
      <c r="G621" s="158"/>
    </row>
    <row r="622">
      <c r="A622" s="153"/>
      <c r="B622" s="229"/>
      <c r="C622" s="230"/>
      <c r="D622" s="231"/>
      <c r="E622" s="157"/>
      <c r="F622" s="12"/>
      <c r="G622" s="158"/>
    </row>
    <row r="623">
      <c r="A623" s="153"/>
      <c r="B623" s="229"/>
      <c r="C623" s="230"/>
      <c r="D623" s="231"/>
      <c r="E623" s="157"/>
      <c r="F623" s="12"/>
      <c r="G623" s="158"/>
    </row>
    <row r="624">
      <c r="A624" s="153"/>
      <c r="B624" s="229"/>
      <c r="C624" s="230"/>
      <c r="D624" s="231"/>
      <c r="E624" s="157"/>
      <c r="F624" s="12"/>
      <c r="G624" s="158"/>
    </row>
    <row r="625">
      <c r="A625" s="153"/>
      <c r="B625" s="229"/>
      <c r="C625" s="230"/>
      <c r="D625" s="231"/>
      <c r="E625" s="157"/>
      <c r="F625" s="12"/>
      <c r="G625" s="158"/>
    </row>
    <row r="626">
      <c r="A626" s="153"/>
      <c r="B626" s="229"/>
      <c r="C626" s="230"/>
      <c r="D626" s="231"/>
      <c r="E626" s="157"/>
      <c r="F626" s="12"/>
      <c r="G626" s="158"/>
    </row>
    <row r="627">
      <c r="A627" s="153"/>
      <c r="B627" s="229"/>
      <c r="C627" s="230"/>
      <c r="D627" s="231"/>
      <c r="E627" s="157"/>
      <c r="F627" s="12"/>
      <c r="G627" s="158"/>
    </row>
    <row r="628">
      <c r="A628" s="153"/>
      <c r="B628" s="229"/>
      <c r="C628" s="230"/>
      <c r="D628" s="231"/>
      <c r="E628" s="157"/>
      <c r="F628" s="12"/>
      <c r="G628" s="158"/>
    </row>
    <row r="629">
      <c r="A629" s="153"/>
      <c r="B629" s="229"/>
      <c r="C629" s="230"/>
      <c r="D629" s="231"/>
      <c r="E629" s="157"/>
      <c r="F629" s="12"/>
      <c r="G629" s="158"/>
    </row>
    <row r="630">
      <c r="A630" s="153"/>
      <c r="B630" s="229"/>
      <c r="C630" s="230"/>
      <c r="D630" s="231"/>
      <c r="E630" s="157"/>
      <c r="F630" s="12"/>
      <c r="G630" s="158"/>
    </row>
    <row r="631">
      <c r="A631" s="153"/>
      <c r="B631" s="229"/>
      <c r="C631" s="230"/>
      <c r="D631" s="231"/>
      <c r="E631" s="157"/>
      <c r="F631" s="12"/>
      <c r="G631" s="158"/>
    </row>
    <row r="632">
      <c r="A632" s="153"/>
      <c r="B632" s="229"/>
      <c r="C632" s="230"/>
      <c r="D632" s="231"/>
      <c r="E632" s="157"/>
      <c r="F632" s="12"/>
      <c r="G632" s="158"/>
    </row>
    <row r="633">
      <c r="A633" s="153"/>
      <c r="B633" s="229"/>
      <c r="C633" s="230"/>
      <c r="D633" s="231"/>
      <c r="E633" s="157"/>
      <c r="F633" s="12"/>
      <c r="G633" s="158"/>
    </row>
    <row r="634">
      <c r="A634" s="153"/>
      <c r="B634" s="229"/>
      <c r="C634" s="230"/>
      <c r="D634" s="231"/>
      <c r="E634" s="157"/>
      <c r="F634" s="12"/>
      <c r="G634" s="158"/>
    </row>
    <row r="635">
      <c r="A635" s="153"/>
      <c r="B635" s="229"/>
      <c r="C635" s="230"/>
      <c r="D635" s="231"/>
      <c r="E635" s="157"/>
      <c r="F635" s="12"/>
      <c r="G635" s="158"/>
    </row>
    <row r="636">
      <c r="A636" s="153"/>
      <c r="B636" s="229"/>
      <c r="C636" s="230"/>
      <c r="D636" s="231"/>
      <c r="E636" s="157"/>
      <c r="F636" s="12"/>
      <c r="G636" s="158"/>
    </row>
    <row r="637">
      <c r="A637" s="153"/>
      <c r="B637" s="229"/>
      <c r="C637" s="230"/>
      <c r="D637" s="231"/>
      <c r="E637" s="157"/>
      <c r="F637" s="12"/>
      <c r="G637" s="158"/>
    </row>
    <row r="638">
      <c r="A638" s="153"/>
      <c r="B638" s="229"/>
      <c r="C638" s="230"/>
      <c r="D638" s="231"/>
      <c r="E638" s="157"/>
      <c r="F638" s="12"/>
      <c r="G638" s="158"/>
    </row>
    <row r="639">
      <c r="A639" s="153"/>
      <c r="B639" s="229"/>
      <c r="C639" s="230"/>
      <c r="D639" s="231"/>
      <c r="E639" s="157"/>
      <c r="F639" s="12"/>
      <c r="G639" s="158"/>
    </row>
    <row r="640">
      <c r="A640" s="153"/>
      <c r="B640" s="229"/>
      <c r="C640" s="230"/>
      <c r="D640" s="231"/>
      <c r="E640" s="157"/>
      <c r="F640" s="12"/>
      <c r="G640" s="158"/>
    </row>
    <row r="641">
      <c r="A641" s="153"/>
      <c r="B641" s="229"/>
      <c r="C641" s="230"/>
      <c r="D641" s="231"/>
      <c r="E641" s="157"/>
      <c r="F641" s="12"/>
      <c r="G641" s="158"/>
    </row>
    <row r="642">
      <c r="A642" s="153"/>
      <c r="B642" s="229"/>
      <c r="C642" s="230"/>
      <c r="D642" s="231"/>
      <c r="E642" s="157"/>
      <c r="F642" s="12"/>
      <c r="G642" s="158"/>
    </row>
    <row r="643">
      <c r="A643" s="153"/>
      <c r="B643" s="229"/>
      <c r="C643" s="230"/>
      <c r="D643" s="231"/>
      <c r="E643" s="157"/>
      <c r="F643" s="12"/>
      <c r="G643" s="158"/>
    </row>
    <row r="644">
      <c r="A644" s="153"/>
      <c r="B644" s="229"/>
      <c r="C644" s="230"/>
      <c r="D644" s="231"/>
      <c r="E644" s="157"/>
      <c r="F644" s="12"/>
      <c r="G644" s="158"/>
    </row>
    <row r="645">
      <c r="A645" s="153"/>
      <c r="B645" s="229"/>
      <c r="C645" s="230"/>
      <c r="D645" s="231"/>
      <c r="E645" s="157"/>
      <c r="F645" s="12"/>
      <c r="G645" s="158"/>
    </row>
    <row r="646">
      <c r="A646" s="153"/>
      <c r="B646" s="229"/>
      <c r="C646" s="230"/>
      <c r="D646" s="231"/>
      <c r="E646" s="157"/>
      <c r="F646" s="12"/>
      <c r="G646" s="158"/>
    </row>
    <row r="647">
      <c r="A647" s="153"/>
      <c r="B647" s="229"/>
      <c r="C647" s="230"/>
      <c r="D647" s="231"/>
      <c r="E647" s="157"/>
      <c r="F647" s="12"/>
      <c r="G647" s="158"/>
    </row>
    <row r="648">
      <c r="A648" s="153"/>
      <c r="B648" s="229"/>
      <c r="C648" s="230"/>
      <c r="D648" s="231"/>
      <c r="E648" s="157"/>
      <c r="F648" s="12"/>
      <c r="G648" s="158"/>
    </row>
    <row r="649">
      <c r="A649" s="153"/>
      <c r="B649" s="229"/>
      <c r="C649" s="230"/>
      <c r="D649" s="231"/>
      <c r="E649" s="157"/>
      <c r="F649" s="12"/>
      <c r="G649" s="158"/>
    </row>
    <row r="650">
      <c r="A650" s="153"/>
      <c r="B650" s="229"/>
      <c r="C650" s="230"/>
      <c r="D650" s="231"/>
      <c r="E650" s="157"/>
      <c r="F650" s="12"/>
      <c r="G650" s="158"/>
    </row>
    <row r="651">
      <c r="A651" s="153"/>
      <c r="B651" s="229"/>
      <c r="C651" s="230"/>
      <c r="D651" s="231"/>
      <c r="E651" s="157"/>
      <c r="F651" s="12"/>
      <c r="G651" s="158"/>
    </row>
    <row r="652">
      <c r="A652" s="153"/>
      <c r="B652" s="229"/>
      <c r="C652" s="230"/>
      <c r="D652" s="231"/>
      <c r="E652" s="157"/>
      <c r="F652" s="12"/>
      <c r="G652" s="158"/>
    </row>
    <row r="653">
      <c r="A653" s="153"/>
      <c r="B653" s="229"/>
      <c r="C653" s="230"/>
      <c r="D653" s="231"/>
      <c r="E653" s="157"/>
      <c r="F653" s="12"/>
      <c r="G653" s="158"/>
    </row>
    <row r="654">
      <c r="A654" s="153"/>
      <c r="B654" s="229"/>
      <c r="C654" s="230"/>
      <c r="D654" s="231"/>
      <c r="E654" s="157"/>
      <c r="F654" s="12"/>
      <c r="G654" s="158"/>
    </row>
    <row r="655">
      <c r="A655" s="153"/>
      <c r="B655" s="229"/>
      <c r="C655" s="230"/>
      <c r="D655" s="231"/>
      <c r="E655" s="157"/>
      <c r="F655" s="12"/>
      <c r="G655" s="158"/>
    </row>
    <row r="656">
      <c r="A656" s="153"/>
      <c r="B656" s="229"/>
      <c r="C656" s="230"/>
      <c r="D656" s="231"/>
      <c r="E656" s="157"/>
      <c r="F656" s="12"/>
      <c r="G656" s="158"/>
    </row>
    <row r="657">
      <c r="A657" s="153"/>
      <c r="B657" s="229"/>
      <c r="C657" s="230"/>
      <c r="D657" s="231"/>
      <c r="E657" s="157"/>
      <c r="F657" s="12"/>
      <c r="G657" s="158"/>
    </row>
    <row r="658">
      <c r="A658" s="153"/>
      <c r="B658" s="229"/>
      <c r="C658" s="230"/>
      <c r="D658" s="231"/>
      <c r="E658" s="157"/>
      <c r="F658" s="12"/>
      <c r="G658" s="158"/>
    </row>
    <row r="659">
      <c r="A659" s="153"/>
      <c r="B659" s="229"/>
      <c r="C659" s="230"/>
      <c r="D659" s="231"/>
      <c r="E659" s="157"/>
      <c r="F659" s="12"/>
      <c r="G659" s="158"/>
    </row>
    <row r="660">
      <c r="A660" s="153"/>
      <c r="B660" s="229"/>
      <c r="C660" s="230"/>
      <c r="D660" s="231"/>
      <c r="E660" s="157"/>
      <c r="F660" s="12"/>
      <c r="G660" s="158"/>
    </row>
    <row r="661">
      <c r="A661" s="153"/>
      <c r="B661" s="229"/>
      <c r="C661" s="230"/>
      <c r="D661" s="231"/>
      <c r="E661" s="157"/>
      <c r="F661" s="12"/>
      <c r="G661" s="158"/>
    </row>
    <row r="662">
      <c r="A662" s="153"/>
      <c r="B662" s="229"/>
      <c r="C662" s="230"/>
      <c r="D662" s="231"/>
      <c r="E662" s="157"/>
      <c r="F662" s="12"/>
      <c r="G662" s="158"/>
    </row>
    <row r="663">
      <c r="A663" s="153"/>
      <c r="B663" s="229"/>
      <c r="C663" s="230"/>
      <c r="D663" s="231"/>
      <c r="E663" s="157"/>
      <c r="F663" s="12"/>
      <c r="G663" s="158"/>
    </row>
    <row r="664">
      <c r="A664" s="153"/>
      <c r="B664" s="229"/>
      <c r="C664" s="230"/>
      <c r="D664" s="231"/>
      <c r="E664" s="157"/>
      <c r="F664" s="12"/>
      <c r="G664" s="158"/>
    </row>
    <row r="665">
      <c r="A665" s="153"/>
      <c r="B665" s="229"/>
      <c r="C665" s="230"/>
      <c r="D665" s="231"/>
      <c r="E665" s="157"/>
      <c r="F665" s="12"/>
      <c r="G665" s="158"/>
    </row>
    <row r="666">
      <c r="A666" s="153"/>
      <c r="B666" s="229"/>
      <c r="C666" s="230"/>
      <c r="D666" s="231"/>
      <c r="E666" s="157"/>
      <c r="F666" s="12"/>
      <c r="G666" s="158"/>
    </row>
    <row r="667">
      <c r="A667" s="153"/>
      <c r="B667" s="229"/>
      <c r="C667" s="230"/>
      <c r="D667" s="231"/>
      <c r="E667" s="157"/>
      <c r="F667" s="12"/>
      <c r="G667" s="158"/>
    </row>
    <row r="668">
      <c r="A668" s="153"/>
      <c r="B668" s="229"/>
      <c r="C668" s="230"/>
      <c r="D668" s="231"/>
      <c r="E668" s="157"/>
      <c r="F668" s="12"/>
      <c r="G668" s="158"/>
    </row>
    <row r="669">
      <c r="A669" s="153"/>
      <c r="B669" s="229"/>
      <c r="C669" s="230"/>
      <c r="D669" s="231"/>
      <c r="E669" s="157"/>
      <c r="F669" s="12"/>
      <c r="G669" s="158"/>
    </row>
    <row r="670">
      <c r="A670" s="153"/>
      <c r="B670" s="229"/>
      <c r="C670" s="230"/>
      <c r="D670" s="231"/>
      <c r="E670" s="157"/>
      <c r="F670" s="12"/>
      <c r="G670" s="158"/>
    </row>
    <row r="671">
      <c r="A671" s="153"/>
      <c r="B671" s="229"/>
      <c r="C671" s="230"/>
      <c r="D671" s="231"/>
      <c r="E671" s="157"/>
      <c r="F671" s="12"/>
      <c r="G671" s="158"/>
    </row>
    <row r="672">
      <c r="A672" s="153"/>
      <c r="B672" s="229"/>
      <c r="C672" s="230"/>
      <c r="D672" s="231"/>
      <c r="E672" s="157"/>
      <c r="F672" s="12"/>
      <c r="G672" s="158"/>
    </row>
    <row r="673">
      <c r="A673" s="153"/>
      <c r="B673" s="229"/>
      <c r="C673" s="230"/>
      <c r="D673" s="231"/>
      <c r="E673" s="157"/>
      <c r="F673" s="12"/>
      <c r="G673" s="158"/>
    </row>
    <row r="674">
      <c r="A674" s="153"/>
      <c r="B674" s="229"/>
      <c r="C674" s="230"/>
      <c r="D674" s="231"/>
      <c r="E674" s="157"/>
      <c r="F674" s="12"/>
      <c r="G674" s="158"/>
    </row>
    <row r="675">
      <c r="A675" s="153"/>
      <c r="B675" s="229"/>
      <c r="C675" s="230"/>
      <c r="D675" s="231"/>
      <c r="E675" s="157"/>
      <c r="F675" s="12"/>
      <c r="G675" s="158"/>
    </row>
    <row r="676">
      <c r="A676" s="153"/>
      <c r="B676" s="229"/>
      <c r="C676" s="230"/>
      <c r="D676" s="231"/>
      <c r="E676" s="157"/>
      <c r="F676" s="12"/>
      <c r="G676" s="158"/>
    </row>
    <row r="677">
      <c r="A677" s="153"/>
      <c r="B677" s="229"/>
      <c r="C677" s="230"/>
      <c r="D677" s="231"/>
      <c r="E677" s="157"/>
      <c r="F677" s="12"/>
      <c r="G677" s="158"/>
    </row>
    <row r="678">
      <c r="A678" s="153"/>
      <c r="B678" s="229"/>
      <c r="C678" s="230"/>
      <c r="D678" s="231"/>
      <c r="E678" s="157"/>
      <c r="F678" s="12"/>
      <c r="G678" s="158"/>
    </row>
    <row r="679">
      <c r="A679" s="153"/>
      <c r="B679" s="229"/>
      <c r="C679" s="230"/>
      <c r="D679" s="231"/>
      <c r="E679" s="157"/>
      <c r="F679" s="12"/>
      <c r="G679" s="158"/>
    </row>
    <row r="680">
      <c r="A680" s="153"/>
      <c r="B680" s="229"/>
      <c r="C680" s="230"/>
      <c r="D680" s="231"/>
      <c r="E680" s="157"/>
      <c r="F680" s="12"/>
      <c r="G680" s="158"/>
    </row>
    <row r="681">
      <c r="A681" s="153"/>
      <c r="B681" s="229"/>
      <c r="C681" s="230"/>
      <c r="D681" s="231"/>
      <c r="E681" s="157"/>
      <c r="F681" s="12"/>
      <c r="G681" s="158"/>
    </row>
    <row r="682">
      <c r="A682" s="153"/>
      <c r="B682" s="229"/>
      <c r="C682" s="230"/>
      <c r="D682" s="231"/>
      <c r="E682" s="157"/>
      <c r="F682" s="12"/>
      <c r="G682" s="158"/>
    </row>
    <row r="683">
      <c r="A683" s="153"/>
      <c r="B683" s="229"/>
      <c r="C683" s="230"/>
      <c r="D683" s="231"/>
      <c r="E683" s="157"/>
      <c r="F683" s="12"/>
      <c r="G683" s="158"/>
    </row>
    <row r="684">
      <c r="A684" s="153"/>
      <c r="B684" s="229"/>
      <c r="C684" s="230"/>
      <c r="D684" s="231"/>
      <c r="E684" s="157"/>
      <c r="F684" s="12"/>
      <c r="G684" s="158"/>
    </row>
    <row r="685">
      <c r="A685" s="153"/>
      <c r="B685" s="229"/>
      <c r="C685" s="230"/>
      <c r="D685" s="231"/>
      <c r="E685" s="157"/>
      <c r="F685" s="12"/>
      <c r="G685" s="158"/>
    </row>
    <row r="686">
      <c r="A686" s="153"/>
      <c r="B686" s="229"/>
      <c r="C686" s="230"/>
      <c r="D686" s="231"/>
      <c r="E686" s="157"/>
      <c r="F686" s="12"/>
      <c r="G686" s="158"/>
    </row>
    <row r="687">
      <c r="A687" s="153"/>
      <c r="B687" s="229"/>
      <c r="C687" s="230"/>
      <c r="D687" s="231"/>
      <c r="E687" s="157"/>
      <c r="F687" s="12"/>
      <c r="G687" s="158"/>
    </row>
    <row r="688">
      <c r="A688" s="153"/>
      <c r="B688" s="229"/>
      <c r="C688" s="230"/>
      <c r="D688" s="231"/>
      <c r="E688" s="157"/>
      <c r="F688" s="12"/>
      <c r="G688" s="158"/>
    </row>
    <row r="689">
      <c r="A689" s="153"/>
      <c r="B689" s="229"/>
      <c r="C689" s="230"/>
      <c r="D689" s="231"/>
      <c r="E689" s="157"/>
      <c r="F689" s="12"/>
      <c r="G689" s="158"/>
    </row>
    <row r="690">
      <c r="A690" s="153"/>
      <c r="B690" s="229"/>
      <c r="C690" s="230"/>
      <c r="D690" s="231"/>
      <c r="E690" s="157"/>
      <c r="F690" s="12"/>
      <c r="G690" s="158"/>
    </row>
    <row r="691">
      <c r="A691" s="153"/>
      <c r="B691" s="229"/>
      <c r="C691" s="230"/>
      <c r="D691" s="231"/>
      <c r="E691" s="157"/>
      <c r="F691" s="12"/>
      <c r="G691" s="158"/>
    </row>
    <row r="692">
      <c r="A692" s="153"/>
      <c r="B692" s="229"/>
      <c r="C692" s="230"/>
      <c r="D692" s="231"/>
      <c r="E692" s="157"/>
      <c r="F692" s="12"/>
      <c r="G692" s="158"/>
    </row>
    <row r="693">
      <c r="A693" s="153"/>
      <c r="B693" s="229"/>
      <c r="C693" s="230"/>
      <c r="D693" s="231"/>
      <c r="E693" s="157"/>
      <c r="F693" s="12"/>
      <c r="G693" s="158"/>
    </row>
    <row r="694">
      <c r="A694" s="153"/>
      <c r="B694" s="229"/>
      <c r="C694" s="230"/>
      <c r="D694" s="231"/>
      <c r="E694" s="157"/>
      <c r="F694" s="12"/>
      <c r="G694" s="158"/>
    </row>
    <row r="695">
      <c r="A695" s="153"/>
      <c r="B695" s="229"/>
      <c r="C695" s="230"/>
      <c r="D695" s="231"/>
      <c r="E695" s="157"/>
      <c r="F695" s="12"/>
      <c r="G695" s="158"/>
    </row>
    <row r="696">
      <c r="A696" s="153"/>
      <c r="B696" s="229"/>
      <c r="C696" s="230"/>
      <c r="D696" s="231"/>
      <c r="E696" s="157"/>
      <c r="F696" s="12"/>
      <c r="G696" s="158"/>
    </row>
    <row r="697">
      <c r="A697" s="153"/>
      <c r="B697" s="229"/>
      <c r="C697" s="230"/>
      <c r="D697" s="231"/>
      <c r="E697" s="157"/>
      <c r="F697" s="12"/>
      <c r="G697" s="158"/>
    </row>
    <row r="698">
      <c r="A698" s="153"/>
      <c r="B698" s="229"/>
      <c r="C698" s="230"/>
      <c r="D698" s="231"/>
      <c r="E698" s="157"/>
      <c r="F698" s="12"/>
      <c r="G698" s="158"/>
    </row>
    <row r="699">
      <c r="A699" s="153"/>
      <c r="B699" s="229"/>
      <c r="C699" s="230"/>
      <c r="D699" s="231"/>
      <c r="E699" s="157"/>
      <c r="F699" s="12"/>
      <c r="G699" s="158"/>
    </row>
    <row r="700">
      <c r="A700" s="153"/>
      <c r="B700" s="229"/>
      <c r="C700" s="230"/>
      <c r="D700" s="231"/>
      <c r="E700" s="157"/>
      <c r="F700" s="12"/>
      <c r="G700" s="158"/>
    </row>
    <row r="701">
      <c r="A701" s="153"/>
      <c r="B701" s="229"/>
      <c r="C701" s="230"/>
      <c r="D701" s="231"/>
      <c r="E701" s="157"/>
      <c r="F701" s="12"/>
      <c r="G701" s="158"/>
    </row>
    <row r="702">
      <c r="A702" s="153"/>
      <c r="B702" s="229"/>
      <c r="C702" s="230"/>
      <c r="D702" s="231"/>
      <c r="E702" s="157"/>
      <c r="F702" s="12"/>
      <c r="G702" s="158"/>
    </row>
    <row r="703">
      <c r="A703" s="153"/>
      <c r="B703" s="229"/>
      <c r="C703" s="230"/>
      <c r="D703" s="231"/>
      <c r="E703" s="157"/>
      <c r="F703" s="12"/>
      <c r="G703" s="158"/>
    </row>
    <row r="704">
      <c r="A704" s="153"/>
      <c r="B704" s="229"/>
      <c r="C704" s="230"/>
      <c r="D704" s="231"/>
      <c r="E704" s="157"/>
      <c r="F704" s="12"/>
      <c r="G704" s="158"/>
    </row>
    <row r="705">
      <c r="A705" s="153"/>
      <c r="B705" s="229"/>
      <c r="C705" s="230"/>
      <c r="D705" s="231"/>
      <c r="E705" s="157"/>
      <c r="F705" s="12"/>
      <c r="G705" s="158"/>
    </row>
    <row r="706">
      <c r="A706" s="153"/>
      <c r="B706" s="229"/>
      <c r="C706" s="230"/>
      <c r="D706" s="231"/>
      <c r="E706" s="157"/>
      <c r="F706" s="12"/>
      <c r="G706" s="158"/>
    </row>
    <row r="707">
      <c r="A707" s="153"/>
      <c r="B707" s="229"/>
      <c r="C707" s="230"/>
      <c r="D707" s="231"/>
      <c r="E707" s="157"/>
      <c r="F707" s="12"/>
      <c r="G707" s="158"/>
    </row>
    <row r="708">
      <c r="A708" s="153"/>
      <c r="B708" s="229"/>
      <c r="C708" s="230"/>
      <c r="D708" s="231"/>
      <c r="E708" s="157"/>
      <c r="F708" s="12"/>
      <c r="G708" s="158"/>
    </row>
    <row r="709">
      <c r="A709" s="153"/>
      <c r="B709" s="229"/>
      <c r="C709" s="230"/>
      <c r="D709" s="231"/>
      <c r="E709" s="157"/>
      <c r="F709" s="12"/>
      <c r="G709" s="158"/>
    </row>
    <row r="710">
      <c r="A710" s="153"/>
      <c r="B710" s="229"/>
      <c r="C710" s="230"/>
      <c r="D710" s="231"/>
      <c r="E710" s="157"/>
      <c r="F710" s="12"/>
      <c r="G710" s="158"/>
    </row>
    <row r="711">
      <c r="A711" s="153"/>
      <c r="B711" s="229"/>
      <c r="C711" s="230"/>
      <c r="D711" s="231"/>
      <c r="E711" s="157"/>
      <c r="F711" s="12"/>
      <c r="G711" s="158"/>
    </row>
    <row r="712">
      <c r="A712" s="153"/>
      <c r="B712" s="229"/>
      <c r="C712" s="230"/>
      <c r="D712" s="231"/>
      <c r="E712" s="157"/>
      <c r="F712" s="12"/>
      <c r="G712" s="158"/>
    </row>
    <row r="713">
      <c r="A713" s="153"/>
      <c r="B713" s="229"/>
      <c r="C713" s="230"/>
      <c r="D713" s="231"/>
      <c r="E713" s="157"/>
      <c r="F713" s="12"/>
      <c r="G713" s="158"/>
    </row>
    <row r="714">
      <c r="A714" s="153"/>
      <c r="B714" s="229"/>
      <c r="C714" s="230"/>
      <c r="D714" s="231"/>
      <c r="E714" s="157"/>
      <c r="F714" s="12"/>
      <c r="G714" s="158"/>
    </row>
    <row r="715">
      <c r="A715" s="153"/>
      <c r="B715" s="229"/>
      <c r="C715" s="230"/>
      <c r="D715" s="231"/>
      <c r="E715" s="157"/>
      <c r="F715" s="12"/>
      <c r="G715" s="158"/>
    </row>
    <row r="716">
      <c r="A716" s="153"/>
      <c r="B716" s="229"/>
      <c r="C716" s="230"/>
      <c r="D716" s="231"/>
      <c r="E716" s="157"/>
      <c r="F716" s="12"/>
      <c r="G716" s="158"/>
    </row>
    <row r="717">
      <c r="A717" s="153"/>
      <c r="B717" s="229"/>
      <c r="C717" s="230"/>
      <c r="D717" s="231"/>
      <c r="E717" s="157"/>
      <c r="F717" s="12"/>
      <c r="G717" s="158"/>
    </row>
    <row r="718">
      <c r="A718" s="153"/>
      <c r="B718" s="229"/>
      <c r="C718" s="230"/>
      <c r="D718" s="231"/>
      <c r="E718" s="157"/>
      <c r="F718" s="12"/>
      <c r="G718" s="158"/>
    </row>
    <row r="719">
      <c r="A719" s="153"/>
      <c r="B719" s="229"/>
      <c r="C719" s="230"/>
      <c r="D719" s="231"/>
      <c r="E719" s="157"/>
      <c r="F719" s="12"/>
      <c r="G719" s="158"/>
    </row>
    <row r="720">
      <c r="A720" s="153"/>
      <c r="B720" s="229"/>
      <c r="C720" s="230"/>
      <c r="D720" s="231"/>
      <c r="E720" s="157"/>
      <c r="F720" s="12"/>
      <c r="G720" s="158"/>
    </row>
    <row r="721">
      <c r="A721" s="153"/>
      <c r="B721" s="229"/>
      <c r="C721" s="230"/>
      <c r="D721" s="231"/>
      <c r="E721" s="157"/>
      <c r="F721" s="12"/>
      <c r="G721" s="158"/>
    </row>
    <row r="722">
      <c r="A722" s="153"/>
      <c r="B722" s="229"/>
      <c r="C722" s="230"/>
      <c r="D722" s="231"/>
      <c r="E722" s="157"/>
      <c r="F722" s="12"/>
      <c r="G722" s="158"/>
    </row>
    <row r="723">
      <c r="A723" s="153"/>
      <c r="B723" s="229"/>
      <c r="C723" s="230"/>
      <c r="D723" s="231"/>
      <c r="E723" s="157"/>
      <c r="F723" s="12"/>
      <c r="G723" s="158"/>
    </row>
    <row r="724">
      <c r="A724" s="153"/>
      <c r="B724" s="229"/>
      <c r="C724" s="230"/>
      <c r="D724" s="231"/>
      <c r="E724" s="157"/>
      <c r="F724" s="12"/>
      <c r="G724" s="158"/>
    </row>
    <row r="725">
      <c r="A725" s="153"/>
      <c r="B725" s="229"/>
      <c r="C725" s="230"/>
      <c r="D725" s="231"/>
      <c r="E725" s="157"/>
      <c r="F725" s="12"/>
      <c r="G725" s="158"/>
    </row>
    <row r="726">
      <c r="A726" s="153"/>
      <c r="B726" s="229"/>
      <c r="C726" s="230"/>
      <c r="D726" s="231"/>
      <c r="E726" s="157"/>
      <c r="F726" s="12"/>
      <c r="G726" s="158"/>
    </row>
    <row r="727">
      <c r="A727" s="153"/>
      <c r="B727" s="229"/>
      <c r="C727" s="230"/>
      <c r="D727" s="231"/>
      <c r="E727" s="157"/>
      <c r="F727" s="12"/>
      <c r="G727" s="158"/>
    </row>
    <row r="728">
      <c r="A728" s="153"/>
      <c r="B728" s="229"/>
      <c r="C728" s="230"/>
      <c r="D728" s="231"/>
      <c r="E728" s="157"/>
      <c r="F728" s="12"/>
      <c r="G728" s="158"/>
    </row>
    <row r="729">
      <c r="A729" s="153"/>
      <c r="B729" s="229"/>
      <c r="C729" s="230"/>
      <c r="D729" s="231"/>
      <c r="E729" s="157"/>
      <c r="F729" s="12"/>
      <c r="G729" s="158"/>
    </row>
    <row r="730">
      <c r="A730" s="153"/>
      <c r="B730" s="229"/>
      <c r="C730" s="230"/>
      <c r="D730" s="231"/>
      <c r="E730" s="157"/>
      <c r="F730" s="12"/>
      <c r="G730" s="158"/>
    </row>
    <row r="731">
      <c r="A731" s="153"/>
      <c r="B731" s="229"/>
      <c r="C731" s="230"/>
      <c r="D731" s="231"/>
      <c r="E731" s="157"/>
      <c r="F731" s="12"/>
      <c r="G731" s="158"/>
    </row>
    <row r="732">
      <c r="A732" s="153"/>
      <c r="B732" s="229"/>
      <c r="C732" s="230"/>
      <c r="D732" s="231"/>
      <c r="E732" s="157"/>
      <c r="F732" s="12"/>
      <c r="G732" s="158"/>
    </row>
    <row r="733">
      <c r="A733" s="153"/>
      <c r="B733" s="229"/>
      <c r="C733" s="230"/>
      <c r="D733" s="231"/>
      <c r="E733" s="157"/>
      <c r="F733" s="12"/>
      <c r="G733" s="158"/>
    </row>
    <row r="734">
      <c r="A734" s="153"/>
      <c r="B734" s="229"/>
      <c r="C734" s="230"/>
      <c r="D734" s="231"/>
      <c r="E734" s="157"/>
      <c r="F734" s="12"/>
      <c r="G734" s="158"/>
    </row>
    <row r="735">
      <c r="A735" s="153"/>
      <c r="B735" s="229"/>
      <c r="C735" s="230"/>
      <c r="D735" s="231"/>
      <c r="E735" s="157"/>
      <c r="F735" s="12"/>
      <c r="G735" s="158"/>
    </row>
    <row r="736">
      <c r="A736" s="153"/>
      <c r="B736" s="229"/>
      <c r="C736" s="230"/>
      <c r="D736" s="231"/>
      <c r="E736" s="157"/>
      <c r="F736" s="12"/>
      <c r="G736" s="158"/>
    </row>
    <row r="737">
      <c r="A737" s="153"/>
      <c r="B737" s="229"/>
      <c r="C737" s="230"/>
      <c r="D737" s="231"/>
      <c r="E737" s="157"/>
      <c r="F737" s="12"/>
      <c r="G737" s="158"/>
    </row>
    <row r="738">
      <c r="A738" s="153"/>
      <c r="B738" s="229"/>
      <c r="C738" s="230"/>
      <c r="D738" s="231"/>
      <c r="E738" s="157"/>
      <c r="F738" s="12"/>
      <c r="G738" s="158"/>
    </row>
    <row r="739">
      <c r="A739" s="153"/>
      <c r="B739" s="229"/>
      <c r="C739" s="230"/>
      <c r="D739" s="231"/>
      <c r="E739" s="157"/>
      <c r="F739" s="12"/>
      <c r="G739" s="158"/>
    </row>
    <row r="740">
      <c r="A740" s="153"/>
      <c r="B740" s="229"/>
      <c r="C740" s="230"/>
      <c r="D740" s="231"/>
      <c r="E740" s="157"/>
      <c r="F740" s="12"/>
      <c r="G740" s="158"/>
    </row>
    <row r="741">
      <c r="A741" s="153"/>
      <c r="B741" s="229"/>
      <c r="C741" s="230"/>
      <c r="D741" s="231"/>
      <c r="E741" s="157"/>
      <c r="F741" s="12"/>
      <c r="G741" s="158"/>
    </row>
    <row r="742">
      <c r="A742" s="153"/>
      <c r="B742" s="229"/>
      <c r="C742" s="230"/>
      <c r="D742" s="231"/>
      <c r="E742" s="157"/>
      <c r="F742" s="12"/>
      <c r="G742" s="158"/>
    </row>
    <row r="743">
      <c r="A743" s="153"/>
      <c r="B743" s="229"/>
      <c r="C743" s="230"/>
      <c r="D743" s="231"/>
      <c r="E743" s="157"/>
      <c r="F743" s="12"/>
      <c r="G743" s="158"/>
    </row>
    <row r="744">
      <c r="A744" s="153"/>
      <c r="B744" s="229"/>
      <c r="C744" s="230"/>
      <c r="D744" s="231"/>
      <c r="E744" s="157"/>
      <c r="F744" s="12"/>
      <c r="G744" s="158"/>
    </row>
    <row r="745">
      <c r="A745" s="153"/>
      <c r="B745" s="229"/>
      <c r="C745" s="230"/>
      <c r="D745" s="231"/>
      <c r="E745" s="157"/>
      <c r="F745" s="12"/>
      <c r="G745" s="158"/>
    </row>
    <row r="746">
      <c r="A746" s="153"/>
      <c r="B746" s="229"/>
      <c r="C746" s="230"/>
      <c r="D746" s="231"/>
      <c r="E746" s="157"/>
      <c r="F746" s="12"/>
      <c r="G746" s="158"/>
    </row>
    <row r="747">
      <c r="A747" s="153"/>
      <c r="B747" s="229"/>
      <c r="C747" s="230"/>
      <c r="D747" s="231"/>
      <c r="E747" s="157"/>
      <c r="F747" s="12"/>
      <c r="G747" s="158"/>
    </row>
    <row r="748">
      <c r="A748" s="153"/>
      <c r="B748" s="229"/>
      <c r="C748" s="230"/>
      <c r="D748" s="231"/>
      <c r="E748" s="157"/>
      <c r="F748" s="12"/>
      <c r="G748" s="158"/>
    </row>
    <row r="749">
      <c r="A749" s="153"/>
      <c r="B749" s="229"/>
      <c r="C749" s="230"/>
      <c r="D749" s="231"/>
      <c r="E749" s="157"/>
      <c r="F749" s="12"/>
      <c r="G749" s="158"/>
    </row>
    <row r="750">
      <c r="A750" s="153"/>
      <c r="B750" s="229"/>
      <c r="C750" s="230"/>
      <c r="D750" s="231"/>
      <c r="E750" s="157"/>
      <c r="F750" s="12"/>
      <c r="G750" s="158"/>
    </row>
    <row r="751">
      <c r="A751" s="153"/>
      <c r="B751" s="229"/>
      <c r="C751" s="230"/>
      <c r="D751" s="231"/>
      <c r="E751" s="157"/>
      <c r="F751" s="12"/>
      <c r="G751" s="158"/>
    </row>
    <row r="752">
      <c r="A752" s="153"/>
      <c r="B752" s="229"/>
      <c r="C752" s="230"/>
      <c r="D752" s="231"/>
      <c r="E752" s="157"/>
      <c r="F752" s="12"/>
      <c r="G752" s="158"/>
    </row>
    <row r="753">
      <c r="A753" s="153"/>
      <c r="B753" s="229"/>
      <c r="C753" s="230"/>
      <c r="D753" s="231"/>
      <c r="E753" s="157"/>
      <c r="F753" s="12"/>
      <c r="G753" s="158"/>
    </row>
    <row r="754">
      <c r="A754" s="153"/>
      <c r="B754" s="229"/>
      <c r="C754" s="230"/>
      <c r="D754" s="231"/>
      <c r="E754" s="157"/>
      <c r="F754" s="12"/>
      <c r="G754" s="158"/>
    </row>
    <row r="755">
      <c r="A755" s="153"/>
      <c r="B755" s="229"/>
      <c r="C755" s="230"/>
      <c r="D755" s="231"/>
      <c r="E755" s="157"/>
      <c r="F755" s="12"/>
      <c r="G755" s="158"/>
    </row>
    <row r="756">
      <c r="A756" s="153"/>
      <c r="B756" s="229"/>
      <c r="C756" s="230"/>
      <c r="D756" s="231"/>
      <c r="E756" s="157"/>
      <c r="F756" s="12"/>
      <c r="G756" s="158"/>
    </row>
    <row r="757">
      <c r="A757" s="153"/>
      <c r="B757" s="229"/>
      <c r="C757" s="230"/>
      <c r="D757" s="231"/>
      <c r="E757" s="157"/>
      <c r="F757" s="12"/>
      <c r="G757" s="158"/>
    </row>
    <row r="758">
      <c r="A758" s="153"/>
      <c r="B758" s="229"/>
      <c r="C758" s="230"/>
      <c r="D758" s="231"/>
      <c r="E758" s="157"/>
      <c r="F758" s="12"/>
      <c r="G758" s="158"/>
    </row>
    <row r="759">
      <c r="A759" s="153"/>
      <c r="B759" s="229"/>
      <c r="C759" s="230"/>
      <c r="D759" s="231"/>
      <c r="E759" s="157"/>
      <c r="F759" s="12"/>
      <c r="G759" s="158"/>
    </row>
    <row r="760">
      <c r="A760" s="153"/>
      <c r="B760" s="229"/>
      <c r="C760" s="230"/>
      <c r="D760" s="231"/>
      <c r="E760" s="157"/>
      <c r="F760" s="12"/>
      <c r="G760" s="158"/>
    </row>
    <row r="761">
      <c r="A761" s="153"/>
      <c r="B761" s="229"/>
      <c r="C761" s="230"/>
      <c r="D761" s="231"/>
      <c r="E761" s="157"/>
      <c r="F761" s="12"/>
      <c r="G761" s="158"/>
    </row>
    <row r="762">
      <c r="A762" s="153"/>
      <c r="B762" s="229"/>
      <c r="C762" s="230"/>
      <c r="D762" s="231"/>
      <c r="E762" s="157"/>
      <c r="F762" s="12"/>
      <c r="G762" s="158"/>
    </row>
    <row r="763">
      <c r="A763" s="153"/>
      <c r="B763" s="229"/>
      <c r="C763" s="230"/>
      <c r="D763" s="231"/>
      <c r="E763" s="157"/>
      <c r="F763" s="12"/>
      <c r="G763" s="158"/>
    </row>
    <row r="764">
      <c r="A764" s="153"/>
      <c r="B764" s="229"/>
      <c r="C764" s="230"/>
      <c r="D764" s="231"/>
      <c r="E764" s="157"/>
      <c r="F764" s="12"/>
      <c r="G764" s="158"/>
    </row>
    <row r="765">
      <c r="A765" s="153"/>
      <c r="B765" s="229"/>
      <c r="C765" s="230"/>
      <c r="D765" s="231"/>
      <c r="E765" s="157"/>
      <c r="F765" s="12"/>
      <c r="G765" s="158"/>
    </row>
    <row r="766">
      <c r="A766" s="153"/>
      <c r="B766" s="229"/>
      <c r="C766" s="230"/>
      <c r="D766" s="231"/>
      <c r="E766" s="157"/>
      <c r="F766" s="12"/>
      <c r="G766" s="158"/>
    </row>
    <row r="767">
      <c r="A767" s="153"/>
      <c r="B767" s="229"/>
      <c r="C767" s="230"/>
      <c r="D767" s="231"/>
      <c r="E767" s="157"/>
      <c r="F767" s="12"/>
      <c r="G767" s="158"/>
    </row>
    <row r="768">
      <c r="A768" s="153"/>
      <c r="B768" s="229"/>
      <c r="C768" s="230"/>
      <c r="D768" s="231"/>
      <c r="E768" s="157"/>
      <c r="F768" s="12"/>
      <c r="G768" s="158"/>
    </row>
    <row r="769">
      <c r="A769" s="153"/>
      <c r="B769" s="229"/>
      <c r="C769" s="230"/>
      <c r="D769" s="231"/>
      <c r="E769" s="157"/>
      <c r="F769" s="12"/>
      <c r="G769" s="158"/>
    </row>
    <row r="770">
      <c r="A770" s="153"/>
      <c r="B770" s="229"/>
      <c r="C770" s="230"/>
      <c r="D770" s="231"/>
      <c r="E770" s="157"/>
      <c r="F770" s="12"/>
      <c r="G770" s="158"/>
    </row>
    <row r="771">
      <c r="A771" s="153"/>
      <c r="B771" s="229"/>
      <c r="C771" s="230"/>
      <c r="D771" s="231"/>
      <c r="E771" s="157"/>
      <c r="F771" s="12"/>
      <c r="G771" s="158"/>
    </row>
    <row r="772">
      <c r="A772" s="153"/>
      <c r="B772" s="229"/>
      <c r="C772" s="230"/>
      <c r="D772" s="231"/>
      <c r="E772" s="157"/>
      <c r="F772" s="12"/>
      <c r="G772" s="158"/>
    </row>
    <row r="773">
      <c r="A773" s="153"/>
      <c r="B773" s="229"/>
      <c r="C773" s="230"/>
      <c r="D773" s="231"/>
      <c r="E773" s="157"/>
      <c r="F773" s="12"/>
      <c r="G773" s="158"/>
    </row>
    <row r="774">
      <c r="A774" s="153"/>
      <c r="B774" s="229"/>
      <c r="C774" s="230"/>
      <c r="D774" s="231"/>
      <c r="E774" s="157"/>
      <c r="F774" s="12"/>
      <c r="G774" s="158"/>
    </row>
    <row r="775">
      <c r="A775" s="153"/>
      <c r="B775" s="229"/>
      <c r="C775" s="230"/>
      <c r="D775" s="231"/>
      <c r="E775" s="157"/>
      <c r="F775" s="12"/>
      <c r="G775" s="158"/>
    </row>
    <row r="776">
      <c r="A776" s="153"/>
      <c r="B776" s="229"/>
      <c r="C776" s="230"/>
      <c r="D776" s="231"/>
      <c r="E776" s="157"/>
      <c r="F776" s="12"/>
      <c r="G776" s="158"/>
    </row>
    <row r="777">
      <c r="A777" s="153"/>
      <c r="B777" s="229"/>
      <c r="C777" s="230"/>
      <c r="D777" s="231"/>
      <c r="E777" s="157"/>
      <c r="F777" s="12"/>
      <c r="G777" s="158"/>
    </row>
    <row r="778">
      <c r="A778" s="153"/>
      <c r="B778" s="229"/>
      <c r="C778" s="230"/>
      <c r="D778" s="231"/>
      <c r="E778" s="157"/>
      <c r="F778" s="12"/>
      <c r="G778" s="158"/>
    </row>
    <row r="779">
      <c r="A779" s="153"/>
      <c r="B779" s="229"/>
      <c r="C779" s="230"/>
      <c r="D779" s="231"/>
      <c r="E779" s="157"/>
      <c r="F779" s="12"/>
      <c r="G779" s="158"/>
    </row>
    <row r="780">
      <c r="A780" s="153"/>
      <c r="B780" s="229"/>
      <c r="C780" s="230"/>
      <c r="D780" s="231"/>
      <c r="E780" s="157"/>
      <c r="F780" s="12"/>
      <c r="G780" s="158"/>
    </row>
    <row r="781">
      <c r="A781" s="153"/>
      <c r="B781" s="229"/>
      <c r="C781" s="230"/>
      <c r="D781" s="231"/>
      <c r="E781" s="157"/>
      <c r="F781" s="12"/>
      <c r="G781" s="158"/>
    </row>
    <row r="782">
      <c r="A782" s="153"/>
      <c r="B782" s="229"/>
      <c r="C782" s="230"/>
      <c r="D782" s="231"/>
      <c r="E782" s="157"/>
      <c r="F782" s="12"/>
      <c r="G782" s="158"/>
    </row>
    <row r="783">
      <c r="A783" s="153"/>
      <c r="B783" s="229"/>
      <c r="C783" s="230"/>
      <c r="D783" s="231"/>
      <c r="E783" s="157"/>
      <c r="F783" s="12"/>
      <c r="G783" s="158"/>
    </row>
    <row r="784">
      <c r="A784" s="153"/>
      <c r="B784" s="229"/>
      <c r="C784" s="230"/>
      <c r="D784" s="231"/>
      <c r="E784" s="157"/>
      <c r="F784" s="12"/>
      <c r="G784" s="158"/>
    </row>
    <row r="785">
      <c r="A785" s="153"/>
      <c r="B785" s="229"/>
      <c r="C785" s="230"/>
      <c r="D785" s="231"/>
      <c r="E785" s="157"/>
      <c r="F785" s="12"/>
      <c r="G785" s="158"/>
    </row>
    <row r="786">
      <c r="A786" s="153"/>
      <c r="B786" s="229"/>
      <c r="C786" s="230"/>
      <c r="D786" s="231"/>
      <c r="E786" s="157"/>
      <c r="F786" s="12"/>
      <c r="G786" s="158"/>
    </row>
    <row r="787">
      <c r="A787" s="153"/>
      <c r="B787" s="229"/>
      <c r="C787" s="230"/>
      <c r="D787" s="231"/>
      <c r="E787" s="157"/>
      <c r="F787" s="12"/>
      <c r="G787" s="158"/>
    </row>
    <row r="788">
      <c r="A788" s="153"/>
      <c r="B788" s="229"/>
      <c r="C788" s="230"/>
      <c r="D788" s="231"/>
      <c r="E788" s="157"/>
      <c r="F788" s="12"/>
      <c r="G788" s="158"/>
    </row>
    <row r="789">
      <c r="A789" s="153"/>
      <c r="B789" s="229"/>
      <c r="C789" s="230"/>
      <c r="D789" s="231"/>
      <c r="E789" s="157"/>
      <c r="F789" s="12"/>
      <c r="G789" s="158"/>
    </row>
    <row r="790">
      <c r="A790" s="153"/>
      <c r="B790" s="229"/>
      <c r="C790" s="230"/>
      <c r="D790" s="231"/>
      <c r="E790" s="157"/>
      <c r="F790" s="12"/>
      <c r="G790" s="158"/>
    </row>
    <row r="791">
      <c r="A791" s="153"/>
      <c r="B791" s="229"/>
      <c r="C791" s="230"/>
      <c r="D791" s="231"/>
      <c r="E791" s="157"/>
      <c r="F791" s="12"/>
      <c r="G791" s="158"/>
    </row>
    <row r="792">
      <c r="A792" s="153"/>
      <c r="B792" s="229"/>
      <c r="C792" s="230"/>
      <c r="D792" s="231"/>
      <c r="E792" s="157"/>
      <c r="F792" s="12"/>
      <c r="G792" s="158"/>
    </row>
    <row r="793">
      <c r="A793" s="153"/>
      <c r="B793" s="229"/>
      <c r="C793" s="230"/>
      <c r="D793" s="231"/>
      <c r="E793" s="157"/>
      <c r="F793" s="12"/>
      <c r="G793" s="158"/>
    </row>
    <row r="794">
      <c r="A794" s="153"/>
      <c r="B794" s="229"/>
      <c r="C794" s="230"/>
      <c r="D794" s="231"/>
      <c r="E794" s="157"/>
      <c r="F794" s="12"/>
      <c r="G794" s="158"/>
    </row>
    <row r="795">
      <c r="A795" s="153"/>
      <c r="B795" s="229"/>
      <c r="C795" s="230"/>
      <c r="D795" s="231"/>
      <c r="E795" s="157"/>
      <c r="F795" s="12"/>
      <c r="G795" s="158"/>
    </row>
    <row r="796">
      <c r="A796" s="153"/>
      <c r="B796" s="229"/>
      <c r="C796" s="230"/>
      <c r="D796" s="231"/>
      <c r="E796" s="157"/>
      <c r="F796" s="12"/>
      <c r="G796" s="158"/>
    </row>
    <row r="797">
      <c r="A797" s="153"/>
      <c r="B797" s="229"/>
      <c r="C797" s="230"/>
      <c r="D797" s="231"/>
      <c r="E797" s="157"/>
      <c r="F797" s="12"/>
      <c r="G797" s="158"/>
    </row>
    <row r="798">
      <c r="A798" s="153"/>
      <c r="B798" s="229"/>
      <c r="C798" s="230"/>
      <c r="D798" s="231"/>
      <c r="E798" s="157"/>
      <c r="F798" s="12"/>
      <c r="G798" s="158"/>
    </row>
    <row r="799">
      <c r="A799" s="153"/>
      <c r="B799" s="229"/>
      <c r="C799" s="230"/>
      <c r="D799" s="231"/>
      <c r="E799" s="157"/>
      <c r="F799" s="12"/>
      <c r="G799" s="158"/>
    </row>
    <row r="800">
      <c r="A800" s="153"/>
      <c r="B800" s="229"/>
      <c r="C800" s="230"/>
      <c r="D800" s="231"/>
      <c r="E800" s="157"/>
      <c r="F800" s="12"/>
      <c r="G800" s="158"/>
    </row>
    <row r="801">
      <c r="A801" s="153"/>
      <c r="B801" s="229"/>
      <c r="C801" s="230"/>
      <c r="D801" s="231"/>
      <c r="E801" s="157"/>
      <c r="F801" s="12"/>
      <c r="G801" s="158"/>
    </row>
    <row r="802">
      <c r="A802" s="153"/>
      <c r="B802" s="229"/>
      <c r="C802" s="230"/>
      <c r="D802" s="231"/>
      <c r="E802" s="157"/>
      <c r="F802" s="12"/>
      <c r="G802" s="158"/>
    </row>
    <row r="803">
      <c r="A803" s="153"/>
      <c r="B803" s="229"/>
      <c r="C803" s="230"/>
      <c r="D803" s="231"/>
      <c r="E803" s="157"/>
      <c r="F803" s="12"/>
      <c r="G803" s="158"/>
    </row>
    <row r="804">
      <c r="A804" s="153"/>
      <c r="B804" s="229"/>
      <c r="C804" s="230"/>
      <c r="D804" s="231"/>
      <c r="E804" s="157"/>
      <c r="F804" s="12"/>
      <c r="G804" s="158"/>
    </row>
    <row r="805">
      <c r="A805" s="153"/>
      <c r="B805" s="229"/>
      <c r="C805" s="230"/>
      <c r="D805" s="231"/>
      <c r="E805" s="157"/>
      <c r="F805" s="12"/>
      <c r="G805" s="158"/>
    </row>
    <row r="806">
      <c r="A806" s="153"/>
      <c r="B806" s="229"/>
      <c r="C806" s="230"/>
      <c r="D806" s="231"/>
      <c r="E806" s="157"/>
      <c r="F806" s="12"/>
      <c r="G806" s="158"/>
    </row>
    <row r="807">
      <c r="A807" s="153"/>
      <c r="B807" s="229"/>
      <c r="C807" s="230"/>
      <c r="D807" s="231"/>
      <c r="E807" s="157"/>
      <c r="F807" s="12"/>
      <c r="G807" s="158"/>
    </row>
    <row r="808">
      <c r="A808" s="153"/>
      <c r="B808" s="229"/>
      <c r="C808" s="230"/>
      <c r="D808" s="231"/>
      <c r="E808" s="157"/>
      <c r="F808" s="12"/>
      <c r="G808" s="158"/>
    </row>
    <row r="809">
      <c r="A809" s="153"/>
      <c r="B809" s="229"/>
      <c r="C809" s="230"/>
      <c r="D809" s="231"/>
      <c r="E809" s="157"/>
      <c r="F809" s="12"/>
      <c r="G809" s="158"/>
    </row>
    <row r="810">
      <c r="A810" s="153"/>
      <c r="B810" s="229"/>
      <c r="C810" s="230"/>
      <c r="D810" s="231"/>
      <c r="E810" s="157"/>
      <c r="F810" s="12"/>
      <c r="G810" s="158"/>
    </row>
    <row r="811">
      <c r="A811" s="153"/>
      <c r="B811" s="229"/>
      <c r="C811" s="230"/>
      <c r="D811" s="231"/>
      <c r="E811" s="157"/>
      <c r="F811" s="12"/>
      <c r="G811" s="158"/>
    </row>
    <row r="812">
      <c r="A812" s="153"/>
      <c r="B812" s="229"/>
      <c r="C812" s="230"/>
      <c r="D812" s="231"/>
      <c r="E812" s="157"/>
      <c r="F812" s="12"/>
      <c r="G812" s="158"/>
    </row>
    <row r="813">
      <c r="A813" s="153"/>
      <c r="B813" s="229"/>
      <c r="C813" s="230"/>
      <c r="D813" s="231"/>
      <c r="E813" s="157"/>
      <c r="F813" s="12"/>
      <c r="G813" s="158"/>
    </row>
    <row r="814">
      <c r="A814" s="153"/>
      <c r="B814" s="229"/>
      <c r="C814" s="230"/>
      <c r="D814" s="231"/>
      <c r="E814" s="157"/>
      <c r="F814" s="12"/>
      <c r="G814" s="158"/>
    </row>
    <row r="815">
      <c r="A815" s="153"/>
      <c r="B815" s="229"/>
      <c r="C815" s="230"/>
      <c r="D815" s="231"/>
      <c r="E815" s="157"/>
      <c r="F815" s="12"/>
      <c r="G815" s="158"/>
    </row>
    <row r="816">
      <c r="A816" s="153"/>
      <c r="B816" s="229"/>
      <c r="C816" s="230"/>
      <c r="D816" s="231"/>
      <c r="E816" s="157"/>
      <c r="F816" s="12"/>
      <c r="G816" s="158"/>
    </row>
    <row r="817">
      <c r="A817" s="153"/>
      <c r="B817" s="229"/>
      <c r="C817" s="230"/>
      <c r="D817" s="231"/>
      <c r="E817" s="157"/>
      <c r="F817" s="12"/>
      <c r="G817" s="158"/>
    </row>
    <row r="818">
      <c r="A818" s="153"/>
      <c r="B818" s="229"/>
      <c r="C818" s="230"/>
      <c r="D818" s="231"/>
      <c r="E818" s="157"/>
      <c r="F818" s="12"/>
      <c r="G818" s="158"/>
    </row>
    <row r="819">
      <c r="A819" s="153"/>
      <c r="B819" s="229"/>
      <c r="C819" s="230"/>
      <c r="D819" s="231"/>
      <c r="E819" s="157"/>
      <c r="F819" s="12"/>
      <c r="G819" s="158"/>
    </row>
    <row r="820">
      <c r="A820" s="153"/>
      <c r="B820" s="229"/>
      <c r="C820" s="230"/>
      <c r="D820" s="231"/>
      <c r="E820" s="157"/>
      <c r="F820" s="12"/>
      <c r="G820" s="158"/>
    </row>
    <row r="821">
      <c r="A821" s="153"/>
      <c r="B821" s="229"/>
      <c r="C821" s="230"/>
      <c r="D821" s="231"/>
      <c r="E821" s="157"/>
      <c r="F821" s="12"/>
      <c r="G821" s="158"/>
    </row>
    <row r="822">
      <c r="A822" s="153"/>
      <c r="B822" s="229"/>
      <c r="C822" s="230"/>
      <c r="D822" s="231"/>
      <c r="E822" s="157"/>
      <c r="F822" s="12"/>
      <c r="G822" s="158"/>
    </row>
    <row r="823">
      <c r="A823" s="153"/>
      <c r="B823" s="229"/>
      <c r="C823" s="230"/>
      <c r="D823" s="231"/>
      <c r="E823" s="157"/>
      <c r="F823" s="12"/>
      <c r="G823" s="158"/>
    </row>
    <row r="824">
      <c r="A824" s="153"/>
      <c r="B824" s="229"/>
      <c r="C824" s="230"/>
      <c r="D824" s="231"/>
      <c r="E824" s="157"/>
      <c r="F824" s="12"/>
      <c r="G824" s="158"/>
    </row>
    <row r="825">
      <c r="A825" s="153"/>
      <c r="B825" s="229"/>
      <c r="C825" s="230"/>
      <c r="D825" s="231"/>
      <c r="E825" s="157"/>
      <c r="F825" s="12"/>
      <c r="G825" s="158"/>
    </row>
    <row r="826">
      <c r="A826" s="153"/>
      <c r="B826" s="229"/>
      <c r="C826" s="230"/>
      <c r="D826" s="231"/>
      <c r="E826" s="157"/>
      <c r="F826" s="12"/>
      <c r="G826" s="158"/>
    </row>
    <row r="827">
      <c r="A827" s="153"/>
      <c r="B827" s="229"/>
      <c r="C827" s="230"/>
      <c r="D827" s="231"/>
      <c r="E827" s="157"/>
      <c r="F827" s="12"/>
      <c r="G827" s="158"/>
    </row>
    <row r="828">
      <c r="A828" s="153"/>
      <c r="B828" s="229"/>
      <c r="C828" s="230"/>
      <c r="D828" s="231"/>
      <c r="E828" s="157"/>
      <c r="F828" s="12"/>
      <c r="G828" s="158"/>
    </row>
    <row r="829">
      <c r="A829" s="153"/>
      <c r="B829" s="229"/>
      <c r="C829" s="230"/>
      <c r="D829" s="231"/>
      <c r="E829" s="157"/>
      <c r="F829" s="12"/>
      <c r="G829" s="158"/>
    </row>
    <row r="830">
      <c r="A830" s="153"/>
      <c r="B830" s="229"/>
      <c r="C830" s="230"/>
      <c r="D830" s="231"/>
      <c r="E830" s="157"/>
      <c r="F830" s="12"/>
      <c r="G830" s="158"/>
    </row>
    <row r="831">
      <c r="A831" s="153"/>
      <c r="B831" s="229"/>
      <c r="C831" s="230"/>
      <c r="D831" s="231"/>
      <c r="E831" s="157"/>
      <c r="F831" s="12"/>
      <c r="G831" s="158"/>
    </row>
    <row r="832">
      <c r="A832" s="153"/>
      <c r="B832" s="229"/>
      <c r="C832" s="230"/>
      <c r="D832" s="231"/>
      <c r="E832" s="157"/>
      <c r="F832" s="12"/>
      <c r="G832" s="158"/>
    </row>
    <row r="833">
      <c r="A833" s="153"/>
      <c r="B833" s="229"/>
      <c r="C833" s="230"/>
      <c r="D833" s="231"/>
      <c r="E833" s="157"/>
      <c r="F833" s="12"/>
      <c r="G833" s="158"/>
    </row>
    <row r="834">
      <c r="A834" s="153"/>
      <c r="B834" s="229"/>
      <c r="C834" s="230"/>
      <c r="D834" s="231"/>
      <c r="E834" s="157"/>
      <c r="F834" s="12"/>
      <c r="G834" s="158"/>
    </row>
    <row r="835">
      <c r="A835" s="153"/>
      <c r="B835" s="229"/>
      <c r="C835" s="230"/>
      <c r="D835" s="231"/>
      <c r="E835" s="157"/>
      <c r="F835" s="12"/>
      <c r="G835" s="158"/>
    </row>
    <row r="836">
      <c r="A836" s="153"/>
      <c r="B836" s="229"/>
      <c r="C836" s="230"/>
      <c r="D836" s="231"/>
      <c r="E836" s="157"/>
      <c r="F836" s="12"/>
      <c r="G836" s="158"/>
    </row>
    <row r="837">
      <c r="A837" s="153"/>
      <c r="B837" s="229"/>
      <c r="C837" s="230"/>
      <c r="D837" s="231"/>
      <c r="E837" s="157"/>
      <c r="F837" s="12"/>
      <c r="G837" s="158"/>
    </row>
    <row r="838">
      <c r="A838" s="153"/>
      <c r="B838" s="229"/>
      <c r="C838" s="230"/>
      <c r="D838" s="231"/>
      <c r="E838" s="157"/>
      <c r="F838" s="12"/>
      <c r="G838" s="158"/>
    </row>
    <row r="839">
      <c r="A839" s="153"/>
      <c r="B839" s="229"/>
      <c r="C839" s="230"/>
      <c r="D839" s="231"/>
      <c r="E839" s="157"/>
      <c r="F839" s="12"/>
      <c r="G839" s="158"/>
    </row>
    <row r="840">
      <c r="A840" s="153"/>
      <c r="B840" s="229"/>
      <c r="C840" s="230"/>
      <c r="D840" s="231"/>
      <c r="E840" s="157"/>
      <c r="F840" s="12"/>
      <c r="G840" s="158"/>
    </row>
    <row r="841">
      <c r="A841" s="153"/>
      <c r="B841" s="229"/>
      <c r="C841" s="230"/>
      <c r="D841" s="231"/>
      <c r="E841" s="157"/>
      <c r="F841" s="12"/>
      <c r="G841" s="158"/>
    </row>
    <row r="842">
      <c r="A842" s="153"/>
      <c r="B842" s="229"/>
      <c r="C842" s="230"/>
      <c r="D842" s="231"/>
      <c r="E842" s="157"/>
      <c r="F842" s="12"/>
      <c r="G842" s="158"/>
    </row>
    <row r="843">
      <c r="A843" s="153"/>
      <c r="B843" s="229"/>
      <c r="C843" s="230"/>
      <c r="D843" s="231"/>
      <c r="E843" s="157"/>
      <c r="F843" s="12"/>
      <c r="G843" s="158"/>
    </row>
    <row r="844">
      <c r="A844" s="153"/>
      <c r="B844" s="229"/>
      <c r="C844" s="230"/>
      <c r="D844" s="231"/>
      <c r="E844" s="157"/>
      <c r="F844" s="12"/>
      <c r="G844" s="158"/>
    </row>
    <row r="845">
      <c r="A845" s="153"/>
      <c r="B845" s="229"/>
      <c r="C845" s="230"/>
      <c r="D845" s="231"/>
      <c r="E845" s="157"/>
      <c r="F845" s="12"/>
      <c r="G845" s="158"/>
    </row>
    <row r="846">
      <c r="A846" s="153"/>
      <c r="B846" s="229"/>
      <c r="C846" s="230"/>
      <c r="D846" s="231"/>
      <c r="E846" s="157"/>
      <c r="F846" s="12"/>
      <c r="G846" s="158"/>
    </row>
    <row r="847">
      <c r="A847" s="153"/>
      <c r="B847" s="229"/>
      <c r="C847" s="230"/>
      <c r="D847" s="231"/>
      <c r="E847" s="157"/>
      <c r="F847" s="12"/>
      <c r="G847" s="158"/>
    </row>
    <row r="848">
      <c r="A848" s="153"/>
      <c r="B848" s="229"/>
      <c r="C848" s="230"/>
      <c r="D848" s="231"/>
      <c r="E848" s="157"/>
      <c r="F848" s="12"/>
      <c r="G848" s="158"/>
    </row>
    <row r="849">
      <c r="A849" s="153"/>
      <c r="B849" s="229"/>
      <c r="C849" s="230"/>
      <c r="D849" s="231"/>
      <c r="E849" s="157"/>
      <c r="F849" s="12"/>
      <c r="G849" s="158"/>
    </row>
    <row r="850">
      <c r="A850" s="153"/>
      <c r="B850" s="229"/>
      <c r="C850" s="230"/>
      <c r="D850" s="231"/>
      <c r="E850" s="157"/>
      <c r="F850" s="12"/>
      <c r="G850" s="158"/>
    </row>
    <row r="851">
      <c r="A851" s="153"/>
      <c r="B851" s="229"/>
      <c r="C851" s="230"/>
      <c r="D851" s="231"/>
      <c r="E851" s="157"/>
      <c r="F851" s="12"/>
      <c r="G851" s="158"/>
    </row>
    <row r="852">
      <c r="A852" s="153"/>
      <c r="B852" s="229"/>
      <c r="C852" s="230"/>
      <c r="D852" s="231"/>
      <c r="E852" s="157"/>
      <c r="F852" s="12"/>
      <c r="G852" s="158"/>
    </row>
    <row r="853">
      <c r="A853" s="153"/>
      <c r="B853" s="229"/>
      <c r="C853" s="230"/>
      <c r="D853" s="231"/>
      <c r="E853" s="157"/>
      <c r="F853" s="12"/>
      <c r="G853" s="158"/>
    </row>
    <row r="854">
      <c r="A854" s="153"/>
      <c r="B854" s="229"/>
      <c r="C854" s="230"/>
      <c r="D854" s="231"/>
      <c r="E854" s="157"/>
      <c r="F854" s="12"/>
      <c r="G854" s="158"/>
    </row>
    <row r="855">
      <c r="A855" s="153"/>
      <c r="B855" s="229"/>
      <c r="C855" s="230"/>
      <c r="D855" s="231"/>
      <c r="E855" s="157"/>
      <c r="F855" s="12"/>
      <c r="G855" s="158"/>
    </row>
    <row r="856">
      <c r="A856" s="153"/>
      <c r="B856" s="229"/>
      <c r="C856" s="230"/>
      <c r="D856" s="231"/>
      <c r="E856" s="157"/>
      <c r="F856" s="12"/>
      <c r="G856" s="158"/>
    </row>
    <row r="857">
      <c r="A857" s="153"/>
      <c r="B857" s="229"/>
      <c r="C857" s="230"/>
      <c r="D857" s="231"/>
      <c r="E857" s="157"/>
      <c r="F857" s="12"/>
      <c r="G857" s="158"/>
    </row>
    <row r="858">
      <c r="A858" s="153"/>
      <c r="B858" s="229"/>
      <c r="C858" s="230"/>
      <c r="D858" s="231"/>
      <c r="E858" s="157"/>
      <c r="F858" s="12"/>
      <c r="G858" s="158"/>
    </row>
    <row r="859">
      <c r="A859" s="153"/>
      <c r="B859" s="229"/>
      <c r="C859" s="230"/>
      <c r="D859" s="231"/>
      <c r="E859" s="157"/>
      <c r="F859" s="12"/>
      <c r="G859" s="158"/>
    </row>
    <row r="860">
      <c r="A860" s="153"/>
      <c r="B860" s="229"/>
      <c r="C860" s="230"/>
      <c r="D860" s="231"/>
      <c r="E860" s="157"/>
      <c r="F860" s="12"/>
      <c r="G860" s="158"/>
    </row>
    <row r="861">
      <c r="A861" s="153"/>
      <c r="B861" s="229"/>
      <c r="C861" s="230"/>
      <c r="D861" s="231"/>
      <c r="E861" s="157"/>
      <c r="F861" s="12"/>
      <c r="G861" s="158"/>
    </row>
    <row r="862">
      <c r="A862" s="153"/>
      <c r="B862" s="229"/>
      <c r="C862" s="230"/>
      <c r="D862" s="231"/>
      <c r="E862" s="157"/>
      <c r="F862" s="12"/>
      <c r="G862" s="158"/>
    </row>
    <row r="863">
      <c r="A863" s="153"/>
      <c r="B863" s="229"/>
      <c r="C863" s="230"/>
      <c r="D863" s="231"/>
      <c r="E863" s="157"/>
      <c r="F863" s="12"/>
      <c r="G863" s="158"/>
    </row>
    <row r="864">
      <c r="A864" s="153"/>
      <c r="B864" s="229"/>
      <c r="C864" s="230"/>
      <c r="D864" s="231"/>
      <c r="E864" s="157"/>
      <c r="F864" s="12"/>
      <c r="G864" s="158"/>
    </row>
    <row r="865">
      <c r="A865" s="153"/>
      <c r="B865" s="229"/>
      <c r="C865" s="230"/>
      <c r="D865" s="231"/>
      <c r="E865" s="157"/>
      <c r="F865" s="12"/>
      <c r="G865" s="158"/>
    </row>
    <row r="866">
      <c r="A866" s="153"/>
      <c r="B866" s="229"/>
      <c r="C866" s="230"/>
      <c r="D866" s="231"/>
      <c r="E866" s="157"/>
      <c r="F866" s="12"/>
      <c r="G866" s="158"/>
    </row>
    <row r="867">
      <c r="A867" s="153"/>
      <c r="B867" s="229"/>
      <c r="C867" s="230"/>
      <c r="D867" s="231"/>
      <c r="E867" s="157"/>
      <c r="F867" s="12"/>
      <c r="G867" s="158"/>
    </row>
    <row r="868">
      <c r="A868" s="153"/>
      <c r="B868" s="229"/>
      <c r="C868" s="230"/>
      <c r="D868" s="231"/>
      <c r="E868" s="157"/>
      <c r="F868" s="12"/>
      <c r="G868" s="158"/>
    </row>
    <row r="869">
      <c r="A869" s="153"/>
      <c r="B869" s="229"/>
      <c r="C869" s="230"/>
      <c r="D869" s="231"/>
      <c r="E869" s="157"/>
      <c r="F869" s="12"/>
      <c r="G869" s="158"/>
    </row>
    <row r="870">
      <c r="A870" s="153"/>
      <c r="B870" s="229"/>
      <c r="C870" s="230"/>
      <c r="D870" s="231"/>
      <c r="E870" s="157"/>
      <c r="F870" s="12"/>
      <c r="G870" s="158"/>
    </row>
    <row r="871">
      <c r="A871" s="153"/>
      <c r="B871" s="229"/>
      <c r="C871" s="230"/>
      <c r="D871" s="231"/>
      <c r="E871" s="157"/>
      <c r="F871" s="12"/>
      <c r="G871" s="158"/>
    </row>
    <row r="872">
      <c r="A872" s="153"/>
      <c r="B872" s="229"/>
      <c r="C872" s="230"/>
      <c r="D872" s="231"/>
      <c r="E872" s="157"/>
      <c r="F872" s="12"/>
      <c r="G872" s="158"/>
    </row>
    <row r="873">
      <c r="A873" s="153"/>
      <c r="B873" s="229"/>
      <c r="C873" s="230"/>
      <c r="D873" s="231"/>
      <c r="E873" s="157"/>
      <c r="F873" s="12"/>
      <c r="G873" s="158"/>
    </row>
    <row r="874">
      <c r="A874" s="153"/>
      <c r="B874" s="229"/>
      <c r="C874" s="230"/>
      <c r="D874" s="231"/>
      <c r="E874" s="157"/>
      <c r="F874" s="12"/>
      <c r="G874" s="158"/>
    </row>
    <row r="875">
      <c r="A875" s="153"/>
      <c r="B875" s="229"/>
      <c r="C875" s="230"/>
      <c r="D875" s="231"/>
      <c r="E875" s="157"/>
      <c r="F875" s="12"/>
      <c r="G875" s="158"/>
    </row>
    <row r="876">
      <c r="A876" s="153"/>
      <c r="B876" s="229"/>
      <c r="C876" s="230"/>
      <c r="D876" s="231"/>
      <c r="E876" s="157"/>
      <c r="F876" s="12"/>
      <c r="G876" s="158"/>
    </row>
    <row r="877">
      <c r="A877" s="153"/>
      <c r="B877" s="229"/>
      <c r="C877" s="230"/>
      <c r="D877" s="231"/>
      <c r="E877" s="157"/>
      <c r="F877" s="12"/>
      <c r="G877" s="158"/>
    </row>
    <row r="878">
      <c r="A878" s="153"/>
      <c r="B878" s="229"/>
      <c r="C878" s="230"/>
      <c r="D878" s="231"/>
      <c r="E878" s="157"/>
      <c r="F878" s="12"/>
      <c r="G878" s="158"/>
    </row>
    <row r="879">
      <c r="A879" s="153"/>
      <c r="B879" s="229"/>
      <c r="C879" s="230"/>
      <c r="D879" s="231"/>
      <c r="E879" s="157"/>
      <c r="F879" s="12"/>
      <c r="G879" s="158"/>
    </row>
    <row r="880">
      <c r="A880" s="153"/>
      <c r="B880" s="229"/>
      <c r="C880" s="230"/>
      <c r="D880" s="231"/>
      <c r="E880" s="157"/>
      <c r="F880" s="12"/>
      <c r="G880" s="158"/>
    </row>
    <row r="881">
      <c r="A881" s="153"/>
      <c r="B881" s="229"/>
      <c r="C881" s="230"/>
      <c r="D881" s="231"/>
      <c r="E881" s="157"/>
      <c r="F881" s="12"/>
      <c r="G881" s="158"/>
    </row>
    <row r="882">
      <c r="A882" s="153"/>
      <c r="B882" s="229"/>
      <c r="C882" s="230"/>
      <c r="D882" s="231"/>
      <c r="E882" s="157"/>
      <c r="F882" s="12"/>
      <c r="G882" s="158"/>
    </row>
    <row r="883">
      <c r="A883" s="153"/>
      <c r="B883" s="229"/>
      <c r="C883" s="230"/>
      <c r="D883" s="231"/>
      <c r="E883" s="157"/>
      <c r="F883" s="12"/>
      <c r="G883" s="158"/>
    </row>
    <row r="884">
      <c r="A884" s="153"/>
      <c r="B884" s="229"/>
      <c r="C884" s="230"/>
      <c r="D884" s="231"/>
      <c r="E884" s="157"/>
      <c r="F884" s="12"/>
      <c r="G884" s="158"/>
    </row>
    <row r="885">
      <c r="A885" s="153"/>
      <c r="B885" s="229"/>
      <c r="C885" s="230"/>
      <c r="D885" s="231"/>
      <c r="E885" s="157"/>
      <c r="F885" s="12"/>
      <c r="G885" s="158"/>
    </row>
    <row r="886">
      <c r="A886" s="153"/>
      <c r="B886" s="229"/>
      <c r="C886" s="230"/>
      <c r="D886" s="231"/>
      <c r="E886" s="157"/>
      <c r="F886" s="12"/>
      <c r="G886" s="158"/>
    </row>
    <row r="887">
      <c r="A887" s="153"/>
      <c r="B887" s="229"/>
      <c r="C887" s="230"/>
      <c r="D887" s="231"/>
      <c r="E887" s="157"/>
      <c r="F887" s="12"/>
      <c r="G887" s="158"/>
    </row>
    <row r="888">
      <c r="A888" s="153"/>
      <c r="B888" s="229"/>
      <c r="C888" s="230"/>
      <c r="D888" s="231"/>
      <c r="E888" s="157"/>
      <c r="F888" s="12"/>
      <c r="G888" s="158"/>
    </row>
    <row r="889">
      <c r="A889" s="153"/>
      <c r="B889" s="229"/>
      <c r="C889" s="230"/>
      <c r="D889" s="231"/>
      <c r="E889" s="157"/>
      <c r="F889" s="12"/>
      <c r="G889" s="158"/>
    </row>
    <row r="890">
      <c r="A890" s="153"/>
      <c r="B890" s="229"/>
      <c r="C890" s="230"/>
      <c r="D890" s="231"/>
      <c r="E890" s="157"/>
      <c r="F890" s="12"/>
      <c r="G890" s="158"/>
    </row>
    <row r="891">
      <c r="A891" s="153"/>
      <c r="B891" s="229"/>
      <c r="C891" s="230"/>
      <c r="D891" s="231"/>
      <c r="E891" s="157"/>
      <c r="F891" s="12"/>
      <c r="G891" s="158"/>
    </row>
    <row r="892">
      <c r="A892" s="153"/>
      <c r="B892" s="229"/>
      <c r="C892" s="230"/>
      <c r="D892" s="231"/>
      <c r="E892" s="157"/>
      <c r="F892" s="12"/>
      <c r="G892" s="158"/>
    </row>
    <row r="893">
      <c r="A893" s="153"/>
      <c r="B893" s="229"/>
      <c r="C893" s="230"/>
      <c r="D893" s="231"/>
      <c r="E893" s="157"/>
      <c r="F893" s="12"/>
      <c r="G893" s="158"/>
    </row>
    <row r="894">
      <c r="A894" s="153"/>
      <c r="B894" s="229"/>
      <c r="C894" s="230"/>
      <c r="D894" s="231"/>
      <c r="E894" s="157"/>
      <c r="F894" s="12"/>
      <c r="G894" s="158"/>
    </row>
    <row r="895">
      <c r="A895" s="153"/>
      <c r="B895" s="229"/>
      <c r="C895" s="230"/>
      <c r="D895" s="231"/>
      <c r="E895" s="157"/>
      <c r="F895" s="12"/>
      <c r="G895" s="158"/>
    </row>
    <row r="896">
      <c r="A896" s="153"/>
      <c r="B896" s="229"/>
      <c r="C896" s="230"/>
      <c r="D896" s="231"/>
      <c r="E896" s="157"/>
      <c r="F896" s="12"/>
      <c r="G896" s="158"/>
    </row>
    <row r="897">
      <c r="A897" s="153"/>
      <c r="B897" s="229"/>
      <c r="C897" s="230"/>
      <c r="D897" s="231"/>
      <c r="E897" s="157"/>
      <c r="F897" s="12"/>
      <c r="G897" s="158"/>
    </row>
    <row r="898">
      <c r="A898" s="153"/>
      <c r="B898" s="229"/>
      <c r="C898" s="230"/>
      <c r="D898" s="231"/>
      <c r="E898" s="157"/>
      <c r="F898" s="12"/>
      <c r="G898" s="158"/>
    </row>
    <row r="899">
      <c r="A899" s="153"/>
      <c r="B899" s="229"/>
      <c r="C899" s="230"/>
      <c r="D899" s="231"/>
      <c r="E899" s="157"/>
      <c r="F899" s="12"/>
      <c r="G899" s="158"/>
    </row>
    <row r="900">
      <c r="A900" s="153"/>
      <c r="B900" s="229"/>
      <c r="C900" s="230"/>
      <c r="D900" s="231"/>
      <c r="E900" s="157"/>
      <c r="F900" s="12"/>
      <c r="G900" s="158"/>
    </row>
    <row r="901">
      <c r="A901" s="153"/>
      <c r="B901" s="229"/>
      <c r="C901" s="230"/>
      <c r="D901" s="231"/>
      <c r="E901" s="157"/>
      <c r="F901" s="12"/>
      <c r="G901" s="158"/>
    </row>
    <row r="902">
      <c r="A902" s="153"/>
      <c r="B902" s="229"/>
      <c r="C902" s="230"/>
      <c r="D902" s="231"/>
      <c r="E902" s="157"/>
      <c r="F902" s="12"/>
      <c r="G902" s="158"/>
    </row>
    <row r="903">
      <c r="A903" s="153"/>
      <c r="B903" s="229"/>
      <c r="C903" s="230"/>
      <c r="D903" s="231"/>
      <c r="E903" s="157"/>
      <c r="F903" s="12"/>
      <c r="G903" s="158"/>
    </row>
    <row r="904">
      <c r="A904" s="153"/>
      <c r="B904" s="229"/>
      <c r="C904" s="230"/>
      <c r="D904" s="231"/>
      <c r="E904" s="157"/>
      <c r="F904" s="12"/>
      <c r="G904" s="158"/>
    </row>
    <row r="905">
      <c r="A905" s="153"/>
      <c r="B905" s="229"/>
      <c r="C905" s="230"/>
      <c r="D905" s="231"/>
      <c r="E905" s="157"/>
      <c r="F905" s="12"/>
      <c r="G905" s="158"/>
    </row>
    <row r="906">
      <c r="A906" s="153"/>
      <c r="B906" s="229"/>
      <c r="C906" s="230"/>
      <c r="D906" s="231"/>
      <c r="E906" s="157"/>
      <c r="F906" s="12"/>
      <c r="G906" s="158"/>
    </row>
    <row r="907">
      <c r="A907" s="153"/>
      <c r="B907" s="229"/>
      <c r="C907" s="230"/>
      <c r="D907" s="231"/>
      <c r="E907" s="157"/>
      <c r="F907" s="12"/>
      <c r="G907" s="158"/>
    </row>
    <row r="908">
      <c r="A908" s="153"/>
      <c r="B908" s="229"/>
      <c r="C908" s="230"/>
      <c r="D908" s="231"/>
      <c r="E908" s="157"/>
      <c r="F908" s="12"/>
      <c r="G908" s="158"/>
    </row>
    <row r="909">
      <c r="A909" s="153"/>
      <c r="B909" s="229"/>
      <c r="C909" s="230"/>
      <c r="D909" s="231"/>
      <c r="E909" s="157"/>
      <c r="F909" s="12"/>
      <c r="G909" s="158"/>
    </row>
    <row r="910">
      <c r="A910" s="153"/>
      <c r="B910" s="229"/>
      <c r="C910" s="230"/>
      <c r="D910" s="231"/>
      <c r="E910" s="157"/>
      <c r="F910" s="12"/>
      <c r="G910" s="158"/>
    </row>
    <row r="911">
      <c r="A911" s="153"/>
      <c r="B911" s="229"/>
      <c r="C911" s="230"/>
      <c r="D911" s="231"/>
      <c r="E911" s="157"/>
      <c r="F911" s="12"/>
      <c r="G911" s="158"/>
    </row>
    <row r="912">
      <c r="A912" s="153"/>
      <c r="B912" s="229"/>
      <c r="C912" s="230"/>
      <c r="D912" s="231"/>
      <c r="E912" s="157"/>
      <c r="F912" s="12"/>
      <c r="G912" s="158"/>
    </row>
    <row r="913">
      <c r="A913" s="153"/>
      <c r="B913" s="229"/>
      <c r="C913" s="230"/>
      <c r="D913" s="231"/>
      <c r="E913" s="157"/>
      <c r="F913" s="12"/>
      <c r="G913" s="158"/>
    </row>
    <row r="914">
      <c r="A914" s="153"/>
      <c r="B914" s="229"/>
      <c r="C914" s="230"/>
      <c r="D914" s="231"/>
      <c r="E914" s="157"/>
      <c r="F914" s="12"/>
      <c r="G914" s="158"/>
    </row>
    <row r="915">
      <c r="A915" s="153"/>
      <c r="B915" s="229"/>
      <c r="C915" s="230"/>
      <c r="D915" s="231"/>
      <c r="E915" s="157"/>
      <c r="F915" s="12"/>
      <c r="G915" s="158"/>
    </row>
    <row r="916">
      <c r="A916" s="153"/>
      <c r="B916" s="229"/>
      <c r="C916" s="230"/>
      <c r="D916" s="231"/>
      <c r="E916" s="157"/>
      <c r="F916" s="12"/>
      <c r="G916" s="158"/>
    </row>
    <row r="917">
      <c r="A917" s="153"/>
      <c r="B917" s="229"/>
      <c r="C917" s="230"/>
      <c r="D917" s="231"/>
      <c r="E917" s="157"/>
      <c r="F917" s="12"/>
      <c r="G917" s="158"/>
    </row>
    <row r="918">
      <c r="A918" s="153"/>
      <c r="B918" s="229"/>
      <c r="C918" s="230"/>
      <c r="D918" s="231"/>
      <c r="E918" s="157"/>
      <c r="F918" s="12"/>
      <c r="G918" s="158"/>
    </row>
    <row r="919">
      <c r="A919" s="153"/>
      <c r="B919" s="229"/>
      <c r="C919" s="230"/>
      <c r="D919" s="231"/>
      <c r="E919" s="157"/>
      <c r="F919" s="12"/>
      <c r="G919" s="158"/>
    </row>
    <row r="920">
      <c r="A920" s="153"/>
      <c r="B920" s="229"/>
      <c r="C920" s="230"/>
      <c r="D920" s="231"/>
      <c r="E920" s="157"/>
      <c r="F920" s="12"/>
      <c r="G920" s="158"/>
    </row>
    <row r="921">
      <c r="A921" s="153"/>
      <c r="B921" s="229"/>
      <c r="C921" s="230"/>
      <c r="D921" s="231"/>
      <c r="E921" s="157"/>
      <c r="F921" s="12"/>
      <c r="G921" s="158"/>
    </row>
    <row r="922">
      <c r="A922" s="153"/>
      <c r="B922" s="229"/>
      <c r="C922" s="230"/>
      <c r="D922" s="231"/>
      <c r="E922" s="157"/>
      <c r="F922" s="12"/>
      <c r="G922" s="158"/>
    </row>
    <row r="923">
      <c r="A923" s="153"/>
      <c r="B923" s="229"/>
      <c r="C923" s="230"/>
      <c r="D923" s="231"/>
      <c r="E923" s="157"/>
      <c r="F923" s="12"/>
      <c r="G923" s="158"/>
    </row>
    <row r="924">
      <c r="A924" s="153"/>
      <c r="B924" s="229"/>
      <c r="C924" s="230"/>
      <c r="D924" s="231"/>
      <c r="E924" s="157"/>
      <c r="F924" s="12"/>
      <c r="G924" s="158"/>
    </row>
    <row r="925">
      <c r="A925" s="153"/>
      <c r="B925" s="229"/>
      <c r="C925" s="230"/>
      <c r="D925" s="231"/>
      <c r="E925" s="157"/>
      <c r="F925" s="12"/>
      <c r="G925" s="158"/>
    </row>
    <row r="926">
      <c r="A926" s="153"/>
      <c r="B926" s="229"/>
      <c r="C926" s="230"/>
      <c r="D926" s="231"/>
      <c r="E926" s="157"/>
      <c r="F926" s="12"/>
      <c r="G926" s="158"/>
    </row>
    <row r="927">
      <c r="A927" s="153"/>
      <c r="B927" s="229"/>
      <c r="C927" s="230"/>
      <c r="D927" s="231"/>
      <c r="E927" s="157"/>
      <c r="F927" s="12"/>
      <c r="G927" s="158"/>
    </row>
    <row r="928">
      <c r="A928" s="153"/>
      <c r="B928" s="229"/>
      <c r="C928" s="230"/>
      <c r="D928" s="231"/>
      <c r="E928" s="157"/>
      <c r="F928" s="12"/>
      <c r="G928" s="158"/>
    </row>
    <row r="929">
      <c r="A929" s="153"/>
      <c r="B929" s="229"/>
      <c r="C929" s="230"/>
      <c r="D929" s="231"/>
      <c r="E929" s="157"/>
      <c r="F929" s="12"/>
      <c r="G929" s="158"/>
    </row>
    <row r="930">
      <c r="A930" s="153"/>
      <c r="B930" s="229"/>
      <c r="C930" s="230"/>
      <c r="D930" s="231"/>
      <c r="E930" s="157"/>
      <c r="F930" s="12"/>
      <c r="G930" s="158"/>
    </row>
    <row r="931">
      <c r="A931" s="153"/>
      <c r="B931" s="229"/>
      <c r="C931" s="230"/>
      <c r="D931" s="231"/>
      <c r="E931" s="157"/>
      <c r="F931" s="12"/>
      <c r="G931" s="158"/>
    </row>
    <row r="932">
      <c r="A932" s="153"/>
      <c r="B932" s="229"/>
      <c r="C932" s="230"/>
      <c r="D932" s="231"/>
      <c r="E932" s="157"/>
      <c r="F932" s="12"/>
      <c r="G932" s="158"/>
    </row>
    <row r="933">
      <c r="A933" s="153"/>
      <c r="B933" s="229"/>
      <c r="C933" s="230"/>
      <c r="D933" s="231"/>
      <c r="E933" s="157"/>
      <c r="F933" s="12"/>
      <c r="G933" s="158"/>
    </row>
    <row r="934">
      <c r="A934" s="153"/>
      <c r="B934" s="229"/>
      <c r="C934" s="230"/>
      <c r="D934" s="231"/>
      <c r="E934" s="157"/>
      <c r="F934" s="12"/>
      <c r="G934" s="158"/>
    </row>
    <row r="935">
      <c r="A935" s="153"/>
      <c r="B935" s="229"/>
      <c r="C935" s="230"/>
      <c r="D935" s="231"/>
      <c r="E935" s="157"/>
      <c r="F935" s="12"/>
      <c r="G935" s="158"/>
    </row>
    <row r="936">
      <c r="A936" s="153"/>
      <c r="B936" s="229"/>
      <c r="C936" s="230"/>
      <c r="D936" s="231"/>
      <c r="E936" s="157"/>
      <c r="F936" s="12"/>
      <c r="G936" s="158"/>
    </row>
    <row r="937">
      <c r="A937" s="153"/>
      <c r="B937" s="229"/>
      <c r="C937" s="230"/>
      <c r="D937" s="231"/>
      <c r="E937" s="157"/>
      <c r="F937" s="12"/>
      <c r="G937" s="158"/>
    </row>
    <row r="938">
      <c r="A938" s="153"/>
      <c r="B938" s="229"/>
      <c r="C938" s="230"/>
      <c r="D938" s="231"/>
      <c r="E938" s="157"/>
      <c r="F938" s="12"/>
      <c r="G938" s="158"/>
    </row>
    <row r="939">
      <c r="A939" s="153"/>
      <c r="B939" s="229"/>
      <c r="C939" s="230"/>
      <c r="D939" s="231"/>
      <c r="E939" s="157"/>
      <c r="F939" s="12"/>
      <c r="G939" s="158"/>
    </row>
    <row r="940">
      <c r="A940" s="153"/>
      <c r="B940" s="229"/>
      <c r="C940" s="230"/>
      <c r="D940" s="231"/>
      <c r="E940" s="157"/>
      <c r="F940" s="12"/>
      <c r="G940" s="158"/>
    </row>
    <row r="941">
      <c r="A941" s="153"/>
      <c r="B941" s="229"/>
      <c r="C941" s="230"/>
      <c r="D941" s="231"/>
      <c r="E941" s="157"/>
      <c r="F941" s="12"/>
      <c r="G941" s="158"/>
    </row>
    <row r="942">
      <c r="A942" s="153"/>
      <c r="B942" s="229"/>
      <c r="C942" s="230"/>
      <c r="D942" s="231"/>
      <c r="E942" s="157"/>
      <c r="F942" s="12"/>
      <c r="G942" s="158"/>
    </row>
    <row r="943">
      <c r="A943" s="153"/>
      <c r="B943" s="229"/>
      <c r="C943" s="230"/>
      <c r="D943" s="231"/>
      <c r="E943" s="157"/>
      <c r="F943" s="12"/>
      <c r="G943" s="158"/>
    </row>
    <row r="944">
      <c r="A944" s="153"/>
      <c r="B944" s="229"/>
      <c r="C944" s="230"/>
      <c r="D944" s="231"/>
      <c r="E944" s="157"/>
      <c r="F944" s="12"/>
      <c r="G944" s="158"/>
    </row>
    <row r="945">
      <c r="A945" s="153"/>
      <c r="B945" s="229"/>
      <c r="C945" s="230"/>
      <c r="D945" s="231"/>
      <c r="E945" s="157"/>
      <c r="F945" s="12"/>
      <c r="G945" s="158"/>
    </row>
    <row r="946">
      <c r="A946" s="153"/>
      <c r="B946" s="229"/>
      <c r="C946" s="230"/>
      <c r="D946" s="231"/>
      <c r="E946" s="157"/>
      <c r="F946" s="12"/>
      <c r="G946" s="158"/>
    </row>
    <row r="947">
      <c r="A947" s="153"/>
      <c r="B947" s="229"/>
      <c r="C947" s="230"/>
      <c r="D947" s="231"/>
      <c r="E947" s="157"/>
      <c r="F947" s="12"/>
      <c r="G947" s="158"/>
    </row>
    <row r="948">
      <c r="A948" s="153"/>
      <c r="B948" s="229"/>
      <c r="C948" s="230"/>
      <c r="D948" s="231"/>
      <c r="E948" s="157"/>
      <c r="F948" s="12"/>
      <c r="G948" s="158"/>
    </row>
    <row r="949">
      <c r="A949" s="153"/>
      <c r="B949" s="229"/>
      <c r="C949" s="230"/>
      <c r="D949" s="231"/>
      <c r="E949" s="157"/>
      <c r="F949" s="12"/>
      <c r="G949" s="158"/>
    </row>
    <row r="950">
      <c r="A950" s="153"/>
      <c r="B950" s="229"/>
      <c r="C950" s="230"/>
      <c r="D950" s="231"/>
      <c r="E950" s="157"/>
      <c r="F950" s="12"/>
      <c r="G950" s="158"/>
    </row>
    <row r="951">
      <c r="A951" s="153"/>
      <c r="B951" s="229"/>
      <c r="C951" s="230"/>
      <c r="D951" s="231"/>
      <c r="E951" s="157"/>
      <c r="F951" s="12"/>
      <c r="G951" s="158"/>
    </row>
    <row r="952">
      <c r="A952" s="153"/>
      <c r="B952" s="229"/>
      <c r="C952" s="230"/>
      <c r="D952" s="231"/>
      <c r="E952" s="157"/>
      <c r="F952" s="12"/>
      <c r="G952" s="158"/>
    </row>
    <row r="953">
      <c r="A953" s="153"/>
      <c r="B953" s="229"/>
      <c r="C953" s="230"/>
      <c r="D953" s="231"/>
      <c r="E953" s="157"/>
      <c r="F953" s="12"/>
      <c r="G953" s="158"/>
    </row>
    <row r="954">
      <c r="A954" s="153"/>
      <c r="B954" s="229"/>
      <c r="C954" s="230"/>
      <c r="D954" s="231"/>
      <c r="E954" s="157"/>
      <c r="F954" s="12"/>
      <c r="G954" s="158"/>
    </row>
    <row r="955">
      <c r="A955" s="153"/>
      <c r="B955" s="229"/>
      <c r="C955" s="230"/>
      <c r="D955" s="231"/>
      <c r="E955" s="157"/>
      <c r="F955" s="12"/>
      <c r="G955" s="158"/>
    </row>
    <row r="956">
      <c r="A956" s="153"/>
      <c r="B956" s="229"/>
      <c r="C956" s="230"/>
      <c r="D956" s="231"/>
      <c r="E956" s="157"/>
      <c r="F956" s="12"/>
      <c r="G956" s="158"/>
    </row>
    <row r="957">
      <c r="A957" s="153"/>
      <c r="B957" s="229"/>
      <c r="C957" s="230"/>
      <c r="D957" s="231"/>
      <c r="E957" s="157"/>
      <c r="F957" s="12"/>
      <c r="G957" s="158"/>
    </row>
    <row r="958">
      <c r="A958" s="153"/>
      <c r="B958" s="229"/>
      <c r="C958" s="230"/>
      <c r="D958" s="231"/>
      <c r="E958" s="157"/>
      <c r="F958" s="12"/>
      <c r="G958" s="158"/>
    </row>
    <row r="959">
      <c r="A959" s="153"/>
      <c r="B959" s="229"/>
      <c r="C959" s="230"/>
      <c r="D959" s="231"/>
      <c r="E959" s="157"/>
      <c r="F959" s="12"/>
      <c r="G959" s="158"/>
    </row>
    <row r="960">
      <c r="A960" s="153"/>
      <c r="B960" s="229"/>
      <c r="C960" s="230"/>
      <c r="D960" s="231"/>
      <c r="E960" s="157"/>
      <c r="F960" s="12"/>
      <c r="G960" s="158"/>
    </row>
    <row r="961">
      <c r="A961" s="153"/>
      <c r="B961" s="229"/>
      <c r="C961" s="230"/>
      <c r="D961" s="231"/>
      <c r="E961" s="157"/>
      <c r="F961" s="12"/>
      <c r="G961" s="158"/>
    </row>
    <row r="962">
      <c r="A962" s="153"/>
      <c r="B962" s="229"/>
      <c r="C962" s="230"/>
      <c r="D962" s="231"/>
      <c r="E962" s="157"/>
      <c r="F962" s="12"/>
      <c r="G962" s="158"/>
    </row>
    <row r="963">
      <c r="A963" s="153"/>
      <c r="B963" s="229"/>
      <c r="C963" s="230"/>
      <c r="D963" s="231"/>
      <c r="E963" s="157"/>
      <c r="F963" s="12"/>
      <c r="G963" s="158"/>
    </row>
    <row r="964">
      <c r="A964" s="153"/>
      <c r="B964" s="229"/>
      <c r="C964" s="230"/>
      <c r="D964" s="231"/>
      <c r="E964" s="157"/>
      <c r="F964" s="12"/>
      <c r="G964" s="158"/>
    </row>
    <row r="965">
      <c r="A965" s="153"/>
      <c r="B965" s="229"/>
      <c r="C965" s="230"/>
      <c r="D965" s="231"/>
      <c r="E965" s="157"/>
      <c r="F965" s="12"/>
      <c r="G965" s="158"/>
    </row>
    <row r="966">
      <c r="A966" s="153"/>
      <c r="B966" s="229"/>
      <c r="C966" s="230"/>
      <c r="D966" s="231"/>
      <c r="E966" s="157"/>
      <c r="F966" s="12"/>
      <c r="G966" s="158"/>
    </row>
    <row r="967">
      <c r="A967" s="153"/>
      <c r="B967" s="229"/>
      <c r="C967" s="230"/>
      <c r="D967" s="231"/>
      <c r="E967" s="157"/>
      <c r="F967" s="12"/>
      <c r="G967" s="158"/>
    </row>
    <row r="968">
      <c r="A968" s="153"/>
      <c r="B968" s="229"/>
      <c r="C968" s="230"/>
      <c r="D968" s="231"/>
      <c r="E968" s="157"/>
      <c r="F968" s="12"/>
      <c r="G968" s="158"/>
    </row>
    <row r="969">
      <c r="A969" s="153"/>
      <c r="B969" s="229"/>
      <c r="C969" s="230"/>
      <c r="D969" s="231"/>
      <c r="E969" s="157"/>
      <c r="F969" s="12"/>
      <c r="G969" s="158"/>
    </row>
    <row r="970">
      <c r="A970" s="153"/>
      <c r="B970" s="229"/>
      <c r="C970" s="230"/>
      <c r="D970" s="231"/>
      <c r="E970" s="157"/>
      <c r="F970" s="12"/>
      <c r="G970" s="158"/>
    </row>
    <row r="971">
      <c r="A971" s="153"/>
      <c r="B971" s="229"/>
      <c r="C971" s="230"/>
      <c r="D971" s="231"/>
      <c r="E971" s="157"/>
      <c r="F971" s="12"/>
      <c r="G971" s="158"/>
    </row>
    <row r="972">
      <c r="A972" s="153"/>
      <c r="B972" s="229"/>
      <c r="C972" s="230"/>
      <c r="D972" s="231"/>
      <c r="E972" s="157"/>
      <c r="F972" s="12"/>
      <c r="G972" s="158"/>
    </row>
    <row r="973">
      <c r="A973" s="153"/>
      <c r="B973" s="229"/>
      <c r="C973" s="230"/>
      <c r="D973" s="231"/>
      <c r="E973" s="157"/>
      <c r="F973" s="12"/>
      <c r="G973" s="158"/>
    </row>
    <row r="974">
      <c r="A974" s="153"/>
      <c r="B974" s="229"/>
      <c r="C974" s="230"/>
      <c r="D974" s="231"/>
      <c r="E974" s="157"/>
      <c r="F974" s="12"/>
      <c r="G974" s="158"/>
    </row>
    <row r="975">
      <c r="A975" s="153"/>
      <c r="B975" s="229"/>
      <c r="C975" s="230"/>
      <c r="D975" s="231"/>
      <c r="E975" s="157"/>
      <c r="F975" s="12"/>
      <c r="G975" s="158"/>
    </row>
    <row r="976">
      <c r="A976" s="153"/>
      <c r="B976" s="229"/>
      <c r="C976" s="230"/>
      <c r="D976" s="231"/>
      <c r="E976" s="157"/>
      <c r="F976" s="12"/>
      <c r="G976" s="158"/>
    </row>
    <row r="977">
      <c r="A977" s="153"/>
      <c r="B977" s="229"/>
      <c r="C977" s="230"/>
      <c r="D977" s="231"/>
      <c r="E977" s="157"/>
      <c r="F977" s="12"/>
      <c r="G977" s="158"/>
    </row>
    <row r="978">
      <c r="A978" s="153"/>
      <c r="B978" s="229"/>
      <c r="C978" s="230"/>
      <c r="D978" s="231"/>
      <c r="E978" s="157"/>
      <c r="F978" s="12"/>
      <c r="G978" s="158"/>
    </row>
    <row r="979">
      <c r="A979" s="153"/>
      <c r="B979" s="229"/>
      <c r="C979" s="230"/>
      <c r="D979" s="231"/>
      <c r="E979" s="157"/>
      <c r="F979" s="12"/>
      <c r="G979" s="158"/>
    </row>
    <row r="980">
      <c r="A980" s="153"/>
      <c r="B980" s="229"/>
      <c r="C980" s="230"/>
      <c r="D980" s="231"/>
      <c r="E980" s="157"/>
      <c r="F980" s="12"/>
      <c r="G980" s="158"/>
    </row>
    <row r="981">
      <c r="A981" s="153"/>
      <c r="B981" s="229"/>
      <c r="C981" s="230"/>
      <c r="D981" s="231"/>
      <c r="E981" s="157"/>
      <c r="F981" s="12"/>
      <c r="G981" s="158"/>
    </row>
    <row r="982">
      <c r="A982" s="153"/>
      <c r="B982" s="229"/>
      <c r="C982" s="230"/>
      <c r="D982" s="231"/>
      <c r="E982" s="157"/>
      <c r="F982" s="12"/>
      <c r="G982" s="158"/>
    </row>
    <row r="983">
      <c r="A983" s="153"/>
      <c r="B983" s="229"/>
      <c r="C983" s="230"/>
      <c r="D983" s="231"/>
      <c r="E983" s="157"/>
      <c r="F983" s="12"/>
      <c r="G983" s="158"/>
    </row>
    <row r="984">
      <c r="A984" s="153"/>
      <c r="B984" s="229"/>
      <c r="C984" s="230"/>
      <c r="D984" s="231"/>
      <c r="E984" s="157"/>
      <c r="F984" s="12"/>
      <c r="G984" s="158"/>
    </row>
    <row r="985">
      <c r="A985" s="153"/>
      <c r="B985" s="229"/>
      <c r="C985" s="230"/>
      <c r="D985" s="231"/>
      <c r="E985" s="157"/>
      <c r="F985" s="12"/>
      <c r="G985" s="158"/>
    </row>
    <row r="986">
      <c r="A986" s="153"/>
      <c r="B986" s="229"/>
      <c r="C986" s="230"/>
      <c r="D986" s="231"/>
      <c r="E986" s="157"/>
      <c r="F986" s="12"/>
      <c r="G986" s="158"/>
    </row>
    <row r="987">
      <c r="A987" s="153"/>
      <c r="B987" s="229"/>
      <c r="C987" s="230"/>
      <c r="D987" s="231"/>
      <c r="E987" s="157"/>
      <c r="F987" s="12"/>
      <c r="G987" s="158"/>
    </row>
    <row r="988">
      <c r="A988" s="153"/>
      <c r="B988" s="229"/>
      <c r="C988" s="230"/>
      <c r="D988" s="231"/>
      <c r="E988" s="157"/>
      <c r="F988" s="12"/>
      <c r="G988" s="158"/>
    </row>
    <row r="989">
      <c r="A989" s="153"/>
      <c r="B989" s="229"/>
      <c r="C989" s="230"/>
      <c r="D989" s="231"/>
      <c r="E989" s="157"/>
      <c r="F989" s="12"/>
      <c r="G989" s="158"/>
    </row>
    <row r="990">
      <c r="A990" s="153"/>
      <c r="B990" s="229"/>
      <c r="C990" s="230"/>
      <c r="D990" s="231"/>
      <c r="E990" s="157"/>
      <c r="F990" s="12"/>
      <c r="G990" s="158"/>
    </row>
    <row r="991">
      <c r="A991" s="153"/>
      <c r="B991" s="229"/>
      <c r="C991" s="230"/>
      <c r="D991" s="231"/>
      <c r="E991" s="157"/>
      <c r="F991" s="12"/>
      <c r="G991" s="158"/>
    </row>
    <row r="992">
      <c r="A992" s="153"/>
      <c r="B992" s="229"/>
      <c r="C992" s="230"/>
      <c r="D992" s="231"/>
      <c r="E992" s="157"/>
      <c r="F992" s="12"/>
      <c r="G992" s="158"/>
    </row>
    <row r="993">
      <c r="A993" s="153"/>
      <c r="B993" s="229"/>
      <c r="C993" s="230"/>
      <c r="D993" s="231"/>
      <c r="E993" s="157"/>
      <c r="F993" s="12"/>
      <c r="G993" s="158"/>
    </row>
    <row r="994">
      <c r="A994" s="153"/>
      <c r="B994" s="229"/>
      <c r="C994" s="230"/>
      <c r="D994" s="231"/>
      <c r="E994" s="157"/>
      <c r="F994" s="12"/>
      <c r="G994" s="158"/>
    </row>
    <row r="995">
      <c r="A995" s="153"/>
      <c r="B995" s="229"/>
      <c r="C995" s="230"/>
      <c r="D995" s="231"/>
      <c r="E995" s="157"/>
      <c r="F995" s="12"/>
      <c r="G995" s="158"/>
    </row>
    <row r="996">
      <c r="A996" s="153"/>
      <c r="B996" s="229"/>
      <c r="C996" s="230"/>
      <c r="D996" s="231"/>
      <c r="E996" s="157"/>
      <c r="F996" s="12"/>
      <c r="G996" s="158"/>
    </row>
    <row r="997">
      <c r="A997" s="153"/>
      <c r="B997" s="229"/>
      <c r="C997" s="230"/>
      <c r="D997" s="231"/>
      <c r="E997" s="157"/>
      <c r="F997" s="12"/>
      <c r="G997" s="158"/>
    </row>
    <row r="998">
      <c r="A998" s="153"/>
      <c r="B998" s="229"/>
      <c r="C998" s="230"/>
      <c r="D998" s="231"/>
      <c r="E998" s="157"/>
      <c r="F998" s="12"/>
      <c r="G998" s="158"/>
    </row>
    <row r="999">
      <c r="A999" s="153"/>
      <c r="B999" s="229"/>
      <c r="C999" s="230"/>
      <c r="D999" s="231"/>
      <c r="E999" s="157"/>
      <c r="F999" s="12"/>
      <c r="G999" s="158"/>
    </row>
    <row r="1000">
      <c r="A1000" s="153"/>
      <c r="B1000" s="229"/>
      <c r="C1000" s="230"/>
      <c r="D1000" s="231"/>
      <c r="E1000" s="157"/>
      <c r="F1000" s="12"/>
      <c r="G1000" s="158"/>
    </row>
    <row r="1001">
      <c r="A1001" s="153"/>
      <c r="B1001" s="229"/>
      <c r="C1001" s="230"/>
      <c r="D1001" s="231"/>
      <c r="E1001" s="157"/>
      <c r="F1001" s="12"/>
      <c r="G1001" s="158"/>
    </row>
    <row r="1002">
      <c r="A1002" s="153"/>
      <c r="B1002" s="229"/>
      <c r="C1002" s="230"/>
      <c r="D1002" s="231"/>
      <c r="E1002" s="157"/>
      <c r="F1002" s="12"/>
      <c r="G1002" s="158"/>
    </row>
    <row r="1003">
      <c r="A1003" s="153"/>
      <c r="B1003" s="229"/>
      <c r="C1003" s="230"/>
      <c r="D1003" s="231"/>
      <c r="E1003" s="157"/>
      <c r="F1003" s="12"/>
      <c r="G1003" s="158"/>
    </row>
    <row r="1004">
      <c r="A1004" s="153"/>
      <c r="B1004" s="229"/>
      <c r="C1004" s="230"/>
      <c r="D1004" s="231"/>
      <c r="E1004" s="157"/>
      <c r="F1004" s="12"/>
      <c r="G1004" s="158"/>
    </row>
    <row r="1005">
      <c r="A1005" s="153"/>
      <c r="B1005" s="229"/>
      <c r="C1005" s="230"/>
      <c r="D1005" s="231"/>
      <c r="E1005" s="157"/>
      <c r="F1005" s="12"/>
      <c r="G1005" s="158"/>
    </row>
    <row r="1006">
      <c r="A1006" s="153"/>
      <c r="B1006" s="229"/>
      <c r="C1006" s="230"/>
      <c r="D1006" s="231"/>
      <c r="E1006" s="157"/>
      <c r="F1006" s="12"/>
      <c r="G1006" s="158"/>
    </row>
    <row r="1007">
      <c r="A1007" s="153"/>
      <c r="B1007" s="229"/>
      <c r="C1007" s="230"/>
      <c r="D1007" s="231"/>
      <c r="E1007" s="157"/>
      <c r="F1007" s="12"/>
      <c r="G1007" s="158"/>
    </row>
    <row r="1008">
      <c r="A1008" s="153"/>
      <c r="B1008" s="229"/>
      <c r="C1008" s="230"/>
      <c r="D1008" s="231"/>
      <c r="E1008" s="157"/>
      <c r="F1008" s="12"/>
      <c r="G1008" s="158"/>
    </row>
  </sheetData>
  <mergeCells count="41">
    <mergeCell ref="I26:I28"/>
    <mergeCell ref="I29:I35"/>
    <mergeCell ref="I10:I14"/>
    <mergeCell ref="I15:I18"/>
    <mergeCell ref="I20:I22"/>
    <mergeCell ref="I23:I25"/>
    <mergeCell ref="A27:D27"/>
    <mergeCell ref="A28:D28"/>
    <mergeCell ref="A29:D29"/>
    <mergeCell ref="A30:D30"/>
    <mergeCell ref="A31:D31"/>
    <mergeCell ref="A32:D32"/>
    <mergeCell ref="A33:D33"/>
    <mergeCell ref="A34:D34"/>
    <mergeCell ref="A35:D35"/>
    <mergeCell ref="A36:D36"/>
    <mergeCell ref="A37:D37"/>
    <mergeCell ref="A38:D38"/>
    <mergeCell ref="A39:D39"/>
    <mergeCell ref="A40:D40"/>
    <mergeCell ref="A41:D41"/>
    <mergeCell ref="A42:D42"/>
    <mergeCell ref="A43:D43"/>
    <mergeCell ref="A44:D44"/>
    <mergeCell ref="A45:D45"/>
    <mergeCell ref="A46:D46"/>
    <mergeCell ref="A47:D47"/>
    <mergeCell ref="A48:D48"/>
    <mergeCell ref="A49:D49"/>
    <mergeCell ref="A50:D50"/>
    <mergeCell ref="A58:D58"/>
    <mergeCell ref="A59:D59"/>
    <mergeCell ref="A60:D60"/>
    <mergeCell ref="A61:D61"/>
    <mergeCell ref="A51:D51"/>
    <mergeCell ref="A52:D52"/>
    <mergeCell ref="A53:D53"/>
    <mergeCell ref="A54:D54"/>
    <mergeCell ref="A55:D55"/>
    <mergeCell ref="A56:D56"/>
    <mergeCell ref="A57:D57"/>
  </mergeCells>
  <conditionalFormatting sqref="B9:D24 E19">
    <cfRule type="expression" dxfId="13" priority="1">
      <formula>$A9="Yes!"</formula>
    </cfRule>
  </conditionalFormatting>
  <conditionalFormatting sqref="A9:A24">
    <cfRule type="containsText" dxfId="15" priority="2" operator="containsText" text="Yes">
      <formula>NOT(ISERROR(SEARCH(("Yes"),(A9))))</formula>
    </cfRule>
  </conditionalFormatting>
  <conditionalFormatting sqref="A9:A24">
    <cfRule type="containsText" dxfId="14" priority="3" operator="containsText" text="No">
      <formula>NOT(ISERROR(SEARCH(("No"),(A9))))</formula>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EAD3"/>
    <outlinePr summaryBelow="0" summaryRight="0"/>
  </sheetPr>
  <sheetViews>
    <sheetView workbookViewId="0"/>
  </sheetViews>
  <sheetFormatPr customHeight="1" defaultColWidth="12.63" defaultRowHeight="15.75"/>
  <cols>
    <col customWidth="1" min="1" max="1" width="21.38"/>
    <col customWidth="1" min="2" max="2" width="15.13"/>
    <col customWidth="1" min="3" max="3" width="68.75"/>
    <col customWidth="1" min="4" max="4" width="9.0"/>
    <col customWidth="1" min="10" max="10" width="11.0"/>
  </cols>
  <sheetData>
    <row r="1">
      <c r="A1" s="313" t="str">
        <f>IFERROR(__xludf.DUMMYFUNCTION("IMPORTRANGE(""https://docs.google.com/spreadsheets/d/1PPFix0KE5FV0_ekB8X93l4fBTTlhI3_4FnP7klgfg_Y/edit?gid=0#gid=0"", ""Glendeep!a1:f100"")"),"GLENDEEP")</f>
        <v>GLENDEEP</v>
      </c>
      <c r="B1" s="306"/>
      <c r="C1" s="307" t="str">
        <f>IFERROR(__xludf.DUMMYFUNCTION("""COMPUTED_VALUE"""),"Gloucester (Brian Neff)")</f>
        <v>Gloucester (Brian Neff)</v>
      </c>
      <c r="D1" s="308"/>
      <c r="E1" s="308"/>
      <c r="F1" s="312"/>
      <c r="G1" s="312"/>
      <c r="H1" s="312"/>
      <c r="I1" s="312"/>
      <c r="J1" s="312"/>
      <c r="K1" s="308"/>
      <c r="L1" s="308"/>
      <c r="M1" s="308"/>
      <c r="N1" s="308"/>
      <c r="O1" s="308"/>
      <c r="P1" s="308"/>
      <c r="Q1" s="308"/>
      <c r="R1" s="308"/>
      <c r="S1" s="308"/>
      <c r="T1" s="308"/>
      <c r="U1" s="308"/>
      <c r="V1" s="308"/>
      <c r="W1" s="308"/>
      <c r="X1" s="308"/>
      <c r="Y1" s="308"/>
    </row>
    <row r="2">
      <c r="A2" s="214"/>
      <c r="B2" s="12"/>
      <c r="C2" s="137"/>
      <c r="D2" s="214"/>
      <c r="E2" s="260" t="str">
        <f>IFERROR(__xludf.DUMMYFUNCTION("""COMPUTED_VALUE"""),"Caster")</f>
        <v>Caster</v>
      </c>
      <c r="F2" s="214" t="str">
        <f>IFERROR(__xludf.DUMMYFUNCTION("""COMPUTED_VALUE"""),"Hiram; caster hat, deep blue cloak")</f>
        <v>Hiram; caster hat, deep blue cloak</v>
      </c>
    </row>
    <row r="3">
      <c r="A3" s="262" t="str">
        <f>IFERROR(__xludf.DUMMYFUNCTION("""COMPUTED_VALUE"""),"PARTY PATH")</f>
        <v>PARTY PATH</v>
      </c>
      <c r="B3" s="12"/>
      <c r="C3" s="137"/>
      <c r="D3" s="214"/>
      <c r="E3" s="260" t="str">
        <f>IFERROR(__xludf.DUMMYFUNCTION("""COMPUTED_VALUE"""),"Keeper")</f>
        <v>Keeper</v>
      </c>
      <c r="F3" s="214" t="str">
        <f>IFERROR(__xludf.DUMMYFUNCTION("""COMPUTED_VALUE"""),"Dag; courderoy cloak")</f>
        <v>Dag; courderoy cloak</v>
      </c>
    </row>
    <row r="4">
      <c r="A4" s="8" t="str">
        <f>IFERROR(__xludf.DUMMYFUNCTION("""COMPUTED_VALUE"""),"Character")</f>
        <v>Character</v>
      </c>
      <c r="B4" s="86" t="str">
        <f>IFERROR(__xludf.DUMMYFUNCTION("""COMPUTED_VALUE"""),"Gave Item/Info")</f>
        <v>Gave Item/Info</v>
      </c>
      <c r="C4" s="263" t="str">
        <f>IFERROR(__xludf.DUMMYFUNCTION("""COMPUTED_VALUE"""),"Notes")</f>
        <v>Notes</v>
      </c>
      <c r="D4" s="214"/>
      <c r="E4" s="260" t="str">
        <f>IFERROR(__xludf.DUMMYFUNCTION("""COMPUTED_VALUE"""),"Maker")</f>
        <v>Maker</v>
      </c>
      <c r="F4" s="214" t="str">
        <f>IFERROR(__xludf.DUMMYFUNCTION("""COMPUTED_VALUE"""),"Twonaps; chainmail print shirt")</f>
        <v>Twonaps; chainmail print shirt</v>
      </c>
    </row>
    <row r="5">
      <c r="A5" s="32" t="str">
        <f>IFERROR(__xludf.DUMMYFUNCTION("""COMPUTED_VALUE"""),"Celeste Wilde")</f>
        <v>Celeste Wilde</v>
      </c>
      <c r="B5" s="48" t="b">
        <f>IFERROR(__xludf.DUMMYFUNCTION("""COMPUTED_VALUE"""),TRUE)</f>
        <v>1</v>
      </c>
      <c r="C5" s="138" t="str">
        <f>IFERROR(__xludf.DUMMYFUNCTION("""COMPUTED_VALUE"""),"Intro-ed to Gloucester, and talked about Baronness Adina Valerius (EL)")</f>
        <v>Intro-ed to Gloucester, and talked about Baronness Adina Valerius (EL)</v>
      </c>
      <c r="D5" s="214"/>
      <c r="E5" s="260" t="str">
        <f>IFERROR(__xludf.DUMMYFUNCTION("""COMPUTED_VALUE"""),"Ranger")</f>
        <v>Ranger</v>
      </c>
      <c r="F5" s="214" t="str">
        <f>IFERROR(__xludf.DUMMYFUNCTION("""COMPUTED_VALUE"""),"Blackcloud; Glendeep tabard")</f>
        <v>Blackcloud; Glendeep tabard</v>
      </c>
    </row>
    <row r="6">
      <c r="A6" s="32" t="str">
        <f>IFERROR(__xludf.DUMMYFUNCTION("""COMPUTED_VALUE"""),"Adina Valerius")</f>
        <v>Adina Valerius</v>
      </c>
      <c r="B6" s="48" t="b">
        <f>IFERROR(__xludf.DUMMYFUNCTION("""COMPUTED_VALUE"""),TRUE)</f>
        <v>1</v>
      </c>
      <c r="C6" s="222" t="str">
        <f>IFERROR(__xludf.DUMMYFUNCTION("""COMPUTED_VALUE"""),"Were reluctant to divulge the reason for the mission. I kept after them until they explained everything. I spoke at length with Hyram, There are many good people who will help you if they can, but you will need to trust. It was touching. They gave me a br"&amp;"acelet to thank me. (JP)")</f>
        <v>Were reluctant to divulge the reason for the mission. I kept after them until they explained everything. I spoke at length with Hyram, There are many good people who will help you if they can, but you will need to trust. It was touching. They gave me a bracelet to thank me. (JP)</v>
      </c>
      <c r="D6" s="214"/>
      <c r="E6" s="260" t="str">
        <f>IFERROR(__xludf.DUMMYFUNCTION("""COMPUTED_VALUE"""),"Seeker")</f>
        <v>Seeker</v>
      </c>
      <c r="F6" s="214" t="str">
        <f>IFERROR(__xludf.DUMMYFUNCTION("""COMPUTED_VALUE"""),"Loch; net shawl")</f>
        <v>Loch; net shawl</v>
      </c>
    </row>
    <row r="7">
      <c r="A7" s="32" t="str">
        <f>IFERROR(__xludf.DUMMYFUNCTION("""COMPUTED_VALUE"""),"Kora Peacekeeper")</f>
        <v>Kora Peacekeeper</v>
      </c>
      <c r="B7" s="12" t="b">
        <f>IFERROR(__xludf.DUMMYFUNCTION("""COMPUTED_VALUE"""),TRUE)</f>
        <v>1</v>
      </c>
      <c r="C7" s="138" t="str">
        <f>IFERROR(__xludf.DUMMYFUNCTION("""COMPUTED_VALUE"""),"Took to Makai camp to meet Kemma Runereader (CL)")</f>
        <v>Took to Makai camp to meet Kemma Runereader (CL)</v>
      </c>
      <c r="D7" s="214"/>
      <c r="E7" s="260" t="str">
        <f>IFERROR(__xludf.DUMMYFUNCTION("""COMPUTED_VALUE"""),"Traveler")</f>
        <v>Traveler</v>
      </c>
      <c r="F7" s="214" t="str">
        <f>IFERROR(__xludf.DUMMYFUNCTION("""COMPUTED_VALUE"""),"Lock, Blackcloud, Kees (Kiiis)")</f>
        <v>Lock, Blackcloud, Kees (Kiiis)</v>
      </c>
    </row>
    <row r="8">
      <c r="A8" s="32" t="str">
        <f>IFERROR(__xludf.DUMMYFUNCTION("""COMPUTED_VALUE"""),"Kemma Runereader")</f>
        <v>Kemma Runereader</v>
      </c>
      <c r="B8" s="48" t="b">
        <f>IFERROR(__xludf.DUMMYFUNCTION("""COMPUTED_VALUE"""),TRUE)</f>
        <v>1</v>
      </c>
      <c r="C8" s="138" t="str">
        <f>IFERROR(__xludf.DUMMYFUNCTION("""COMPUTED_VALUE"""),"Cup of Insight Ritual - also read runes about sick child - candle, snowflake, owl with a moon (EC)")</f>
        <v>Cup of Insight Ritual - also read runes about sick child - candle, snowflake, owl with a moon (EC)</v>
      </c>
      <c r="D8" s="214"/>
      <c r="E8" s="214"/>
      <c r="F8" s="214"/>
    </row>
    <row r="9">
      <c r="A9" s="32" t="str">
        <f>IFERROR(__xludf.DUMMYFUNCTION("""COMPUTED_VALUE"""),"Karla Smirch")</f>
        <v>Karla Smirch</v>
      </c>
      <c r="B9" s="48" t="b">
        <f>IFERROR(__xludf.DUMMYFUNCTION("""COMPUTED_VALUE"""),TRUE)</f>
        <v>1</v>
      </c>
      <c r="C9" s="222"/>
      <c r="D9" s="214"/>
      <c r="E9" s="214"/>
      <c r="F9" s="214"/>
    </row>
    <row r="10">
      <c r="A10" s="32" t="str">
        <f>IFERROR(__xludf.DUMMYFUNCTION("""COMPUTED_VALUE"""),"Poppy Golden")</f>
        <v>Poppy Golden</v>
      </c>
      <c r="B10" s="48" t="b">
        <f>IFERROR(__xludf.DUMMYFUNCTION("""COMPUTED_VALUE"""),TRUE)</f>
        <v>1</v>
      </c>
      <c r="C10" s="138" t="str">
        <f>IFERROR(__xludf.DUMMYFUNCTION("""COMPUTED_VALUE"""),"Came during the court of mirrors challenge when Poppy was busy with another party. Adina handled the ""transfer"" (LH)")</f>
        <v>Came during the court of mirrors challenge when Poppy was busy with another party. Adina handled the "transfer" (LH)</v>
      </c>
      <c r="D10" s="214"/>
      <c r="E10" s="214"/>
      <c r="F10" s="214"/>
    </row>
    <row r="11">
      <c r="A11" s="32" t="str">
        <f>IFERROR(__xludf.DUMMYFUNCTION("""COMPUTED_VALUE"""),"Pansy Golden (Don't Give Item)")</f>
        <v>Pansy Golden (Don't Give Item)</v>
      </c>
      <c r="B11" s="48" t="b">
        <f>IFERROR(__xludf.DUMMYFUNCTION("""COMPUTED_VALUE"""),TRUE)</f>
        <v>1</v>
      </c>
      <c r="C11" s="138" t="str">
        <f>IFERROR(__xludf.DUMMYFUNCTION("""COMPUTED_VALUE"""),"I served them at breakfast but they didn't have their list so didn't connect me with shadow ward. Will try again at lunch. Update: they are back on track. Told them I'd think about helping and would meet them Sunday at 9:30am.")</f>
        <v>I served them at breakfast but they didn't have their list so didn't connect me with shadow ward. Will try again at lunch. Update: they are back on track. Told them I'd think about helping and would meet them Sunday at 9:30am.</v>
      </c>
      <c r="D11" s="214"/>
      <c r="E11" s="214"/>
      <c r="F11" s="214"/>
    </row>
    <row r="12">
      <c r="A12" s="214" t="str">
        <f>IFERROR(__xludf.DUMMYFUNCTION("""COMPUTED_VALUE"""),"Umberto Dunn")</f>
        <v>Umberto Dunn</v>
      </c>
      <c r="B12" s="48" t="b">
        <f>IFERROR(__xludf.DUMMYFUNCTION("""COMPUTED_VALUE"""),TRUE)</f>
        <v>1</v>
      </c>
      <c r="C12" s="138" t="str">
        <f>IFERROR(__xludf.DUMMYFUNCTION("""COMPUTED_VALUE"""),"This is a very gelled group who cares about eachother, they're sweet - BW")</f>
        <v>This is a very gelled group who cares about eachother, they're sweet - BW</v>
      </c>
      <c r="D12" s="214"/>
      <c r="E12" s="214"/>
      <c r="F12" s="214"/>
    </row>
    <row r="13">
      <c r="A13" s="214" t="str">
        <f>IFERROR(__xludf.DUMMYFUNCTION("""COMPUTED_VALUE"""),"Mick Peacock")</f>
        <v>Mick Peacock</v>
      </c>
      <c r="B13" s="12" t="b">
        <f>IFERROR(__xludf.DUMMYFUNCTION("""COMPUTED_VALUE"""),FALSE)</f>
        <v>0</v>
      </c>
      <c r="C13" s="138"/>
      <c r="D13" s="214"/>
      <c r="E13" s="214"/>
      <c r="F13" s="214"/>
    </row>
    <row r="14">
      <c r="A14" s="214" t="str">
        <f>IFERROR(__xludf.DUMMYFUNCTION("""COMPUTED_VALUE"""),"Bane")</f>
        <v>Bane</v>
      </c>
      <c r="B14" s="12" t="b">
        <f>IFERROR(__xludf.DUMMYFUNCTION("""COMPUTED_VALUE"""),TRUE)</f>
        <v>1</v>
      </c>
      <c r="C14" s="138" t="str">
        <f>IFERROR(__xludf.DUMMYFUNCTION("""COMPUTED_VALUE"""),"Done.")</f>
        <v>Done.</v>
      </c>
      <c r="D14" s="214"/>
      <c r="E14" s="214"/>
      <c r="F14" s="214"/>
    </row>
    <row r="15">
      <c r="A15" s="32" t="str">
        <f>IFERROR(__xludf.DUMMYFUNCTION("""COMPUTED_VALUE"""),"Edwin Davies")</f>
        <v>Edwin Davies</v>
      </c>
      <c r="B15" s="12" t="b">
        <f>IFERROR(__xludf.DUMMYFUNCTION("""COMPUTED_VALUE"""),TRUE)</f>
        <v>1</v>
      </c>
      <c r="C15" s="138" t="str">
        <f>IFERROR(__xludf.DUMMYFUNCTION("""COMPUTED_VALUE"""),"Did the Observation Challenge outside of Smirches (after moderate handholding to realize that I had something they needed). They were impressively observant.")</f>
        <v>Did the Observation Challenge outside of Smirches (after moderate handholding to realize that I had something they needed). They were impressively observant.</v>
      </c>
      <c r="D15" s="214"/>
      <c r="E15" s="214"/>
      <c r="F15" s="214"/>
    </row>
    <row r="16">
      <c r="A16" s="214" t="str">
        <f>IFERROR(__xludf.DUMMYFUNCTION("""COMPUTED_VALUE"""),"Kazmira")</f>
        <v>Kazmira</v>
      </c>
      <c r="B16" s="12" t="b">
        <f>IFERROR(__xludf.DUMMYFUNCTION("""COMPUTED_VALUE"""),TRUE)</f>
        <v>1</v>
      </c>
      <c r="C16" s="137"/>
      <c r="D16" s="214"/>
      <c r="E16" s="214"/>
      <c r="F16" s="214"/>
    </row>
    <row r="17">
      <c r="A17" s="216" t="str">
        <f>IFERROR(__xludf.DUMMYFUNCTION("""COMPUTED_VALUE"""),"Mind of a Madman")</f>
        <v>Mind of a Madman</v>
      </c>
      <c r="B17" s="216" t="b">
        <f>IFERROR(__xludf.DUMMYFUNCTION("""COMPUTED_VALUE"""),TRUE)</f>
        <v>1</v>
      </c>
      <c r="C17" s="137" t="str">
        <f>IFERROR(__xludf.DUMMYFUNCTION("""COMPUTED_VALUE"""),"they did a great job supporting each other.  Impressive because several are not tiny dudes.  Clearly comfortable with introspection and touchy-feely stuff. One of them (bigger guy) was really kind to Lincroft  (KLH)")</f>
        <v>they did a great job supporting each other.  Impressive because several are not tiny dudes.  Clearly comfortable with introspection and touchy-feely stuff. One of them (bigger guy) was really kind to Lincroft  (KLH)</v>
      </c>
      <c r="D17" s="214"/>
      <c r="E17" s="214"/>
      <c r="F17" s="214"/>
    </row>
    <row r="18">
      <c r="A18" s="216" t="str">
        <f>IFERROR(__xludf.DUMMYFUNCTION("""COMPUTED_VALUE"""),"Pansy Golden (Sunday)")</f>
        <v>Pansy Golden (Sunday)</v>
      </c>
      <c r="B18" s="232" t="b">
        <f>IFERROR(__xludf.DUMMYFUNCTION("""COMPUTED_VALUE"""),FALSE)</f>
        <v>0</v>
      </c>
      <c r="C18" s="263"/>
      <c r="D18" s="86"/>
      <c r="E18" s="214"/>
      <c r="F18" s="214"/>
    </row>
    <row r="19">
      <c r="A19" s="32" t="str">
        <f>IFERROR(__xludf.DUMMYFUNCTION("""COMPUTED_VALUE"""),"St. Lorelei")</f>
        <v>St. Lorelei</v>
      </c>
      <c r="B19" s="48" t="b">
        <f>IFERROR(__xludf.DUMMYFUNCTION("""COMPUTED_VALUE"""),FALSE)</f>
        <v>0</v>
      </c>
      <c r="C19" s="138"/>
      <c r="D19" s="12"/>
      <c r="E19" s="214"/>
      <c r="F19" s="214"/>
    </row>
    <row r="20">
      <c r="A20" s="32"/>
      <c r="B20" s="48"/>
      <c r="C20" s="138"/>
      <c r="D20" s="12"/>
      <c r="E20" s="214"/>
      <c r="F20" s="214"/>
    </row>
    <row r="21">
      <c r="A21" s="32"/>
      <c r="B21" s="48"/>
      <c r="C21" s="222"/>
      <c r="D21" s="12"/>
      <c r="E21" s="214"/>
      <c r="F21" s="214"/>
    </row>
    <row r="22">
      <c r="A22" s="32" t="str">
        <f>IFERROR(__xludf.DUMMYFUNCTION("""COMPUTED_VALUE"""),"CHARGE INFO")</f>
        <v>CHARGE INFO</v>
      </c>
      <c r="B22" s="48" t="str">
        <f>IFERROR(__xludf.DUMMYFUNCTION("""COMPUTED_VALUE"""),"(Aesthetika)")</f>
        <v>(Aesthetika)</v>
      </c>
      <c r="C22" s="138"/>
      <c r="D22" s="12"/>
      <c r="E22" s="214"/>
      <c r="F22" s="214"/>
    </row>
    <row r="23">
      <c r="A23" s="32" t="str">
        <f>IFERROR(__xludf.DUMMYFUNCTION("""COMPUTED_VALUE"""),"Character")</f>
        <v>Character</v>
      </c>
      <c r="B23" s="48" t="str">
        <f>IFERROR(__xludf.DUMMYFUNCTION("""COMPUTED_VALUE"""),"Gave Info")</f>
        <v>Gave Info</v>
      </c>
      <c r="C23" s="222" t="str">
        <f>IFERROR(__xludf.DUMMYFUNCTION("""COMPUTED_VALUE"""),"Notes")</f>
        <v>Notes</v>
      </c>
      <c r="D23" s="12"/>
      <c r="E23" s="214"/>
      <c r="F23" s="214"/>
    </row>
    <row r="24">
      <c r="A24" s="32" t="str">
        <f>IFERROR(__xludf.DUMMYFUNCTION("""COMPUTED_VALUE"""),"Floria")</f>
        <v>Floria</v>
      </c>
      <c r="B24" s="48" t="b">
        <f>IFERROR(__xludf.DUMMYFUNCTION("""COMPUTED_VALUE"""),TRUE)</f>
        <v>1</v>
      </c>
      <c r="C24" s="138" t="str">
        <f>IFERROR(__xludf.DUMMYFUNCTION("""COMPUTED_VALUE"""),"they asked immediately if i knew who frost was and as i walked away one of them said ""frost does paintings!"" -MFL")</f>
        <v>they asked immediately if i knew who frost was and as i walked away one of them said "frost does paintings!" -MFL</v>
      </c>
      <c r="D24" s="12"/>
      <c r="E24" s="214"/>
      <c r="F24" s="214"/>
    </row>
    <row r="25">
      <c r="A25" s="32" t="str">
        <f>IFERROR(__xludf.DUMMYFUNCTION("""COMPUTED_VALUE"""),"Honoré Valerius")</f>
        <v>Honoré Valerius</v>
      </c>
      <c r="B25" s="48" t="b">
        <f>IFERROR(__xludf.DUMMYFUNCTION("""COMPUTED_VALUE"""),TRUE)</f>
        <v>1</v>
      </c>
      <c r="C25" s="138" t="str">
        <f>IFERROR(__xludf.DUMMYFUNCTION("""COMPUTED_VALUE"""),"Given after the ritual.  Traveller and Caster were very tuned in.")</f>
        <v>Given after the ritual.  Traveller and Caster were very tuned in.</v>
      </c>
      <c r="D25" s="12"/>
      <c r="E25" s="214"/>
      <c r="F25" s="214"/>
    </row>
    <row r="26">
      <c r="A26" s="32" t="str">
        <f>IFERROR(__xludf.DUMMYFUNCTION("""COMPUTED_VALUE"""),"Sylvie Valerius")</f>
        <v>Sylvie Valerius</v>
      </c>
      <c r="B26" s="48" t="b">
        <f>IFERROR(__xludf.DUMMYFUNCTION("""COMPUTED_VALUE"""),TRUE)</f>
        <v>1</v>
      </c>
      <c r="C26" s="138" t="str">
        <f>IFERROR(__xludf.DUMMYFUNCTION("""COMPUTED_VALUE"""),"invited to house at lunch Sat, they're quite ""busy"", mentioned Frost")</f>
        <v>invited to house at lunch Sat, they're quite "busy", mentioned Frost</v>
      </c>
      <c r="D26" s="12"/>
      <c r="E26" s="214"/>
      <c r="F26" s="214"/>
    </row>
    <row r="27">
      <c r="A27" s="32" t="str">
        <f>IFERROR(__xludf.DUMMYFUNCTION("""COMPUTED_VALUE"""),"Pascal Valerius")</f>
        <v>Pascal Valerius</v>
      </c>
      <c r="B27" s="48" t="b">
        <f>IFERROR(__xludf.DUMMYFUNCTION("""COMPUTED_VALUE"""),FALSE)</f>
        <v>0</v>
      </c>
      <c r="C27" s="138"/>
      <c r="D27" s="12"/>
      <c r="E27" s="214"/>
      <c r="F27" s="214"/>
    </row>
    <row r="28">
      <c r="A28" s="32" t="str">
        <f>IFERROR(__xludf.DUMMYFUNCTION("""COMPUTED_VALUE"""),"Nix Valerius")</f>
        <v>Nix Valerius</v>
      </c>
      <c r="B28" s="48" t="b">
        <f>IFERROR(__xludf.DUMMYFUNCTION("""COMPUTED_VALUE"""),FALSE)</f>
        <v>0</v>
      </c>
      <c r="C28" s="222"/>
      <c r="D28" s="12"/>
      <c r="E28" s="214"/>
      <c r="F28" s="214"/>
    </row>
    <row r="29">
      <c r="A29" s="32" t="str">
        <f>IFERROR(__xludf.DUMMYFUNCTION("""COMPUTED_VALUE"""),"Lenora Graves")</f>
        <v>Lenora Graves</v>
      </c>
      <c r="B29" s="48" t="b">
        <f>IFERROR(__xludf.DUMMYFUNCTION("""COMPUTED_VALUE"""),FALSE)</f>
        <v>0</v>
      </c>
      <c r="C29" s="138"/>
      <c r="D29" s="12"/>
      <c r="E29" s="214"/>
      <c r="F29" s="214"/>
    </row>
    <row r="30">
      <c r="A30" s="32" t="str">
        <f>IFERROR(__xludf.DUMMYFUNCTION("""COMPUTED_VALUE"""),"Isaiah Cooke")</f>
        <v>Isaiah Cooke</v>
      </c>
      <c r="B30" s="48" t="b">
        <f>IFERROR(__xludf.DUMMYFUNCTION("""COMPUTED_VALUE"""),TRUE)</f>
        <v>1</v>
      </c>
      <c r="C30" s="138" t="str">
        <f>IFERROR(__xludf.DUMMYFUNCTION("""COMPUTED_VALUE"""),"told them the shoe cleaning story")</f>
        <v>told them the shoe cleaning story</v>
      </c>
      <c r="D30" s="12"/>
      <c r="E30" s="214"/>
      <c r="F30" s="214"/>
    </row>
    <row r="31">
      <c r="A31" s="32" t="str">
        <f>IFERROR(__xludf.DUMMYFUNCTION("""COMPUTED_VALUE"""),"Kira")</f>
        <v>Kira</v>
      </c>
      <c r="B31" s="48" t="b">
        <f>IFERROR(__xludf.DUMMYFUNCTION("""COMPUTED_VALUE"""),FALSE)</f>
        <v>0</v>
      </c>
      <c r="C31" s="138"/>
      <c r="D31" s="12"/>
      <c r="E31" s="214"/>
      <c r="F31" s="214"/>
    </row>
    <row r="32">
      <c r="A32" s="32" t="str">
        <f>IFERROR(__xludf.DUMMYFUNCTION("""COMPUTED_VALUE"""),"Dusty Peacock")</f>
        <v>Dusty Peacock</v>
      </c>
      <c r="B32" s="48" t="b">
        <f>IFERROR(__xludf.DUMMYFUNCTION("""COMPUTED_VALUE"""),TRUE)</f>
        <v>1</v>
      </c>
      <c r="C32" s="138" t="str">
        <f>IFERROR(__xludf.DUMMYFUNCTION("""COMPUTED_VALUE"""),"gave story about lady carmina, they asked a lot of questions regarding changed people, tambourines, and hadn't met lady carmina yet")</f>
        <v>gave story about lady carmina, they asked a lot of questions regarding changed people, tambourines, and hadn't met lady carmina yet</v>
      </c>
      <c r="D32" s="12"/>
      <c r="E32" s="214"/>
      <c r="F32" s="214"/>
    </row>
    <row r="33">
      <c r="A33" s="32" t="str">
        <f>IFERROR(__xludf.DUMMYFUNCTION("""COMPUTED_VALUE"""),"Danny Donovan")</f>
        <v>Danny Donovan</v>
      </c>
      <c r="B33" s="48" t="b">
        <f>IFERROR(__xludf.DUMMYFUNCTION("""COMPUTED_VALUE"""),FALSE)</f>
        <v>0</v>
      </c>
      <c r="C33" s="138"/>
      <c r="D33" s="12"/>
      <c r="E33" s="214"/>
      <c r="F33" s="214"/>
    </row>
    <row r="34">
      <c r="A34" s="32" t="str">
        <f>IFERROR(__xludf.DUMMYFUNCTION("""COMPUTED_VALUE"""),"Carmina Bordeaux")</f>
        <v>Carmina Bordeaux</v>
      </c>
      <c r="B34" s="48" t="b">
        <f>IFERROR(__xludf.DUMMYFUNCTION("""COMPUTED_VALUE"""),FALSE)</f>
        <v>0</v>
      </c>
      <c r="C34" s="138"/>
      <c r="D34" s="12"/>
      <c r="E34" s="214"/>
      <c r="F34" s="214"/>
    </row>
    <row r="35">
      <c r="A35" s="32" t="str">
        <f>IFERROR(__xludf.DUMMYFUNCTION("""COMPUTED_VALUE"""),"Miscellania")</f>
        <v>Miscellania</v>
      </c>
      <c r="B35" s="48" t="b">
        <f>IFERROR(__xludf.DUMMYFUNCTION("""COMPUTED_VALUE"""),TRUE)</f>
        <v>1</v>
      </c>
      <c r="C35" s="138" t="str">
        <f>IFERROR(__xludf.DUMMYFUNCTION("""COMPUTED_VALUE"""),"told my clue to the traveler, who was focused on frost as the solution to the question.  I brought up Bordeaux in the process of complimenting Aesthetika's hard work and honesty")</f>
        <v>told my clue to the traveler, who was focused on frost as the solution to the question.  I brought up Bordeaux in the process of complimenting Aesthetika's hard work and honesty</v>
      </c>
      <c r="D35" s="12"/>
      <c r="E35" s="214"/>
      <c r="F35" s="214"/>
    </row>
    <row r="36">
      <c r="A36" s="32" t="str">
        <f>IFERROR(__xludf.DUMMYFUNCTION("""COMPUTED_VALUE"""),"Obsidian")</f>
        <v>Obsidian</v>
      </c>
      <c r="B36" s="48" t="b">
        <f>IFERROR(__xludf.DUMMYFUNCTION("""COMPUTED_VALUE"""),FALSE)</f>
        <v>0</v>
      </c>
      <c r="C36" s="138"/>
      <c r="D36" s="12"/>
      <c r="E36" s="214"/>
      <c r="F36" s="214"/>
    </row>
    <row r="37">
      <c r="A37" s="32" t="str">
        <f>IFERROR(__xludf.DUMMYFUNCTION("""COMPUTED_VALUE"""),"Nemaia")</f>
        <v>Nemaia</v>
      </c>
      <c r="B37" s="48" t="b">
        <f>IFERROR(__xludf.DUMMYFUNCTION("""COMPUTED_VALUE"""),FALSE)</f>
        <v>0</v>
      </c>
      <c r="C37" s="138"/>
      <c r="D37" s="12"/>
      <c r="E37" s="214"/>
      <c r="F37" s="214"/>
    </row>
    <row r="38">
      <c r="A38" s="32" t="str">
        <f>IFERROR(__xludf.DUMMYFUNCTION("""COMPUTED_VALUE"""),"Adina Valerius")</f>
        <v>Adina Valerius</v>
      </c>
      <c r="B38" s="48" t="b">
        <f>IFERROR(__xludf.DUMMYFUNCTION("""COMPUTED_VALUE"""),TRUE)</f>
        <v>1</v>
      </c>
      <c r="C38" s="138" t="str">
        <f>IFERROR(__xludf.DUMMYFUNCTION("""COMPUTED_VALUE"""),"Spoke with the Keeper.")</f>
        <v>Spoke with the Keeper.</v>
      </c>
      <c r="D38" s="12"/>
      <c r="E38" s="214"/>
      <c r="F38" s="214"/>
    </row>
    <row r="39">
      <c r="A39" s="32" t="str">
        <f>IFERROR(__xludf.DUMMYFUNCTION("""COMPUTED_VALUE"""),"Esmerelda")</f>
        <v>Esmerelda</v>
      </c>
      <c r="B39" s="48" t="b">
        <f>IFERROR(__xludf.DUMMYFUNCTION("""COMPUTED_VALUE"""),FALSE)</f>
        <v>0</v>
      </c>
      <c r="C39" s="138"/>
      <c r="D39" s="12"/>
      <c r="E39" s="214"/>
      <c r="F39" s="214"/>
    </row>
    <row r="40">
      <c r="A40" s="32" t="str">
        <f>IFERROR(__xludf.DUMMYFUNCTION("""COMPUTED_VALUE"""),"Santiago Valerius")</f>
        <v>Santiago Valerius</v>
      </c>
      <c r="B40" s="48" t="b">
        <f>IFERROR(__xludf.DUMMYFUNCTION("""COMPUTED_VALUE"""),TRUE)</f>
        <v>1</v>
      </c>
      <c r="C40" s="138" t="str">
        <f>IFERROR(__xludf.DUMMYFUNCTION("""COMPUTED_VALUE"""),"Gave the charge info to 3 party members, they mentioned that they were tracking that pictures were showing up and then 55 royals were going missing. Asked about who Frost was.  Knew that JPeg was a good artist but seemed to be tracking Frost and not getti"&amp;"ng distracted by JPeg.  1:30pm Sat")</f>
        <v>Gave the charge info to 3 party members, they mentioned that they were tracking that pictures were showing up and then 55 royals were going missing. Asked about who Frost was.  Knew that JPeg was a good artist but seemed to be tracking Frost and not getting distracted by JPeg.  1:30pm Sat</v>
      </c>
      <c r="D40" s="12"/>
      <c r="E40" s="214"/>
      <c r="F40" s="214"/>
    </row>
    <row r="41">
      <c r="A41" s="32" t="str">
        <f>IFERROR(__xludf.DUMMYFUNCTION("""COMPUTED_VALUE"""),"Koreos")</f>
        <v>Koreos</v>
      </c>
      <c r="B41" s="48" t="b">
        <f>IFERROR(__xludf.DUMMYFUNCTION("""COMPUTED_VALUE"""),TRUE)</f>
        <v>1</v>
      </c>
      <c r="C41" s="138" t="str">
        <f>IFERROR(__xludf.DUMMYFUNCTION("""COMPUTED_VALUE"""),"they care and had great moment with maker very much thinks she did not do it but not sure how to prove")</f>
        <v>they care and had great moment with maker very much thinks she did not do it but not sure how to prove</v>
      </c>
      <c r="D41" s="12"/>
      <c r="E41" s="214"/>
      <c r="F41" s="214"/>
    </row>
    <row r="42">
      <c r="A42" s="32" t="str">
        <f>IFERROR(__xludf.DUMMYFUNCTION("""COMPUTED_VALUE"""),"Melados")</f>
        <v>Melados</v>
      </c>
      <c r="B42" s="48" t="b">
        <f>IFERROR(__xludf.DUMMYFUNCTION("""COMPUTED_VALUE"""),TRUE)</f>
        <v>1</v>
      </c>
      <c r="C42" s="138" t="str">
        <f>IFERROR(__xludf.DUMMYFUNCTION("""COMPUTED_VALUE"""),"Told Caster alone about the odd coincidence of 55 royals gone from Elliot after he found his portrait, and then appearing in A's drawer. Assured them I still didn't think she was guilty.")</f>
        <v>Told Caster alone about the odd coincidence of 55 royals gone from Elliot after he found his portrait, and then appearing in A's drawer. Assured them I still didn't think she was guilty.</v>
      </c>
      <c r="D42" s="12"/>
      <c r="E42" s="214"/>
      <c r="F42" s="214"/>
    </row>
    <row r="43">
      <c r="A43" s="32" t="str">
        <f>IFERROR(__xludf.DUMMYFUNCTION("""COMPUTED_VALUE"""),"Cal Coleman")</f>
        <v>Cal Coleman</v>
      </c>
      <c r="B43" s="48" t="b">
        <f>IFERROR(__xludf.DUMMYFUNCTION("""COMPUTED_VALUE"""),FALSE)</f>
        <v>0</v>
      </c>
      <c r="C43" s="138"/>
      <c r="D43" s="12"/>
      <c r="E43" s="214"/>
      <c r="F43" s="214"/>
    </row>
    <row r="44">
      <c r="A44" s="32" t="str">
        <f>IFERROR(__xludf.DUMMYFUNCTION("""COMPUTED_VALUE"""),"Crabtree")</f>
        <v>Crabtree</v>
      </c>
      <c r="B44" s="48" t="b">
        <f>IFERROR(__xludf.DUMMYFUNCTION("""COMPUTED_VALUE"""),TRUE)</f>
        <v>1</v>
      </c>
      <c r="C44" s="138" t="str">
        <f>IFERROR(__xludf.DUMMYFUNCTION("""COMPUTED_VALUE"""),"spoke closely with Maker &amp; one other member about finding the painting &amp; 75 royals missing; they were very engaged. Sat breakfast. MO")</f>
        <v>spoke closely with Maker &amp; one other member about finding the painting &amp; 75 royals missing; they were very engaged. Sat breakfast. MO</v>
      </c>
      <c r="D44" s="12"/>
      <c r="E44" s="214"/>
      <c r="F44" s="214"/>
    </row>
    <row r="45">
      <c r="A45" s="32" t="str">
        <f>IFERROR(__xludf.DUMMYFUNCTION("""COMPUTED_VALUE"""),"Irena Montalvo")</f>
        <v>Irena Montalvo</v>
      </c>
      <c r="B45" s="48" t="b">
        <f>IFERROR(__xludf.DUMMYFUNCTION("""COMPUTED_VALUE"""),TRUE)</f>
        <v>1</v>
      </c>
      <c r="C45" s="138" t="str">
        <f>IFERROR(__xludf.DUMMYFUNCTION("""COMPUTED_VALUE"""),"They were becoming suspicious of Frost")</f>
        <v>They were becoming suspicious of Frost</v>
      </c>
      <c r="D45" s="12"/>
      <c r="E45" s="214"/>
      <c r="F45" s="214"/>
    </row>
    <row r="46">
      <c r="A46" s="32" t="str">
        <f>IFERROR(__xludf.DUMMYFUNCTION("""COMPUTED_VALUE"""),"Ursula Smirch")</f>
        <v>Ursula Smirch</v>
      </c>
      <c r="B46" s="48" t="b">
        <f>IFERROR(__xludf.DUMMYFUNCTION("""COMPUTED_VALUE"""),FALSE)</f>
        <v>0</v>
      </c>
      <c r="C46" s="138"/>
      <c r="D46" s="12"/>
      <c r="E46" s="214"/>
      <c r="F46" s="214"/>
    </row>
    <row r="47">
      <c r="A47" s="214" t="str">
        <f>IFERROR(__xludf.DUMMYFUNCTION("""COMPUTED_VALUE"""),"Elliot Peacock")</f>
        <v>Elliot Peacock</v>
      </c>
      <c r="B47" s="12" t="b">
        <f>IFERROR(__xludf.DUMMYFUNCTION("""COMPUTED_VALUE"""),TRUE)</f>
        <v>1</v>
      </c>
      <c r="C47" s="137" t="str">
        <f>IFERROR(__xludf.DUMMYFUNCTION("""COMPUTED_VALUE"""),"seemed fixated on the fact that it was 55 royals that were stolen, I think they thought there was significance to the number (MR)")</f>
        <v>seemed fixated on the fact that it was 55 royals that were stolen, I think they thought there was significance to the number (MR)</v>
      </c>
      <c r="D47" s="214"/>
      <c r="E47" s="214"/>
      <c r="F47" s="214"/>
    </row>
    <row r="48">
      <c r="A48" s="214" t="str">
        <f>IFERROR(__xludf.DUMMYFUNCTION("""COMPUTED_VALUE"""),"Ember")</f>
        <v>Ember</v>
      </c>
      <c r="B48" s="12" t="b">
        <f>IFERROR(__xludf.DUMMYFUNCTION("""COMPUTED_VALUE"""),TRUE)</f>
        <v>1</v>
      </c>
      <c r="C48" s="137" t="str">
        <f>IFERROR(__xludf.DUMMYFUNCTION("""COMPUTED_VALUE"""),"Totally connected the painting to the others. No mention of the glittery paint yet, did ask questions about whether money was taken (Sat 9:30 AM) - Mirin")</f>
        <v>Totally connected the painting to the others. No mention of the glittery paint yet, did ask questions about whether money was taken (Sat 9:30 AM) - Mirin</v>
      </c>
      <c r="D48" s="214"/>
      <c r="E48" s="214"/>
      <c r="F48" s="214"/>
    </row>
    <row r="49">
      <c r="A49" s="214" t="str">
        <f>IFERROR(__xludf.DUMMYFUNCTION("""COMPUTED_VALUE"""),"Angelica Sprink")</f>
        <v>Angelica Sprink</v>
      </c>
      <c r="B49" s="12" t="b">
        <f>IFERROR(__xludf.DUMMYFUNCTION("""COMPUTED_VALUE"""),TRUE)</f>
        <v>1</v>
      </c>
      <c r="C49" s="137" t="str">
        <f>IFERROR(__xludf.DUMMYFUNCTION("""COMPUTED_VALUE"""),"Immediately brought up other painting situations they are on it. ")</f>
        <v>Immediately brought up other painting situations they are on it. </v>
      </c>
      <c r="D49" s="214"/>
      <c r="E49" s="214"/>
      <c r="F49" s="214"/>
    </row>
    <row r="50">
      <c r="A50" s="214" t="str">
        <f>IFERROR(__xludf.DUMMYFUNCTION("""COMPUTED_VALUE"""),"Tinker Bill")</f>
        <v>Tinker Bill</v>
      </c>
      <c r="B50" s="12" t="b">
        <f>IFERROR(__xludf.DUMMYFUNCTION("""COMPUTED_VALUE"""),TRUE)</f>
        <v>1</v>
      </c>
      <c r="C50" s="137" t="str">
        <f>IFERROR(__xludf.DUMMYFUNCTION("""COMPUTED_VALUE"""),"They seemed already convinced Aesthetika is innocent, but relayed my full charge inforamtion . They asked follow ups.  Seem very organized.")</f>
        <v>They seemed already convinced Aesthetika is innocent, but relayed my full charge inforamtion . They asked follow ups.  Seem very organized.</v>
      </c>
      <c r="D50" s="214"/>
      <c r="E50" s="214"/>
      <c r="F50" s="214"/>
    </row>
    <row r="51">
      <c r="A51" s="214" t="str">
        <f>IFERROR(__xludf.DUMMYFUNCTION("""COMPUTED_VALUE"""),"Jpeg")</f>
        <v>Jpeg</v>
      </c>
      <c r="B51" s="12" t="b">
        <f>IFERROR(__xludf.DUMMYFUNCTION("""COMPUTED_VALUE"""),TRUE)</f>
        <v>1</v>
      </c>
      <c r="C51" s="137"/>
      <c r="D51" s="214"/>
      <c r="E51" s="214"/>
      <c r="F51" s="214"/>
    </row>
    <row r="52">
      <c r="A52" s="214" t="str">
        <f>IFERROR(__xludf.DUMMYFUNCTION("""COMPUTED_VALUE"""),"Aesthetika")</f>
        <v>Aesthetika</v>
      </c>
      <c r="B52" s="12" t="b">
        <f>IFERROR(__xludf.DUMMYFUNCTION("""COMPUTED_VALUE"""),FALSE)</f>
        <v>0</v>
      </c>
      <c r="C52" s="137"/>
      <c r="D52" s="214"/>
      <c r="E52" s="214"/>
      <c r="F52" s="214"/>
    </row>
    <row r="53">
      <c r="A53" s="214" t="str">
        <f>IFERROR(__xludf.DUMMYFUNCTION("""COMPUTED_VALUE"""),"Carmina Bordeaux")</f>
        <v>Carmina Bordeaux</v>
      </c>
      <c r="B53" s="12" t="b">
        <f>IFERROR(__xludf.DUMMYFUNCTION("""COMPUTED_VALUE"""),FALSE)</f>
        <v>0</v>
      </c>
      <c r="C53" s="137"/>
      <c r="D53" s="214"/>
      <c r="E53" s="214"/>
      <c r="F53" s="214"/>
    </row>
    <row r="54">
      <c r="A54" s="214" t="str">
        <f>IFERROR(__xludf.DUMMYFUNCTION("""COMPUTED_VALUE"""),"Revelation")</f>
        <v>Revelation</v>
      </c>
      <c r="B54" s="12"/>
      <c r="C54" s="137"/>
      <c r="D54" s="214"/>
      <c r="E54" s="214"/>
      <c r="F54" s="214"/>
    </row>
    <row r="55">
      <c r="A55" s="214" t="str">
        <f>IFERROR(__xludf.DUMMYFUNCTION("""COMPUTED_VALUE"""),"Pansy Golden")</f>
        <v>Pansy Golden</v>
      </c>
      <c r="B55" s="12" t="b">
        <f>IFERROR(__xludf.DUMMYFUNCTION("""COMPUTED_VALUE"""),FALSE)</f>
        <v>0</v>
      </c>
      <c r="C55" s="137"/>
      <c r="D55" s="214"/>
      <c r="E55" s="214"/>
      <c r="F55" s="214"/>
    </row>
    <row r="56">
      <c r="A56" s="214" t="str">
        <f>IFERROR(__xludf.DUMMYFUNCTION("""COMPUTED_VALUE"""),"Frost")</f>
        <v>Frost</v>
      </c>
      <c r="B56" s="12" t="b">
        <f>IFERROR(__xludf.DUMMYFUNCTION("""COMPUTED_VALUE"""),FALSE)</f>
        <v>0</v>
      </c>
      <c r="C56" s="137"/>
      <c r="D56" s="214"/>
      <c r="E56" s="214"/>
      <c r="F56" s="214"/>
    </row>
    <row r="57">
      <c r="A57" s="214" t="str">
        <f>IFERROR(__xludf.DUMMYFUNCTION("""COMPUTED_VALUE"""),"Floria")</f>
        <v>Floria</v>
      </c>
      <c r="B57" s="12" t="b">
        <f>IFERROR(__xludf.DUMMYFUNCTION("""COMPUTED_VALUE"""),FALSE)</f>
        <v>0</v>
      </c>
      <c r="C57" s="137"/>
      <c r="D57" s="214"/>
      <c r="E57" s="214"/>
      <c r="F57" s="214"/>
    </row>
    <row r="58">
      <c r="A58" s="214"/>
      <c r="B58" s="12"/>
      <c r="C58" s="137"/>
      <c r="D58" s="214"/>
      <c r="E58" s="214"/>
      <c r="F58" s="214"/>
    </row>
    <row r="59">
      <c r="A59" s="214" t="str">
        <f>IFERROR(__xludf.DUMMYFUNCTION("""COMPUTED_VALUE"""),"GENERAL NOTES")</f>
        <v>GENERAL NOTES</v>
      </c>
      <c r="B59" s="12"/>
      <c r="C59" s="137"/>
      <c r="D59" s="214"/>
      <c r="E59" s="214"/>
      <c r="F59" s="214"/>
    </row>
    <row r="60">
      <c r="A60" s="214" t="str">
        <f>IFERROR(__xludf.DUMMYFUNCTION("""COMPUTED_VALUE"""),"The party is very in it, kept asking if they could sleep in the lake. They have a ""buddy system"" for fights and checked in with each other after the Skeevers. They also gave me a token (bracelet) from Glendeep. (CL)")</f>
        <v>The party is very in it, kept asking if they could sleep in the lake. They have a "buddy system" for fights and checked in with each other after the Skeevers. They also gave me a token (bracelet) from Glendeep. (CL)</v>
      </c>
      <c r="B60" s="12"/>
      <c r="C60" s="137"/>
      <c r="D60" s="214"/>
      <c r="E60" s="214"/>
      <c r="F60" s="214"/>
    </row>
    <row r="61">
      <c r="A61" s="214" t="str">
        <f>IFERROR(__xludf.DUMMYFUNCTION("""COMPUTED_VALUE"""),"They gave me (Kylie Talespinner) a friendship bracelet after chatting in the Tavern for 20 mins. They seem like a really nice and thoughtful party! MG")</f>
        <v>They gave me (Kylie Talespinner) a friendship bracelet after chatting in the Tavern for 20 mins. They seem like a really nice and thoughtful party! MG</v>
      </c>
      <c r="B61" s="12"/>
      <c r="C61" s="137"/>
      <c r="D61" s="214"/>
      <c r="E61" s="214"/>
      <c r="F61" s="214"/>
    </row>
    <row r="62">
      <c r="A62" s="214" t="str">
        <f>IFERROR(__xludf.DUMMYFUNCTION("""COMPUTED_VALUE"""),"I asked them about the flora under the sea and literally every  single one of them participated in coming up with ideas about coral and sea cucumbers. They seem really cohesive. -MFL")</f>
        <v>I asked them about the flora under the sea and literally every  single one of them participated in coming up with ideas about coral and sea cucumbers. They seem really cohesive. -MFL</v>
      </c>
      <c r="B62" s="12"/>
      <c r="C62" s="137"/>
      <c r="D62" s="214"/>
      <c r="E62" s="214"/>
      <c r="F62" s="214"/>
    </row>
    <row r="63">
      <c r="A63" s="214" t="str">
        <f>IFERROR(__xludf.DUMMYFUNCTION("""COMPUTED_VALUE"""),"Ander #2 restored a free hit. In good spirits.")</f>
        <v>Ander #2 restored a free hit. In good spirits.</v>
      </c>
      <c r="B63" s="12"/>
      <c r="C63" s="137"/>
      <c r="D63" s="214"/>
      <c r="E63" s="214"/>
      <c r="F63" s="214"/>
    </row>
    <row r="64">
      <c r="A64" s="214" t="str">
        <f>IFERROR(__xludf.DUMMYFUNCTION("""COMPUTED_VALUE"""),"party photo taken -Mirin")</f>
        <v>party photo taken -Mirin</v>
      </c>
      <c r="B64" s="12"/>
      <c r="C64" s="137"/>
      <c r="D64" s="214"/>
      <c r="E64" s="214"/>
      <c r="F64" s="214"/>
    </row>
    <row r="65">
      <c r="A65" s="214" t="str">
        <f>IFERROR(__xludf.DUMMYFUNCTION("""COMPUTED_VALUE"""),"Glendeep's maker stood up at lunch and invited fellow Makers to a ""Makers Space"" in the corner to collaborate around 1pm - very cool. Also gave me a friendship bracelet - Kira")</f>
        <v>Glendeep's maker stood up at lunch and invited fellow Makers to a "Makers Space" in the corner to collaborate around 1pm - very cool. Also gave me a friendship bracelet - Kira</v>
      </c>
      <c r="B65" s="12"/>
      <c r="C65" s="137"/>
      <c r="D65" s="214"/>
      <c r="E65" s="214"/>
      <c r="F65" s="214"/>
    </row>
    <row r="66">
      <c r="A66" s="214" t="str">
        <f>IFERROR(__xludf.DUMMYFUNCTION("""COMPUTED_VALUE"""),"There Bailey a stick over and over until they took mercy and soothed me to sleep so I could have a rest")</f>
        <v>There Bailey a stick over and over until they took mercy and soothed me to sleep so I could have a rest</v>
      </c>
      <c r="B66" s="12"/>
      <c r="C66" s="137"/>
      <c r="D66" s="214"/>
      <c r="E66" s="214"/>
      <c r="F66" s="214"/>
    </row>
    <row r="67">
      <c r="A67" s="214" t="str">
        <f>IFERROR(__xludf.DUMMYFUNCTION("""COMPUTED_VALUE"""),"So kind and hardworking. gave me a bracelet too! Lane 1:44 pm")</f>
        <v>So kind and hardworking. gave me a bracelet too! Lane 1:44 pm</v>
      </c>
      <c r="B67" s="12"/>
      <c r="C67" s="137"/>
      <c r="D67" s="214"/>
      <c r="E67" s="214"/>
      <c r="F67" s="214"/>
    </row>
    <row r="68">
      <c r="A68" s="214" t="str">
        <f>IFERROR(__xludf.DUMMYFUNCTION("""COMPUTED_VALUE"""),"Such a lovely party. All very engaged. Gave Pansy a bracelet. - HA")</f>
        <v>Such a lovely party. All very engaged. Gave Pansy a bracelet. - HA</v>
      </c>
      <c r="B68" s="12"/>
      <c r="C68" s="137"/>
      <c r="D68" s="214"/>
      <c r="E68" s="214"/>
      <c r="F68" s="214"/>
    </row>
    <row r="69">
      <c r="A69" s="214" t="str">
        <f>IFERROR(__xludf.DUMMYFUNCTION("""COMPUTED_VALUE"""),"Saturday AM: Equi told one member (tallish guy with a hat on) about the golden page and the visit with Nemaia ")</f>
        <v>Saturday AM: Equi told one member (tallish guy with a hat on) about the golden page and the visit with Nemaia </v>
      </c>
      <c r="B69" s="12"/>
      <c r="C69" s="137"/>
      <c r="D69" s="214"/>
      <c r="E69" s="214"/>
      <c r="F69" s="214"/>
    </row>
    <row r="70">
      <c r="A70" s="214" t="str">
        <f>IFERROR(__xludf.DUMMYFUNCTION("""COMPUTED_VALUE"""),"as of Saturday noon, Gleedeep caster had (proudly) used 5 spells, but did not buy any renewals from C&amp;E at that time; used most of them against cursed skeever on Hillside side; I bought empty trap #36 from them and some kind of used vision mask as Crabtre"&amp;"e - MO")</f>
        <v>as of Saturday noon, Gleedeep caster had (proudly) used 5 spells, but did not buy any renewals from C&amp;E at that time; used most of them against cursed skeever on Hillside side; I bought empty trap #36 from them and some kind of used vision mask as Crabtree - MO</v>
      </c>
      <c r="B70" s="12"/>
      <c r="C70" s="137"/>
      <c r="D70" s="214"/>
      <c r="E70" s="214"/>
      <c r="F70" s="214"/>
    </row>
    <row r="71">
      <c r="A71" s="214" t="str">
        <f>IFERROR(__xludf.DUMMYFUNCTION("""COMPUTED_VALUE"""),"They killed Hatchet with Hidden Path followed by Death….  Then tic tic boom during healing, but they SUCCESSFULLY DISPELLED it!   It was FANTASTIC!!!!!!")</f>
        <v>They killed Hatchet with Hidden Path followed by Death….  Then tic tic boom during healing, but they SUCCESSFULLY DISPELLED it!   It was FANTASTIC!!!!!!</v>
      </c>
      <c r="B71" s="12"/>
      <c r="C71" s="137"/>
      <c r="D71" s="214"/>
      <c r="E71" s="214"/>
      <c r="F71" s="214"/>
    </row>
    <row r="72">
      <c r="A72" s="214" t="str">
        <f>IFERROR(__xludf.DUMMYFUNCTION("""COMPUTED_VALUE"""),"Gave the seeker the single combat he wanted AND THEN SOME. Great party!")</f>
        <v>Gave the seeker the single combat he wanted AND THEN SOME. Great party!</v>
      </c>
      <c r="B72" s="12"/>
      <c r="C72" s="137"/>
      <c r="D72" s="214"/>
      <c r="E72" s="214"/>
      <c r="F72" s="214"/>
    </row>
    <row r="73">
      <c r="A73" s="214" t="str">
        <f>IFERROR(__xludf.DUMMYFUNCTION("""COMPUTED_VALUE"""),"Gave Seeker rejuvanation before Dreadwright after they answered ""what's keeping you from being the best version of yourself"" - beautiful answer about avoiding conflict and we ended up best friends. - Kels")</f>
        <v>Gave Seeker rejuvanation before Dreadwright after they answered "what's keeping you from being the best version of yourself" - beautiful answer about avoiding conflict and we ended up best friends. - Kels</v>
      </c>
      <c r="B73" s="12"/>
      <c r="C73" s="137"/>
      <c r="D73" s="214"/>
      <c r="E73" s="214"/>
      <c r="F73" s="214"/>
    </row>
    <row r="74">
      <c r="A74" s="214"/>
      <c r="B74" s="12"/>
      <c r="C74" s="137"/>
      <c r="D74" s="214"/>
      <c r="E74" s="214"/>
      <c r="F74" s="214"/>
    </row>
    <row r="75">
      <c r="A75" s="214"/>
      <c r="B75" s="12"/>
      <c r="C75" s="137"/>
      <c r="D75" s="214"/>
      <c r="E75" s="214"/>
      <c r="F75" s="214"/>
    </row>
    <row r="76">
      <c r="A76" s="214"/>
      <c r="B76" s="12"/>
      <c r="C76" s="137"/>
      <c r="D76" s="214"/>
      <c r="E76" s="214"/>
      <c r="F76" s="214"/>
    </row>
    <row r="77">
      <c r="A77" s="214"/>
      <c r="B77" s="12"/>
      <c r="C77" s="137"/>
      <c r="D77" s="214"/>
      <c r="E77" s="214"/>
      <c r="F77" s="214"/>
    </row>
    <row r="78">
      <c r="A78" s="214"/>
      <c r="B78" s="12"/>
      <c r="C78" s="137"/>
      <c r="D78" s="214"/>
      <c r="E78" s="214"/>
      <c r="F78" s="214"/>
    </row>
    <row r="79">
      <c r="A79" s="214"/>
      <c r="B79" s="12"/>
      <c r="C79" s="137"/>
      <c r="D79" s="214"/>
      <c r="E79" s="214"/>
      <c r="F79" s="214"/>
    </row>
    <row r="80">
      <c r="A80" s="214"/>
      <c r="B80" s="12"/>
      <c r="C80" s="137"/>
      <c r="D80" s="214"/>
      <c r="E80" s="214"/>
      <c r="F80" s="214"/>
    </row>
    <row r="81">
      <c r="A81" s="214"/>
      <c r="B81" s="12"/>
      <c r="C81" s="137"/>
      <c r="D81" s="214"/>
      <c r="E81" s="214"/>
      <c r="F81" s="214"/>
    </row>
    <row r="82">
      <c r="A82" s="214"/>
      <c r="B82" s="12"/>
      <c r="C82" s="137"/>
      <c r="D82" s="214"/>
      <c r="E82" s="214"/>
      <c r="F82" s="214"/>
    </row>
    <row r="83">
      <c r="A83" s="214"/>
      <c r="B83" s="12"/>
      <c r="C83" s="137"/>
      <c r="D83" s="214"/>
      <c r="E83" s="214"/>
      <c r="F83" s="214"/>
    </row>
    <row r="84">
      <c r="A84" s="214"/>
      <c r="B84" s="12"/>
      <c r="C84" s="137"/>
      <c r="D84" s="214"/>
      <c r="E84" s="214"/>
      <c r="F84" s="214"/>
    </row>
    <row r="85">
      <c r="B85" s="12"/>
      <c r="C85" s="137"/>
    </row>
    <row r="86">
      <c r="B86" s="12"/>
      <c r="C86" s="137"/>
    </row>
    <row r="87">
      <c r="B87" s="12"/>
      <c r="C87" s="137"/>
    </row>
    <row r="88">
      <c r="B88" s="12"/>
      <c r="C88" s="137"/>
    </row>
    <row r="89">
      <c r="B89" s="12"/>
      <c r="C89" s="137"/>
    </row>
    <row r="90">
      <c r="B90" s="12"/>
      <c r="C90" s="137"/>
    </row>
    <row r="91">
      <c r="B91" s="12"/>
      <c r="C91" s="137"/>
    </row>
    <row r="92">
      <c r="B92" s="12"/>
      <c r="C92" s="137"/>
    </row>
    <row r="93">
      <c r="B93" s="12"/>
      <c r="C93" s="137"/>
    </row>
    <row r="94">
      <c r="B94" s="12"/>
      <c r="C94" s="137"/>
    </row>
    <row r="95">
      <c r="B95" s="12"/>
      <c r="C95" s="137"/>
    </row>
    <row r="96">
      <c r="B96" s="12"/>
      <c r="C96" s="137"/>
    </row>
    <row r="97">
      <c r="B97" s="12"/>
      <c r="C97" s="137"/>
    </row>
    <row r="98">
      <c r="B98" s="12"/>
      <c r="C98" s="137"/>
    </row>
    <row r="99">
      <c r="B99" s="12"/>
      <c r="C99" s="137"/>
    </row>
    <row r="100">
      <c r="B100" s="12"/>
      <c r="C100" s="137"/>
    </row>
    <row r="101">
      <c r="B101" s="12"/>
      <c r="C101" s="137"/>
    </row>
    <row r="102">
      <c r="B102" s="12"/>
      <c r="C102" s="137"/>
    </row>
    <row r="103">
      <c r="B103" s="12"/>
      <c r="C103" s="137"/>
    </row>
    <row r="104">
      <c r="B104" s="12"/>
      <c r="C104" s="137"/>
    </row>
    <row r="105">
      <c r="B105" s="12"/>
      <c r="C105" s="137"/>
    </row>
    <row r="106">
      <c r="B106" s="12"/>
      <c r="C106" s="137"/>
    </row>
    <row r="107">
      <c r="B107" s="12"/>
      <c r="C107" s="137"/>
    </row>
    <row r="108">
      <c r="B108" s="12"/>
      <c r="C108" s="137"/>
    </row>
    <row r="109">
      <c r="B109" s="12"/>
      <c r="C109" s="137"/>
    </row>
    <row r="110">
      <c r="B110" s="12"/>
      <c r="C110" s="137"/>
    </row>
    <row r="111">
      <c r="B111" s="12"/>
      <c r="C111" s="137"/>
    </row>
    <row r="112">
      <c r="B112" s="12"/>
      <c r="C112" s="137"/>
    </row>
    <row r="113">
      <c r="B113" s="12"/>
      <c r="C113" s="137"/>
    </row>
    <row r="114">
      <c r="B114" s="12"/>
      <c r="C114" s="137"/>
    </row>
    <row r="115">
      <c r="B115" s="12"/>
      <c r="C115" s="137"/>
    </row>
    <row r="116">
      <c r="B116" s="12"/>
      <c r="C116" s="137"/>
    </row>
    <row r="117">
      <c r="B117" s="12"/>
      <c r="C117" s="137"/>
    </row>
    <row r="118">
      <c r="B118" s="12"/>
      <c r="C118" s="137"/>
    </row>
    <row r="119">
      <c r="B119" s="12"/>
      <c r="C119" s="137"/>
    </row>
    <row r="120">
      <c r="B120" s="12"/>
      <c r="C120" s="137"/>
    </row>
    <row r="121">
      <c r="B121" s="12"/>
      <c r="C121" s="137"/>
    </row>
    <row r="122">
      <c r="B122" s="12"/>
      <c r="C122" s="137"/>
    </row>
    <row r="123">
      <c r="B123" s="12"/>
      <c r="C123" s="137"/>
    </row>
    <row r="124">
      <c r="B124" s="12"/>
      <c r="C124" s="137"/>
    </row>
    <row r="125">
      <c r="B125" s="12"/>
      <c r="C125" s="137"/>
    </row>
    <row r="126">
      <c r="B126" s="12"/>
      <c r="C126" s="137"/>
    </row>
    <row r="127">
      <c r="B127" s="12"/>
      <c r="C127" s="137"/>
    </row>
    <row r="128">
      <c r="B128" s="12"/>
      <c r="C128" s="137"/>
    </row>
    <row r="129">
      <c r="B129" s="12"/>
      <c r="C129" s="137"/>
    </row>
    <row r="130">
      <c r="B130" s="12"/>
      <c r="C130" s="137"/>
    </row>
    <row r="131">
      <c r="B131" s="12"/>
      <c r="C131" s="137"/>
    </row>
    <row r="132">
      <c r="B132" s="12"/>
      <c r="C132" s="137"/>
    </row>
    <row r="133">
      <c r="B133" s="12"/>
      <c r="C133" s="137"/>
    </row>
    <row r="134">
      <c r="B134" s="12"/>
      <c r="C134" s="137"/>
    </row>
    <row r="135">
      <c r="B135" s="12"/>
      <c r="C135" s="137"/>
    </row>
    <row r="136">
      <c r="B136" s="12"/>
      <c r="C136" s="137"/>
    </row>
    <row r="137">
      <c r="B137" s="12"/>
      <c r="C137" s="137"/>
    </row>
    <row r="138">
      <c r="B138" s="12"/>
      <c r="C138" s="137"/>
    </row>
    <row r="139">
      <c r="B139" s="12"/>
      <c r="C139" s="137"/>
    </row>
    <row r="140">
      <c r="B140" s="12"/>
      <c r="C140" s="137"/>
    </row>
    <row r="141">
      <c r="B141" s="12"/>
      <c r="C141" s="137"/>
    </row>
    <row r="142">
      <c r="B142" s="12"/>
      <c r="C142" s="137"/>
    </row>
    <row r="143">
      <c r="B143" s="12"/>
      <c r="C143" s="137"/>
    </row>
    <row r="144">
      <c r="B144" s="12"/>
      <c r="C144" s="137"/>
    </row>
    <row r="145">
      <c r="B145" s="12"/>
      <c r="C145" s="137"/>
    </row>
    <row r="146">
      <c r="B146" s="12"/>
      <c r="C146" s="137"/>
    </row>
    <row r="147">
      <c r="B147" s="12"/>
      <c r="C147" s="137"/>
    </row>
    <row r="148">
      <c r="B148" s="12"/>
      <c r="C148" s="137"/>
    </row>
    <row r="149">
      <c r="B149" s="12"/>
      <c r="C149" s="137"/>
    </row>
    <row r="150">
      <c r="B150" s="12"/>
      <c r="C150" s="137"/>
    </row>
    <row r="151">
      <c r="B151" s="12"/>
      <c r="C151" s="137"/>
    </row>
    <row r="152">
      <c r="B152" s="12"/>
      <c r="C152" s="137"/>
    </row>
    <row r="153">
      <c r="B153" s="12"/>
      <c r="C153" s="137"/>
    </row>
    <row r="154">
      <c r="B154" s="12"/>
      <c r="C154" s="137"/>
    </row>
    <row r="155">
      <c r="B155" s="12"/>
      <c r="C155" s="137"/>
    </row>
    <row r="156">
      <c r="B156" s="12"/>
      <c r="C156" s="137"/>
    </row>
    <row r="157">
      <c r="B157" s="12"/>
      <c r="C157" s="137"/>
    </row>
    <row r="158">
      <c r="B158" s="12"/>
      <c r="C158" s="137"/>
    </row>
    <row r="159">
      <c r="B159" s="12"/>
      <c r="C159" s="137"/>
    </row>
    <row r="160">
      <c r="B160" s="12"/>
      <c r="C160" s="137"/>
    </row>
    <row r="161">
      <c r="B161" s="12"/>
      <c r="C161" s="137"/>
    </row>
    <row r="162">
      <c r="B162" s="12"/>
      <c r="C162" s="137"/>
    </row>
    <row r="163">
      <c r="B163" s="12"/>
      <c r="C163" s="137"/>
    </row>
    <row r="164">
      <c r="B164" s="12"/>
      <c r="C164" s="137"/>
    </row>
    <row r="165">
      <c r="B165" s="12"/>
      <c r="C165" s="137"/>
    </row>
    <row r="166">
      <c r="B166" s="12"/>
      <c r="C166" s="137"/>
    </row>
    <row r="167">
      <c r="B167" s="12"/>
      <c r="C167" s="137"/>
    </row>
    <row r="168">
      <c r="B168" s="12"/>
      <c r="C168" s="137"/>
    </row>
    <row r="169">
      <c r="B169" s="12"/>
      <c r="C169" s="137"/>
    </row>
    <row r="170">
      <c r="B170" s="12"/>
      <c r="C170" s="137"/>
    </row>
    <row r="171">
      <c r="B171" s="12"/>
      <c r="C171" s="137"/>
    </row>
    <row r="172">
      <c r="B172" s="12"/>
      <c r="C172" s="137"/>
    </row>
    <row r="173">
      <c r="B173" s="12"/>
      <c r="C173" s="137"/>
    </row>
    <row r="174">
      <c r="B174" s="12"/>
      <c r="C174" s="137"/>
    </row>
    <row r="175">
      <c r="B175" s="12"/>
      <c r="C175" s="137"/>
    </row>
    <row r="176">
      <c r="B176" s="12"/>
      <c r="C176" s="137"/>
    </row>
    <row r="177">
      <c r="B177" s="12"/>
      <c r="C177" s="137"/>
    </row>
    <row r="178">
      <c r="B178" s="12"/>
      <c r="C178" s="137"/>
    </row>
    <row r="179">
      <c r="B179" s="12"/>
      <c r="C179" s="137"/>
    </row>
    <row r="180">
      <c r="B180" s="12"/>
      <c r="C180" s="137"/>
    </row>
    <row r="181">
      <c r="B181" s="12"/>
      <c r="C181" s="137"/>
    </row>
    <row r="182">
      <c r="B182" s="12"/>
      <c r="C182" s="137"/>
    </row>
    <row r="183">
      <c r="B183" s="12"/>
      <c r="C183" s="137"/>
    </row>
    <row r="184">
      <c r="B184" s="12"/>
      <c r="C184" s="137"/>
    </row>
    <row r="185">
      <c r="B185" s="12"/>
      <c r="C185" s="137"/>
    </row>
    <row r="186">
      <c r="B186" s="12"/>
      <c r="C186" s="137"/>
    </row>
    <row r="187">
      <c r="B187" s="12"/>
      <c r="C187" s="137"/>
    </row>
    <row r="188">
      <c r="B188" s="12"/>
      <c r="C188" s="137"/>
    </row>
    <row r="189">
      <c r="B189" s="12"/>
      <c r="C189" s="137"/>
    </row>
    <row r="190">
      <c r="B190" s="12"/>
      <c r="C190" s="137"/>
    </row>
    <row r="191">
      <c r="B191" s="12"/>
      <c r="C191" s="137"/>
    </row>
    <row r="192">
      <c r="B192" s="12"/>
      <c r="C192" s="137"/>
    </row>
    <row r="193">
      <c r="B193" s="12"/>
      <c r="C193" s="137"/>
    </row>
    <row r="194">
      <c r="B194" s="12"/>
      <c r="C194" s="137"/>
    </row>
    <row r="195">
      <c r="B195" s="12"/>
      <c r="C195" s="137"/>
    </row>
    <row r="196">
      <c r="B196" s="12"/>
      <c r="C196" s="137"/>
    </row>
    <row r="197">
      <c r="B197" s="12"/>
      <c r="C197" s="137"/>
    </row>
    <row r="198">
      <c r="B198" s="12"/>
      <c r="C198" s="137"/>
    </row>
    <row r="199">
      <c r="B199" s="12"/>
      <c r="C199" s="137"/>
    </row>
    <row r="200">
      <c r="B200" s="12"/>
      <c r="C200" s="137"/>
    </row>
    <row r="201">
      <c r="B201" s="12"/>
      <c r="C201" s="137"/>
    </row>
    <row r="202">
      <c r="B202" s="12"/>
      <c r="C202" s="137"/>
    </row>
    <row r="203">
      <c r="B203" s="12"/>
      <c r="C203" s="137"/>
    </row>
    <row r="204">
      <c r="B204" s="12"/>
      <c r="C204" s="137"/>
    </row>
    <row r="205">
      <c r="B205" s="12"/>
      <c r="C205" s="137"/>
    </row>
    <row r="206">
      <c r="B206" s="12"/>
      <c r="C206" s="137"/>
    </row>
    <row r="207">
      <c r="B207" s="12"/>
      <c r="C207" s="137"/>
    </row>
    <row r="208">
      <c r="B208" s="12"/>
      <c r="C208" s="137"/>
    </row>
    <row r="209">
      <c r="B209" s="12"/>
      <c r="C209" s="137"/>
    </row>
    <row r="210">
      <c r="B210" s="12"/>
      <c r="C210" s="137"/>
    </row>
    <row r="211">
      <c r="B211" s="12"/>
      <c r="C211" s="137"/>
    </row>
    <row r="212">
      <c r="B212" s="12"/>
      <c r="C212" s="137"/>
    </row>
    <row r="213">
      <c r="B213" s="12"/>
      <c r="C213" s="137"/>
    </row>
    <row r="214">
      <c r="B214" s="12"/>
      <c r="C214" s="137"/>
    </row>
    <row r="215">
      <c r="B215" s="12"/>
      <c r="C215" s="137"/>
    </row>
    <row r="216">
      <c r="B216" s="12"/>
      <c r="C216" s="137"/>
    </row>
    <row r="217">
      <c r="B217" s="12"/>
      <c r="C217" s="137"/>
    </row>
    <row r="218">
      <c r="B218" s="12"/>
      <c r="C218" s="137"/>
    </row>
    <row r="219">
      <c r="B219" s="12"/>
      <c r="C219" s="137"/>
    </row>
    <row r="220">
      <c r="B220" s="12"/>
      <c r="C220" s="137"/>
    </row>
    <row r="221">
      <c r="B221" s="12"/>
      <c r="C221" s="137"/>
    </row>
    <row r="222">
      <c r="B222" s="12"/>
      <c r="C222" s="137"/>
    </row>
    <row r="223">
      <c r="B223" s="12"/>
      <c r="C223" s="137"/>
    </row>
    <row r="224">
      <c r="B224" s="12"/>
      <c r="C224" s="137"/>
    </row>
    <row r="225">
      <c r="B225" s="12"/>
      <c r="C225" s="137"/>
    </row>
    <row r="226">
      <c r="B226" s="12"/>
      <c r="C226" s="137"/>
    </row>
    <row r="227">
      <c r="B227" s="12"/>
      <c r="C227" s="137"/>
    </row>
    <row r="228">
      <c r="B228" s="12"/>
      <c r="C228" s="137"/>
    </row>
    <row r="229">
      <c r="B229" s="12"/>
      <c r="C229" s="137"/>
    </row>
    <row r="230">
      <c r="B230" s="12"/>
      <c r="C230" s="137"/>
    </row>
    <row r="231">
      <c r="B231" s="12"/>
      <c r="C231" s="137"/>
    </row>
    <row r="232">
      <c r="B232" s="12"/>
      <c r="C232" s="137"/>
    </row>
    <row r="233">
      <c r="B233" s="12"/>
      <c r="C233" s="137"/>
    </row>
    <row r="234">
      <c r="B234" s="12"/>
      <c r="C234" s="137"/>
    </row>
    <row r="235">
      <c r="B235" s="12"/>
      <c r="C235" s="137"/>
    </row>
    <row r="236">
      <c r="B236" s="12"/>
      <c r="C236" s="137"/>
    </row>
    <row r="237">
      <c r="B237" s="12"/>
      <c r="C237" s="137"/>
    </row>
    <row r="238">
      <c r="B238" s="12"/>
      <c r="C238" s="137"/>
    </row>
    <row r="239">
      <c r="B239" s="12"/>
      <c r="C239" s="137"/>
    </row>
    <row r="240">
      <c r="B240" s="12"/>
      <c r="C240" s="137"/>
    </row>
    <row r="241">
      <c r="B241" s="12"/>
      <c r="C241" s="137"/>
    </row>
    <row r="242">
      <c r="B242" s="12"/>
      <c r="C242" s="137"/>
    </row>
    <row r="243">
      <c r="B243" s="12"/>
      <c r="C243" s="137"/>
    </row>
    <row r="244">
      <c r="B244" s="12"/>
      <c r="C244" s="137"/>
    </row>
    <row r="245">
      <c r="B245" s="12"/>
      <c r="C245" s="137"/>
    </row>
    <row r="246">
      <c r="B246" s="12"/>
      <c r="C246" s="137"/>
    </row>
    <row r="247">
      <c r="B247" s="12"/>
      <c r="C247" s="137"/>
    </row>
    <row r="248">
      <c r="B248" s="12"/>
      <c r="C248" s="137"/>
    </row>
    <row r="249">
      <c r="B249" s="12"/>
      <c r="C249" s="137"/>
    </row>
    <row r="250">
      <c r="B250" s="12"/>
      <c r="C250" s="137"/>
    </row>
    <row r="251">
      <c r="B251" s="12"/>
      <c r="C251" s="137"/>
    </row>
    <row r="252">
      <c r="B252" s="12"/>
      <c r="C252" s="137"/>
    </row>
    <row r="253">
      <c r="B253" s="12"/>
      <c r="C253" s="137"/>
    </row>
    <row r="254">
      <c r="B254" s="12"/>
      <c r="C254" s="137"/>
    </row>
    <row r="255">
      <c r="B255" s="12"/>
      <c r="C255" s="137"/>
    </row>
    <row r="256">
      <c r="B256" s="12"/>
      <c r="C256" s="137"/>
    </row>
    <row r="257">
      <c r="B257" s="12"/>
      <c r="C257" s="137"/>
    </row>
    <row r="258">
      <c r="B258" s="12"/>
      <c r="C258" s="137"/>
    </row>
    <row r="259">
      <c r="B259" s="12"/>
      <c r="C259" s="137"/>
    </row>
    <row r="260">
      <c r="B260" s="12"/>
      <c r="C260" s="137"/>
    </row>
    <row r="261">
      <c r="B261" s="12"/>
      <c r="C261" s="137"/>
    </row>
    <row r="262">
      <c r="B262" s="12"/>
      <c r="C262" s="137"/>
    </row>
    <row r="263">
      <c r="B263" s="12"/>
      <c r="C263" s="137"/>
    </row>
    <row r="264">
      <c r="B264" s="12"/>
      <c r="C264" s="137"/>
    </row>
    <row r="265">
      <c r="B265" s="12"/>
      <c r="C265" s="137"/>
    </row>
    <row r="266">
      <c r="B266" s="12"/>
      <c r="C266" s="137"/>
    </row>
    <row r="267">
      <c r="B267" s="12"/>
      <c r="C267" s="137"/>
    </row>
    <row r="268">
      <c r="B268" s="12"/>
      <c r="C268" s="137"/>
    </row>
    <row r="269">
      <c r="B269" s="12"/>
      <c r="C269" s="137"/>
    </row>
    <row r="270">
      <c r="B270" s="12"/>
      <c r="C270" s="137"/>
    </row>
    <row r="271">
      <c r="B271" s="12"/>
      <c r="C271" s="137"/>
    </row>
    <row r="272">
      <c r="B272" s="12"/>
      <c r="C272" s="137"/>
    </row>
    <row r="273">
      <c r="B273" s="12"/>
      <c r="C273" s="137"/>
    </row>
    <row r="274">
      <c r="B274" s="12"/>
      <c r="C274" s="137"/>
    </row>
    <row r="275">
      <c r="B275" s="12"/>
      <c r="C275" s="137"/>
    </row>
    <row r="276">
      <c r="B276" s="12"/>
      <c r="C276" s="137"/>
    </row>
    <row r="277">
      <c r="B277" s="12"/>
      <c r="C277" s="137"/>
    </row>
    <row r="278">
      <c r="B278" s="12"/>
      <c r="C278" s="137"/>
    </row>
    <row r="279">
      <c r="B279" s="12"/>
      <c r="C279" s="137"/>
    </row>
    <row r="280">
      <c r="B280" s="12"/>
      <c r="C280" s="137"/>
    </row>
    <row r="281">
      <c r="B281" s="12"/>
      <c r="C281" s="137"/>
    </row>
    <row r="282">
      <c r="B282" s="12"/>
      <c r="C282" s="137"/>
    </row>
    <row r="283">
      <c r="B283" s="12"/>
      <c r="C283" s="137"/>
    </row>
    <row r="284">
      <c r="B284" s="12"/>
      <c r="C284" s="137"/>
    </row>
    <row r="285">
      <c r="B285" s="12"/>
      <c r="C285" s="137"/>
    </row>
    <row r="286">
      <c r="B286" s="12"/>
      <c r="C286" s="137"/>
    </row>
    <row r="287">
      <c r="B287" s="12"/>
      <c r="C287" s="137"/>
    </row>
    <row r="288">
      <c r="B288" s="12"/>
      <c r="C288" s="137"/>
    </row>
    <row r="289">
      <c r="B289" s="12"/>
      <c r="C289" s="137"/>
    </row>
    <row r="290">
      <c r="B290" s="12"/>
      <c r="C290" s="137"/>
    </row>
    <row r="291">
      <c r="B291" s="12"/>
      <c r="C291" s="137"/>
    </row>
    <row r="292">
      <c r="B292" s="12"/>
      <c r="C292" s="137"/>
    </row>
    <row r="293">
      <c r="B293" s="12"/>
      <c r="C293" s="137"/>
    </row>
    <row r="294">
      <c r="B294" s="12"/>
      <c r="C294" s="137"/>
    </row>
    <row r="295">
      <c r="B295" s="12"/>
      <c r="C295" s="137"/>
    </row>
    <row r="296">
      <c r="B296" s="12"/>
      <c r="C296" s="137"/>
    </row>
    <row r="297">
      <c r="B297" s="12"/>
      <c r="C297" s="137"/>
    </row>
    <row r="298">
      <c r="B298" s="12"/>
      <c r="C298" s="137"/>
    </row>
    <row r="299">
      <c r="B299" s="12"/>
      <c r="C299" s="137"/>
    </row>
    <row r="300">
      <c r="B300" s="12"/>
      <c r="C300" s="137"/>
    </row>
    <row r="301">
      <c r="B301" s="12"/>
      <c r="C301" s="137"/>
    </row>
    <row r="302">
      <c r="B302" s="12"/>
      <c r="C302" s="137"/>
    </row>
    <row r="303">
      <c r="B303" s="12"/>
      <c r="C303" s="137"/>
    </row>
    <row r="304">
      <c r="B304" s="12"/>
      <c r="C304" s="137"/>
    </row>
    <row r="305">
      <c r="B305" s="12"/>
      <c r="C305" s="137"/>
    </row>
    <row r="306">
      <c r="B306" s="12"/>
      <c r="C306" s="137"/>
    </row>
    <row r="307">
      <c r="B307" s="12"/>
      <c r="C307" s="137"/>
    </row>
    <row r="308">
      <c r="B308" s="12"/>
      <c r="C308" s="137"/>
    </row>
    <row r="309">
      <c r="B309" s="12"/>
      <c r="C309" s="137"/>
    </row>
    <row r="310">
      <c r="B310" s="12"/>
      <c r="C310" s="137"/>
    </row>
    <row r="311">
      <c r="B311" s="12"/>
      <c r="C311" s="137"/>
    </row>
    <row r="312">
      <c r="B312" s="12"/>
      <c r="C312" s="137"/>
    </row>
    <row r="313">
      <c r="B313" s="12"/>
      <c r="C313" s="137"/>
    </row>
    <row r="314">
      <c r="B314" s="12"/>
      <c r="C314" s="137"/>
    </row>
    <row r="315">
      <c r="B315" s="12"/>
      <c r="C315" s="137"/>
    </row>
    <row r="316">
      <c r="B316" s="12"/>
      <c r="C316" s="137"/>
    </row>
    <row r="317">
      <c r="B317" s="12"/>
      <c r="C317" s="137"/>
    </row>
    <row r="318">
      <c r="B318" s="12"/>
      <c r="C318" s="137"/>
    </row>
    <row r="319">
      <c r="B319" s="12"/>
      <c r="C319" s="137"/>
    </row>
    <row r="320">
      <c r="B320" s="12"/>
      <c r="C320" s="137"/>
    </row>
    <row r="321">
      <c r="B321" s="12"/>
      <c r="C321" s="137"/>
    </row>
    <row r="322">
      <c r="B322" s="12"/>
      <c r="C322" s="137"/>
    </row>
    <row r="323">
      <c r="B323" s="12"/>
      <c r="C323" s="137"/>
    </row>
    <row r="324">
      <c r="B324" s="12"/>
      <c r="C324" s="137"/>
    </row>
    <row r="325">
      <c r="B325" s="12"/>
      <c r="C325" s="137"/>
    </row>
    <row r="326">
      <c r="B326" s="12"/>
      <c r="C326" s="137"/>
    </row>
    <row r="327">
      <c r="B327" s="12"/>
      <c r="C327" s="137"/>
    </row>
    <row r="328">
      <c r="B328" s="12"/>
      <c r="C328" s="137"/>
    </row>
    <row r="329">
      <c r="B329" s="12"/>
      <c r="C329" s="137"/>
    </row>
    <row r="330">
      <c r="B330" s="12"/>
      <c r="C330" s="137"/>
    </row>
    <row r="331">
      <c r="B331" s="12"/>
      <c r="C331" s="137"/>
    </row>
    <row r="332">
      <c r="B332" s="12"/>
      <c r="C332" s="137"/>
    </row>
    <row r="333">
      <c r="B333" s="12"/>
      <c r="C333" s="137"/>
    </row>
    <row r="334">
      <c r="B334" s="12"/>
      <c r="C334" s="137"/>
    </row>
    <row r="335">
      <c r="B335" s="12"/>
      <c r="C335" s="137"/>
    </row>
    <row r="336">
      <c r="B336" s="12"/>
      <c r="C336" s="137"/>
    </row>
    <row r="337">
      <c r="B337" s="12"/>
      <c r="C337" s="137"/>
    </row>
    <row r="338">
      <c r="B338" s="12"/>
      <c r="C338" s="137"/>
    </row>
    <row r="339">
      <c r="B339" s="12"/>
      <c r="C339" s="137"/>
    </row>
    <row r="340">
      <c r="B340" s="12"/>
      <c r="C340" s="137"/>
    </row>
    <row r="341">
      <c r="B341" s="12"/>
      <c r="C341" s="137"/>
    </row>
    <row r="342">
      <c r="B342" s="12"/>
      <c r="C342" s="137"/>
    </row>
    <row r="343">
      <c r="B343" s="12"/>
      <c r="C343" s="137"/>
    </row>
    <row r="344">
      <c r="B344" s="12"/>
      <c r="C344" s="137"/>
    </row>
    <row r="345">
      <c r="B345" s="12"/>
      <c r="C345" s="137"/>
    </row>
    <row r="346">
      <c r="B346" s="12"/>
      <c r="C346" s="137"/>
    </row>
    <row r="347">
      <c r="B347" s="12"/>
      <c r="C347" s="137"/>
    </row>
    <row r="348">
      <c r="B348" s="12"/>
      <c r="C348" s="137"/>
    </row>
    <row r="349">
      <c r="B349" s="12"/>
      <c r="C349" s="137"/>
    </row>
    <row r="350">
      <c r="B350" s="12"/>
      <c r="C350" s="137"/>
    </row>
    <row r="351">
      <c r="B351" s="12"/>
      <c r="C351" s="137"/>
    </row>
    <row r="352">
      <c r="B352" s="12"/>
      <c r="C352" s="137"/>
    </row>
    <row r="353">
      <c r="B353" s="12"/>
      <c r="C353" s="137"/>
    </row>
    <row r="354">
      <c r="B354" s="12"/>
      <c r="C354" s="137"/>
    </row>
    <row r="355">
      <c r="B355" s="12"/>
      <c r="C355" s="137"/>
    </row>
    <row r="356">
      <c r="B356" s="12"/>
      <c r="C356" s="137"/>
    </row>
    <row r="357">
      <c r="B357" s="12"/>
      <c r="C357" s="137"/>
    </row>
    <row r="358">
      <c r="B358" s="12"/>
      <c r="C358" s="137"/>
    </row>
    <row r="359">
      <c r="B359" s="12"/>
      <c r="C359" s="137"/>
    </row>
    <row r="360">
      <c r="B360" s="12"/>
      <c r="C360" s="137"/>
    </row>
    <row r="361">
      <c r="B361" s="12"/>
      <c r="C361" s="137"/>
    </row>
    <row r="362">
      <c r="B362" s="12"/>
      <c r="C362" s="137"/>
    </row>
    <row r="363">
      <c r="B363" s="12"/>
      <c r="C363" s="137"/>
    </row>
    <row r="364">
      <c r="B364" s="12"/>
      <c r="C364" s="137"/>
    </row>
    <row r="365">
      <c r="B365" s="12"/>
      <c r="C365" s="137"/>
    </row>
    <row r="366">
      <c r="B366" s="12"/>
      <c r="C366" s="137"/>
    </row>
    <row r="367">
      <c r="B367" s="12"/>
      <c r="C367" s="137"/>
    </row>
    <row r="368">
      <c r="B368" s="12"/>
      <c r="C368" s="137"/>
    </row>
    <row r="369">
      <c r="B369" s="12"/>
      <c r="C369" s="137"/>
    </row>
    <row r="370">
      <c r="B370" s="12"/>
      <c r="C370" s="137"/>
    </row>
    <row r="371">
      <c r="B371" s="12"/>
      <c r="C371" s="137"/>
    </row>
    <row r="372">
      <c r="B372" s="12"/>
      <c r="C372" s="137"/>
    </row>
    <row r="373">
      <c r="B373" s="12"/>
      <c r="C373" s="137"/>
    </row>
    <row r="374">
      <c r="B374" s="12"/>
      <c r="C374" s="137"/>
    </row>
    <row r="375">
      <c r="B375" s="12"/>
      <c r="C375" s="137"/>
    </row>
    <row r="376">
      <c r="B376" s="12"/>
      <c r="C376" s="137"/>
    </row>
    <row r="377">
      <c r="B377" s="12"/>
      <c r="C377" s="137"/>
    </row>
    <row r="378">
      <c r="B378" s="12"/>
      <c r="C378" s="137"/>
    </row>
    <row r="379">
      <c r="B379" s="12"/>
      <c r="C379" s="137"/>
    </row>
    <row r="380">
      <c r="B380" s="12"/>
      <c r="C380" s="137"/>
    </row>
    <row r="381">
      <c r="B381" s="12"/>
      <c r="C381" s="137"/>
    </row>
    <row r="382">
      <c r="B382" s="12"/>
      <c r="C382" s="137"/>
    </row>
    <row r="383">
      <c r="B383" s="12"/>
      <c r="C383" s="137"/>
    </row>
    <row r="384">
      <c r="B384" s="12"/>
      <c r="C384" s="137"/>
    </row>
    <row r="385">
      <c r="B385" s="12"/>
      <c r="C385" s="137"/>
    </row>
    <row r="386">
      <c r="B386" s="12"/>
      <c r="C386" s="137"/>
    </row>
    <row r="387">
      <c r="B387" s="12"/>
      <c r="C387" s="137"/>
    </row>
    <row r="388">
      <c r="B388" s="12"/>
      <c r="C388" s="137"/>
    </row>
    <row r="389">
      <c r="B389" s="12"/>
      <c r="C389" s="137"/>
    </row>
    <row r="390">
      <c r="B390" s="12"/>
      <c r="C390" s="137"/>
    </row>
    <row r="391">
      <c r="B391" s="12"/>
      <c r="C391" s="137"/>
    </row>
    <row r="392">
      <c r="B392" s="12"/>
      <c r="C392" s="137"/>
    </row>
    <row r="393">
      <c r="B393" s="12"/>
      <c r="C393" s="137"/>
    </row>
    <row r="394">
      <c r="B394" s="12"/>
      <c r="C394" s="137"/>
    </row>
    <row r="395">
      <c r="B395" s="12"/>
      <c r="C395" s="137"/>
    </row>
    <row r="396">
      <c r="B396" s="12"/>
      <c r="C396" s="137"/>
    </row>
    <row r="397">
      <c r="B397" s="12"/>
      <c r="C397" s="137"/>
    </row>
    <row r="398">
      <c r="B398" s="12"/>
      <c r="C398" s="137"/>
    </row>
    <row r="399">
      <c r="B399" s="12"/>
      <c r="C399" s="137"/>
    </row>
    <row r="400">
      <c r="B400" s="12"/>
      <c r="C400" s="137"/>
    </row>
    <row r="401">
      <c r="B401" s="12"/>
      <c r="C401" s="137"/>
    </row>
    <row r="402">
      <c r="B402" s="12"/>
      <c r="C402" s="137"/>
    </row>
    <row r="403">
      <c r="B403" s="12"/>
      <c r="C403" s="137"/>
    </row>
    <row r="404">
      <c r="B404" s="12"/>
      <c r="C404" s="137"/>
    </row>
    <row r="405">
      <c r="B405" s="12"/>
      <c r="C405" s="137"/>
    </row>
    <row r="406">
      <c r="B406" s="12"/>
      <c r="C406" s="137"/>
    </row>
    <row r="407">
      <c r="B407" s="12"/>
      <c r="C407" s="137"/>
    </row>
    <row r="408">
      <c r="B408" s="12"/>
      <c r="C408" s="137"/>
    </row>
    <row r="409">
      <c r="B409" s="12"/>
      <c r="C409" s="137"/>
    </row>
    <row r="410">
      <c r="B410" s="12"/>
      <c r="C410" s="137"/>
    </row>
    <row r="411">
      <c r="B411" s="12"/>
      <c r="C411" s="137"/>
    </row>
    <row r="412">
      <c r="B412" s="12"/>
      <c r="C412" s="137"/>
    </row>
    <row r="413">
      <c r="B413" s="12"/>
      <c r="C413" s="137"/>
    </row>
    <row r="414">
      <c r="B414" s="12"/>
      <c r="C414" s="137"/>
    </row>
    <row r="415">
      <c r="B415" s="12"/>
      <c r="C415" s="137"/>
    </row>
    <row r="416">
      <c r="B416" s="12"/>
      <c r="C416" s="137"/>
    </row>
    <row r="417">
      <c r="B417" s="12"/>
      <c r="C417" s="137"/>
    </row>
    <row r="418">
      <c r="B418" s="12"/>
      <c r="C418" s="137"/>
    </row>
    <row r="419">
      <c r="B419" s="12"/>
      <c r="C419" s="137"/>
    </row>
    <row r="420">
      <c r="B420" s="12"/>
      <c r="C420" s="137"/>
    </row>
    <row r="421">
      <c r="B421" s="12"/>
      <c r="C421" s="137"/>
    </row>
    <row r="422">
      <c r="B422" s="12"/>
      <c r="C422" s="137"/>
    </row>
    <row r="423">
      <c r="B423" s="12"/>
      <c r="C423" s="137"/>
    </row>
    <row r="424">
      <c r="B424" s="12"/>
      <c r="C424" s="137"/>
    </row>
    <row r="425">
      <c r="B425" s="12"/>
      <c r="C425" s="137"/>
    </row>
    <row r="426">
      <c r="B426" s="12"/>
      <c r="C426" s="137"/>
    </row>
    <row r="427">
      <c r="B427" s="12"/>
      <c r="C427" s="137"/>
    </row>
    <row r="428">
      <c r="B428" s="12"/>
      <c r="C428" s="137"/>
    </row>
    <row r="429">
      <c r="B429" s="12"/>
      <c r="C429" s="137"/>
    </row>
    <row r="430">
      <c r="B430" s="12"/>
      <c r="C430" s="137"/>
    </row>
    <row r="431">
      <c r="B431" s="12"/>
      <c r="C431" s="137"/>
    </row>
    <row r="432">
      <c r="B432" s="12"/>
      <c r="C432" s="137"/>
    </row>
    <row r="433">
      <c r="B433" s="12"/>
      <c r="C433" s="137"/>
    </row>
    <row r="434">
      <c r="B434" s="12"/>
      <c r="C434" s="137"/>
    </row>
    <row r="435">
      <c r="B435" s="12"/>
      <c r="C435" s="137"/>
    </row>
    <row r="436">
      <c r="B436" s="12"/>
      <c r="C436" s="137"/>
    </row>
    <row r="437">
      <c r="B437" s="12"/>
      <c r="C437" s="137"/>
    </row>
    <row r="438">
      <c r="B438" s="12"/>
      <c r="C438" s="137"/>
    </row>
    <row r="439">
      <c r="B439" s="12"/>
      <c r="C439" s="137"/>
    </row>
    <row r="440">
      <c r="B440" s="12"/>
      <c r="C440" s="137"/>
    </row>
    <row r="441">
      <c r="B441" s="12"/>
      <c r="C441" s="137"/>
    </row>
    <row r="442">
      <c r="B442" s="12"/>
      <c r="C442" s="137"/>
    </row>
    <row r="443">
      <c r="B443" s="12"/>
      <c r="C443" s="137"/>
    </row>
    <row r="444">
      <c r="B444" s="12"/>
      <c r="C444" s="137"/>
    </row>
    <row r="445">
      <c r="B445" s="12"/>
      <c r="C445" s="137"/>
    </row>
    <row r="446">
      <c r="B446" s="12"/>
      <c r="C446" s="137"/>
    </row>
    <row r="447">
      <c r="B447" s="12"/>
      <c r="C447" s="137"/>
    </row>
    <row r="448">
      <c r="B448" s="12"/>
      <c r="C448" s="137"/>
    </row>
    <row r="449">
      <c r="B449" s="12"/>
      <c r="C449" s="137"/>
    </row>
    <row r="450">
      <c r="B450" s="12"/>
      <c r="C450" s="137"/>
    </row>
    <row r="451">
      <c r="B451" s="12"/>
      <c r="C451" s="137"/>
    </row>
    <row r="452">
      <c r="B452" s="12"/>
      <c r="C452" s="137"/>
    </row>
    <row r="453">
      <c r="B453" s="12"/>
      <c r="C453" s="137"/>
    </row>
    <row r="454">
      <c r="B454" s="12"/>
      <c r="C454" s="137"/>
    </row>
    <row r="455">
      <c r="B455" s="12"/>
      <c r="C455" s="137"/>
    </row>
    <row r="456">
      <c r="B456" s="12"/>
      <c r="C456" s="137"/>
    </row>
    <row r="457">
      <c r="B457" s="12"/>
      <c r="C457" s="137"/>
    </row>
    <row r="458">
      <c r="B458" s="12"/>
      <c r="C458" s="137"/>
    </row>
    <row r="459">
      <c r="B459" s="12"/>
      <c r="C459" s="137"/>
    </row>
    <row r="460">
      <c r="B460" s="12"/>
      <c r="C460" s="137"/>
    </row>
    <row r="461">
      <c r="B461" s="12"/>
      <c r="C461" s="137"/>
    </row>
    <row r="462">
      <c r="B462" s="12"/>
      <c r="C462" s="137"/>
    </row>
    <row r="463">
      <c r="B463" s="12"/>
      <c r="C463" s="137"/>
    </row>
    <row r="464">
      <c r="B464" s="12"/>
      <c r="C464" s="137"/>
    </row>
    <row r="465">
      <c r="B465" s="12"/>
      <c r="C465" s="137"/>
    </row>
    <row r="466">
      <c r="B466" s="12"/>
      <c r="C466" s="137"/>
    </row>
    <row r="467">
      <c r="B467" s="12"/>
      <c r="C467" s="137"/>
    </row>
    <row r="468">
      <c r="B468" s="12"/>
      <c r="C468" s="137"/>
    </row>
    <row r="469">
      <c r="B469" s="12"/>
      <c r="C469" s="137"/>
    </row>
    <row r="470">
      <c r="B470" s="12"/>
      <c r="C470" s="137"/>
    </row>
    <row r="471">
      <c r="B471" s="12"/>
      <c r="C471" s="137"/>
    </row>
    <row r="472">
      <c r="B472" s="12"/>
      <c r="C472" s="137"/>
    </row>
    <row r="473">
      <c r="B473" s="12"/>
      <c r="C473" s="137"/>
    </row>
    <row r="474">
      <c r="B474" s="12"/>
      <c r="C474" s="137"/>
    </row>
    <row r="475">
      <c r="B475" s="12"/>
      <c r="C475" s="137"/>
    </row>
    <row r="476">
      <c r="B476" s="12"/>
      <c r="C476" s="137"/>
    </row>
    <row r="477">
      <c r="B477" s="12"/>
      <c r="C477" s="137"/>
    </row>
    <row r="478">
      <c r="B478" s="12"/>
      <c r="C478" s="137"/>
    </row>
    <row r="479">
      <c r="B479" s="12"/>
      <c r="C479" s="137"/>
    </row>
    <row r="480">
      <c r="B480" s="12"/>
      <c r="C480" s="137"/>
    </row>
    <row r="481">
      <c r="B481" s="12"/>
      <c r="C481" s="137"/>
    </row>
    <row r="482">
      <c r="B482" s="12"/>
      <c r="C482" s="137"/>
    </row>
    <row r="483">
      <c r="B483" s="12"/>
      <c r="C483" s="137"/>
    </row>
    <row r="484">
      <c r="B484" s="12"/>
      <c r="C484" s="137"/>
    </row>
    <row r="485">
      <c r="B485" s="12"/>
      <c r="C485" s="137"/>
    </row>
    <row r="486">
      <c r="B486" s="12"/>
      <c r="C486" s="137"/>
    </row>
    <row r="487">
      <c r="B487" s="12"/>
      <c r="C487" s="137"/>
    </row>
    <row r="488">
      <c r="B488" s="12"/>
      <c r="C488" s="137"/>
    </row>
    <row r="489">
      <c r="B489" s="12"/>
      <c r="C489" s="137"/>
    </row>
    <row r="490">
      <c r="B490" s="12"/>
      <c r="C490" s="137"/>
    </row>
    <row r="491">
      <c r="B491" s="12"/>
      <c r="C491" s="137"/>
    </row>
    <row r="492">
      <c r="B492" s="12"/>
      <c r="C492" s="137"/>
    </row>
    <row r="493">
      <c r="B493" s="12"/>
      <c r="C493" s="137"/>
    </row>
    <row r="494">
      <c r="B494" s="12"/>
      <c r="C494" s="137"/>
    </row>
    <row r="495">
      <c r="B495" s="12"/>
      <c r="C495" s="137"/>
    </row>
    <row r="496">
      <c r="B496" s="12"/>
      <c r="C496" s="137"/>
    </row>
    <row r="497">
      <c r="B497" s="12"/>
      <c r="C497" s="137"/>
    </row>
    <row r="498">
      <c r="B498" s="12"/>
      <c r="C498" s="137"/>
    </row>
    <row r="499">
      <c r="B499" s="12"/>
      <c r="C499" s="137"/>
    </row>
    <row r="500">
      <c r="B500" s="12"/>
      <c r="C500" s="137"/>
    </row>
    <row r="501">
      <c r="B501" s="12"/>
      <c r="C501" s="137"/>
    </row>
    <row r="502">
      <c r="B502" s="12"/>
      <c r="C502" s="137"/>
    </row>
    <row r="503">
      <c r="B503" s="12"/>
      <c r="C503" s="137"/>
    </row>
    <row r="504">
      <c r="B504" s="12"/>
      <c r="C504" s="137"/>
    </row>
    <row r="505">
      <c r="B505" s="12"/>
      <c r="C505" s="137"/>
    </row>
    <row r="506">
      <c r="B506" s="12"/>
      <c r="C506" s="137"/>
    </row>
    <row r="507">
      <c r="B507" s="12"/>
      <c r="C507" s="137"/>
    </row>
    <row r="508">
      <c r="B508" s="12"/>
      <c r="C508" s="137"/>
    </row>
    <row r="509">
      <c r="B509" s="12"/>
      <c r="C509" s="137"/>
    </row>
    <row r="510">
      <c r="B510" s="12"/>
      <c r="C510" s="137"/>
    </row>
    <row r="511">
      <c r="B511" s="12"/>
      <c r="C511" s="137"/>
    </row>
    <row r="512">
      <c r="B512" s="12"/>
      <c r="C512" s="137"/>
    </row>
    <row r="513">
      <c r="B513" s="12"/>
      <c r="C513" s="137"/>
    </row>
    <row r="514">
      <c r="B514" s="12"/>
      <c r="C514" s="137"/>
    </row>
    <row r="515">
      <c r="B515" s="12"/>
      <c r="C515" s="137"/>
    </row>
    <row r="516">
      <c r="B516" s="12"/>
      <c r="C516" s="137"/>
    </row>
    <row r="517">
      <c r="B517" s="12"/>
      <c r="C517" s="137"/>
    </row>
    <row r="518">
      <c r="B518" s="12"/>
      <c r="C518" s="137"/>
    </row>
    <row r="519">
      <c r="B519" s="12"/>
      <c r="C519" s="137"/>
    </row>
    <row r="520">
      <c r="B520" s="12"/>
      <c r="C520" s="137"/>
    </row>
    <row r="521">
      <c r="B521" s="12"/>
      <c r="C521" s="137"/>
    </row>
    <row r="522">
      <c r="B522" s="12"/>
      <c r="C522" s="137"/>
    </row>
    <row r="523">
      <c r="B523" s="12"/>
      <c r="C523" s="137"/>
    </row>
    <row r="524">
      <c r="B524" s="12"/>
      <c r="C524" s="137"/>
    </row>
    <row r="525">
      <c r="B525" s="12"/>
      <c r="C525" s="137"/>
    </row>
    <row r="526">
      <c r="B526" s="12"/>
      <c r="C526" s="137"/>
    </row>
    <row r="527">
      <c r="B527" s="12"/>
      <c r="C527" s="137"/>
    </row>
    <row r="528">
      <c r="B528" s="12"/>
      <c r="C528" s="137"/>
    </row>
    <row r="529">
      <c r="B529" s="12"/>
      <c r="C529" s="137"/>
    </row>
    <row r="530">
      <c r="B530" s="12"/>
      <c r="C530" s="137"/>
    </row>
    <row r="531">
      <c r="B531" s="12"/>
      <c r="C531" s="137"/>
    </row>
    <row r="532">
      <c r="B532" s="12"/>
      <c r="C532" s="137"/>
    </row>
    <row r="533">
      <c r="B533" s="12"/>
      <c r="C533" s="137"/>
    </row>
    <row r="534">
      <c r="B534" s="12"/>
      <c r="C534" s="137"/>
    </row>
    <row r="535">
      <c r="B535" s="12"/>
      <c r="C535" s="137"/>
    </row>
    <row r="536">
      <c r="B536" s="12"/>
      <c r="C536" s="137"/>
    </row>
    <row r="537">
      <c r="B537" s="12"/>
      <c r="C537" s="137"/>
    </row>
    <row r="538">
      <c r="B538" s="12"/>
      <c r="C538" s="137"/>
    </row>
    <row r="539">
      <c r="B539" s="12"/>
      <c r="C539" s="137"/>
    </row>
    <row r="540">
      <c r="B540" s="12"/>
      <c r="C540" s="137"/>
    </row>
    <row r="541">
      <c r="B541" s="12"/>
      <c r="C541" s="137"/>
    </row>
    <row r="542">
      <c r="B542" s="12"/>
      <c r="C542" s="137"/>
    </row>
    <row r="543">
      <c r="B543" s="12"/>
      <c r="C543" s="137"/>
    </row>
    <row r="544">
      <c r="B544" s="12"/>
      <c r="C544" s="137"/>
    </row>
    <row r="545">
      <c r="B545" s="12"/>
      <c r="C545" s="137"/>
    </row>
    <row r="546">
      <c r="B546" s="12"/>
      <c r="C546" s="137"/>
    </row>
    <row r="547">
      <c r="B547" s="12"/>
      <c r="C547" s="137"/>
    </row>
    <row r="548">
      <c r="B548" s="12"/>
      <c r="C548" s="137"/>
    </row>
    <row r="549">
      <c r="B549" s="12"/>
      <c r="C549" s="137"/>
    </row>
    <row r="550">
      <c r="B550" s="12"/>
      <c r="C550" s="137"/>
    </row>
    <row r="551">
      <c r="B551" s="12"/>
      <c r="C551" s="137"/>
    </row>
    <row r="552">
      <c r="B552" s="12"/>
      <c r="C552" s="137"/>
    </row>
    <row r="553">
      <c r="B553" s="12"/>
      <c r="C553" s="137"/>
    </row>
    <row r="554">
      <c r="B554" s="12"/>
      <c r="C554" s="137"/>
    </row>
    <row r="555">
      <c r="B555" s="12"/>
      <c r="C555" s="137"/>
    </row>
    <row r="556">
      <c r="B556" s="12"/>
      <c r="C556" s="137"/>
    </row>
    <row r="557">
      <c r="B557" s="12"/>
      <c r="C557" s="137"/>
    </row>
    <row r="558">
      <c r="B558" s="12"/>
      <c r="C558" s="137"/>
    </row>
    <row r="559">
      <c r="B559" s="12"/>
      <c r="C559" s="137"/>
    </row>
    <row r="560">
      <c r="B560" s="12"/>
      <c r="C560" s="137"/>
    </row>
    <row r="561">
      <c r="B561" s="12"/>
      <c r="C561" s="137"/>
    </row>
    <row r="562">
      <c r="B562" s="12"/>
      <c r="C562" s="137"/>
    </row>
    <row r="563">
      <c r="B563" s="12"/>
      <c r="C563" s="137"/>
    </row>
    <row r="564">
      <c r="B564" s="12"/>
      <c r="C564" s="137"/>
    </row>
    <row r="565">
      <c r="B565" s="12"/>
      <c r="C565" s="137"/>
    </row>
    <row r="566">
      <c r="B566" s="12"/>
      <c r="C566" s="137"/>
    </row>
    <row r="567">
      <c r="B567" s="12"/>
      <c r="C567" s="137"/>
    </row>
    <row r="568">
      <c r="B568" s="12"/>
      <c r="C568" s="137"/>
    </row>
    <row r="569">
      <c r="B569" s="12"/>
      <c r="C569" s="137"/>
    </row>
    <row r="570">
      <c r="B570" s="12"/>
      <c r="C570" s="137"/>
    </row>
    <row r="571">
      <c r="B571" s="12"/>
      <c r="C571" s="137"/>
    </row>
    <row r="572">
      <c r="B572" s="12"/>
      <c r="C572" s="137"/>
    </row>
    <row r="573">
      <c r="B573" s="12"/>
      <c r="C573" s="137"/>
    </row>
    <row r="574">
      <c r="B574" s="12"/>
      <c r="C574" s="137"/>
    </row>
    <row r="575">
      <c r="B575" s="12"/>
      <c r="C575" s="137"/>
    </row>
    <row r="576">
      <c r="B576" s="12"/>
      <c r="C576" s="137"/>
    </row>
    <row r="577">
      <c r="B577" s="12"/>
      <c r="C577" s="137"/>
    </row>
    <row r="578">
      <c r="B578" s="12"/>
      <c r="C578" s="137"/>
    </row>
    <row r="579">
      <c r="B579" s="12"/>
      <c r="C579" s="137"/>
    </row>
    <row r="580">
      <c r="B580" s="12"/>
      <c r="C580" s="137"/>
    </row>
    <row r="581">
      <c r="B581" s="12"/>
      <c r="C581" s="137"/>
    </row>
    <row r="582">
      <c r="B582" s="12"/>
      <c r="C582" s="137"/>
    </row>
    <row r="583">
      <c r="B583" s="12"/>
      <c r="C583" s="137"/>
    </row>
    <row r="584">
      <c r="B584" s="12"/>
      <c r="C584" s="137"/>
    </row>
    <row r="585">
      <c r="B585" s="12"/>
      <c r="C585" s="137"/>
    </row>
    <row r="586">
      <c r="B586" s="12"/>
      <c r="C586" s="137"/>
    </row>
    <row r="587">
      <c r="B587" s="12"/>
      <c r="C587" s="137"/>
    </row>
    <row r="588">
      <c r="B588" s="12"/>
      <c r="C588" s="137"/>
    </row>
    <row r="589">
      <c r="B589" s="12"/>
      <c r="C589" s="137"/>
    </row>
    <row r="590">
      <c r="B590" s="12"/>
      <c r="C590" s="137"/>
    </row>
    <row r="591">
      <c r="B591" s="12"/>
      <c r="C591" s="137"/>
    </row>
    <row r="592">
      <c r="B592" s="12"/>
      <c r="C592" s="137"/>
    </row>
    <row r="593">
      <c r="B593" s="12"/>
      <c r="C593" s="137"/>
    </row>
    <row r="594">
      <c r="B594" s="12"/>
      <c r="C594" s="137"/>
    </row>
    <row r="595">
      <c r="B595" s="12"/>
      <c r="C595" s="137"/>
    </row>
    <row r="596">
      <c r="B596" s="12"/>
      <c r="C596" s="137"/>
    </row>
    <row r="597">
      <c r="B597" s="12"/>
      <c r="C597" s="137"/>
    </row>
    <row r="598">
      <c r="B598" s="12"/>
      <c r="C598" s="137"/>
    </row>
    <row r="599">
      <c r="B599" s="12"/>
      <c r="C599" s="137"/>
    </row>
    <row r="600">
      <c r="B600" s="12"/>
      <c r="C600" s="137"/>
    </row>
    <row r="601">
      <c r="B601" s="12"/>
      <c r="C601" s="137"/>
    </row>
    <row r="602">
      <c r="B602" s="12"/>
      <c r="C602" s="137"/>
    </row>
    <row r="603">
      <c r="B603" s="12"/>
      <c r="C603" s="137"/>
    </row>
    <row r="604">
      <c r="B604" s="12"/>
      <c r="C604" s="137"/>
    </row>
    <row r="605">
      <c r="B605" s="12"/>
      <c r="C605" s="137"/>
    </row>
    <row r="606">
      <c r="B606" s="12"/>
      <c r="C606" s="137"/>
    </row>
    <row r="607">
      <c r="B607" s="12"/>
      <c r="C607" s="137"/>
    </row>
    <row r="608">
      <c r="B608" s="12"/>
      <c r="C608" s="137"/>
    </row>
    <row r="609">
      <c r="B609" s="12"/>
      <c r="C609" s="137"/>
    </row>
    <row r="610">
      <c r="B610" s="12"/>
      <c r="C610" s="137"/>
    </row>
    <row r="611">
      <c r="B611" s="12"/>
      <c r="C611" s="137"/>
    </row>
    <row r="612">
      <c r="B612" s="12"/>
      <c r="C612" s="137"/>
    </row>
    <row r="613">
      <c r="B613" s="12"/>
      <c r="C613" s="137"/>
    </row>
    <row r="614">
      <c r="B614" s="12"/>
      <c r="C614" s="137"/>
    </row>
    <row r="615">
      <c r="B615" s="12"/>
      <c r="C615" s="137"/>
    </row>
    <row r="616">
      <c r="B616" s="12"/>
      <c r="C616" s="137"/>
    </row>
    <row r="617">
      <c r="B617" s="12"/>
      <c r="C617" s="137"/>
    </row>
    <row r="618">
      <c r="B618" s="12"/>
      <c r="C618" s="137"/>
    </row>
    <row r="619">
      <c r="B619" s="12"/>
      <c r="C619" s="137"/>
    </row>
    <row r="620">
      <c r="B620" s="12"/>
      <c r="C620" s="137"/>
    </row>
    <row r="621">
      <c r="B621" s="12"/>
      <c r="C621" s="137"/>
    </row>
    <row r="622">
      <c r="B622" s="12"/>
      <c r="C622" s="137"/>
    </row>
    <row r="623">
      <c r="B623" s="12"/>
      <c r="C623" s="137"/>
    </row>
    <row r="624">
      <c r="B624" s="12"/>
      <c r="C624" s="137"/>
    </row>
    <row r="625">
      <c r="B625" s="12"/>
      <c r="C625" s="137"/>
    </row>
    <row r="626">
      <c r="B626" s="12"/>
      <c r="C626" s="137"/>
    </row>
    <row r="627">
      <c r="B627" s="12"/>
      <c r="C627" s="137"/>
    </row>
    <row r="628">
      <c r="B628" s="12"/>
      <c r="C628" s="137"/>
    </row>
    <row r="629">
      <c r="B629" s="12"/>
      <c r="C629" s="137"/>
    </row>
    <row r="630">
      <c r="B630" s="12"/>
      <c r="C630" s="137"/>
    </row>
    <row r="631">
      <c r="B631" s="12"/>
      <c r="C631" s="137"/>
    </row>
    <row r="632">
      <c r="B632" s="12"/>
      <c r="C632" s="137"/>
    </row>
    <row r="633">
      <c r="B633" s="12"/>
      <c r="C633" s="137"/>
    </row>
    <row r="634">
      <c r="B634" s="12"/>
      <c r="C634" s="137"/>
    </row>
    <row r="635">
      <c r="B635" s="12"/>
      <c r="C635" s="137"/>
    </row>
    <row r="636">
      <c r="B636" s="12"/>
      <c r="C636" s="137"/>
    </row>
    <row r="637">
      <c r="B637" s="12"/>
      <c r="C637" s="137"/>
    </row>
    <row r="638">
      <c r="B638" s="12"/>
      <c r="C638" s="137"/>
    </row>
    <row r="639">
      <c r="B639" s="12"/>
      <c r="C639" s="137"/>
    </row>
    <row r="640">
      <c r="B640" s="12"/>
      <c r="C640" s="137"/>
    </row>
    <row r="641">
      <c r="B641" s="12"/>
      <c r="C641" s="137"/>
    </row>
    <row r="642">
      <c r="B642" s="12"/>
      <c r="C642" s="137"/>
    </row>
    <row r="643">
      <c r="B643" s="12"/>
      <c r="C643" s="137"/>
    </row>
    <row r="644">
      <c r="B644" s="12"/>
      <c r="C644" s="137"/>
    </row>
    <row r="645">
      <c r="B645" s="12"/>
      <c r="C645" s="137"/>
    </row>
    <row r="646">
      <c r="B646" s="12"/>
      <c r="C646" s="137"/>
    </row>
    <row r="647">
      <c r="B647" s="12"/>
      <c r="C647" s="137"/>
    </row>
    <row r="648">
      <c r="B648" s="12"/>
      <c r="C648" s="137"/>
    </row>
    <row r="649">
      <c r="B649" s="12"/>
      <c r="C649" s="137"/>
    </row>
    <row r="650">
      <c r="B650" s="12"/>
      <c r="C650" s="137"/>
    </row>
    <row r="651">
      <c r="B651" s="12"/>
      <c r="C651" s="137"/>
    </row>
    <row r="652">
      <c r="B652" s="12"/>
      <c r="C652" s="137"/>
    </row>
    <row r="653">
      <c r="B653" s="12"/>
      <c r="C653" s="137"/>
    </row>
    <row r="654">
      <c r="B654" s="12"/>
      <c r="C654" s="137"/>
    </row>
    <row r="655">
      <c r="B655" s="12"/>
      <c r="C655" s="137"/>
    </row>
    <row r="656">
      <c r="B656" s="12"/>
      <c r="C656" s="137"/>
    </row>
    <row r="657">
      <c r="B657" s="12"/>
      <c r="C657" s="137"/>
    </row>
    <row r="658">
      <c r="B658" s="12"/>
      <c r="C658" s="137"/>
    </row>
    <row r="659">
      <c r="B659" s="12"/>
      <c r="C659" s="137"/>
    </row>
    <row r="660">
      <c r="B660" s="12"/>
      <c r="C660" s="137"/>
    </row>
    <row r="661">
      <c r="B661" s="12"/>
      <c r="C661" s="137"/>
    </row>
    <row r="662">
      <c r="B662" s="12"/>
      <c r="C662" s="137"/>
    </row>
    <row r="663">
      <c r="B663" s="12"/>
      <c r="C663" s="137"/>
    </row>
    <row r="664">
      <c r="B664" s="12"/>
      <c r="C664" s="137"/>
    </row>
    <row r="665">
      <c r="B665" s="12"/>
      <c r="C665" s="137"/>
    </row>
    <row r="666">
      <c r="B666" s="12"/>
      <c r="C666" s="137"/>
    </row>
    <row r="667">
      <c r="B667" s="12"/>
      <c r="C667" s="137"/>
    </row>
    <row r="668">
      <c r="B668" s="12"/>
      <c r="C668" s="137"/>
    </row>
    <row r="669">
      <c r="B669" s="12"/>
      <c r="C669" s="137"/>
    </row>
    <row r="670">
      <c r="B670" s="12"/>
      <c r="C670" s="137"/>
    </row>
    <row r="671">
      <c r="B671" s="12"/>
      <c r="C671" s="137"/>
    </row>
    <row r="672">
      <c r="B672" s="12"/>
      <c r="C672" s="137"/>
    </row>
    <row r="673">
      <c r="B673" s="12"/>
      <c r="C673" s="137"/>
    </row>
    <row r="674">
      <c r="B674" s="12"/>
      <c r="C674" s="137"/>
    </row>
    <row r="675">
      <c r="B675" s="12"/>
      <c r="C675" s="137"/>
    </row>
    <row r="676">
      <c r="B676" s="12"/>
      <c r="C676" s="137"/>
    </row>
    <row r="677">
      <c r="B677" s="12"/>
      <c r="C677" s="137"/>
    </row>
    <row r="678">
      <c r="B678" s="12"/>
      <c r="C678" s="137"/>
    </row>
    <row r="679">
      <c r="B679" s="12"/>
      <c r="C679" s="137"/>
    </row>
    <row r="680">
      <c r="B680" s="12"/>
      <c r="C680" s="137"/>
    </row>
    <row r="681">
      <c r="B681" s="12"/>
      <c r="C681" s="137"/>
    </row>
    <row r="682">
      <c r="B682" s="12"/>
      <c r="C682" s="137"/>
    </row>
    <row r="683">
      <c r="B683" s="12"/>
      <c r="C683" s="137"/>
    </row>
    <row r="684">
      <c r="B684" s="12"/>
      <c r="C684" s="137"/>
    </row>
    <row r="685">
      <c r="B685" s="12"/>
      <c r="C685" s="137"/>
    </row>
    <row r="686">
      <c r="B686" s="12"/>
      <c r="C686" s="137"/>
    </row>
    <row r="687">
      <c r="B687" s="12"/>
      <c r="C687" s="137"/>
    </row>
    <row r="688">
      <c r="B688" s="12"/>
      <c r="C688" s="137"/>
    </row>
    <row r="689">
      <c r="B689" s="12"/>
      <c r="C689" s="137"/>
    </row>
    <row r="690">
      <c r="B690" s="12"/>
      <c r="C690" s="137"/>
    </row>
    <row r="691">
      <c r="B691" s="12"/>
      <c r="C691" s="137"/>
    </row>
    <row r="692">
      <c r="B692" s="12"/>
      <c r="C692" s="137"/>
    </row>
    <row r="693">
      <c r="B693" s="12"/>
      <c r="C693" s="137"/>
    </row>
    <row r="694">
      <c r="B694" s="12"/>
      <c r="C694" s="137"/>
    </row>
    <row r="695">
      <c r="B695" s="12"/>
      <c r="C695" s="137"/>
    </row>
    <row r="696">
      <c r="B696" s="12"/>
      <c r="C696" s="137"/>
    </row>
    <row r="697">
      <c r="B697" s="12"/>
      <c r="C697" s="137"/>
    </row>
    <row r="698">
      <c r="B698" s="12"/>
      <c r="C698" s="137"/>
    </row>
    <row r="699">
      <c r="B699" s="12"/>
      <c r="C699" s="137"/>
    </row>
    <row r="700">
      <c r="B700" s="12"/>
      <c r="C700" s="137"/>
    </row>
    <row r="701">
      <c r="B701" s="12"/>
      <c r="C701" s="137"/>
    </row>
    <row r="702">
      <c r="B702" s="12"/>
      <c r="C702" s="137"/>
    </row>
    <row r="703">
      <c r="B703" s="12"/>
      <c r="C703" s="137"/>
    </row>
    <row r="704">
      <c r="B704" s="12"/>
      <c r="C704" s="137"/>
    </row>
    <row r="705">
      <c r="B705" s="12"/>
      <c r="C705" s="137"/>
    </row>
    <row r="706">
      <c r="B706" s="12"/>
      <c r="C706" s="137"/>
    </row>
    <row r="707">
      <c r="B707" s="12"/>
      <c r="C707" s="137"/>
    </row>
    <row r="708">
      <c r="B708" s="12"/>
      <c r="C708" s="137"/>
    </row>
    <row r="709">
      <c r="B709" s="12"/>
      <c r="C709" s="137"/>
    </row>
    <row r="710">
      <c r="B710" s="12"/>
      <c r="C710" s="137"/>
    </row>
    <row r="711">
      <c r="B711" s="12"/>
      <c r="C711" s="137"/>
    </row>
    <row r="712">
      <c r="B712" s="12"/>
      <c r="C712" s="137"/>
    </row>
    <row r="713">
      <c r="B713" s="12"/>
      <c r="C713" s="137"/>
    </row>
    <row r="714">
      <c r="B714" s="12"/>
      <c r="C714" s="137"/>
    </row>
    <row r="715">
      <c r="B715" s="12"/>
      <c r="C715" s="137"/>
    </row>
    <row r="716">
      <c r="B716" s="12"/>
      <c r="C716" s="137"/>
    </row>
    <row r="717">
      <c r="B717" s="12"/>
      <c r="C717" s="137"/>
    </row>
    <row r="718">
      <c r="B718" s="12"/>
      <c r="C718" s="137"/>
    </row>
    <row r="719">
      <c r="B719" s="12"/>
      <c r="C719" s="137"/>
    </row>
    <row r="720">
      <c r="B720" s="12"/>
      <c r="C720" s="137"/>
    </row>
    <row r="721">
      <c r="B721" s="12"/>
      <c r="C721" s="137"/>
    </row>
    <row r="722">
      <c r="B722" s="12"/>
      <c r="C722" s="137"/>
    </row>
    <row r="723">
      <c r="B723" s="12"/>
      <c r="C723" s="137"/>
    </row>
    <row r="724">
      <c r="B724" s="12"/>
      <c r="C724" s="137"/>
    </row>
    <row r="725">
      <c r="B725" s="12"/>
      <c r="C725" s="137"/>
    </row>
    <row r="726">
      <c r="B726" s="12"/>
      <c r="C726" s="137"/>
    </row>
    <row r="727">
      <c r="B727" s="12"/>
      <c r="C727" s="137"/>
    </row>
    <row r="728">
      <c r="B728" s="12"/>
      <c r="C728" s="137"/>
    </row>
    <row r="729">
      <c r="B729" s="12"/>
      <c r="C729" s="137"/>
    </row>
    <row r="730">
      <c r="B730" s="12"/>
      <c r="C730" s="137"/>
    </row>
    <row r="731">
      <c r="B731" s="12"/>
      <c r="C731" s="137"/>
    </row>
    <row r="732">
      <c r="B732" s="12"/>
      <c r="C732" s="137"/>
    </row>
    <row r="733">
      <c r="B733" s="12"/>
      <c r="C733" s="137"/>
    </row>
    <row r="734">
      <c r="B734" s="12"/>
      <c r="C734" s="137"/>
    </row>
    <row r="735">
      <c r="B735" s="12"/>
      <c r="C735" s="137"/>
    </row>
    <row r="736">
      <c r="B736" s="12"/>
      <c r="C736" s="137"/>
    </row>
    <row r="737">
      <c r="B737" s="12"/>
      <c r="C737" s="137"/>
    </row>
    <row r="738">
      <c r="B738" s="12"/>
      <c r="C738" s="137"/>
    </row>
    <row r="739">
      <c r="B739" s="12"/>
      <c r="C739" s="137"/>
    </row>
    <row r="740">
      <c r="B740" s="12"/>
      <c r="C740" s="137"/>
    </row>
    <row r="741">
      <c r="B741" s="12"/>
      <c r="C741" s="137"/>
    </row>
    <row r="742">
      <c r="B742" s="12"/>
      <c r="C742" s="137"/>
    </row>
    <row r="743">
      <c r="B743" s="12"/>
      <c r="C743" s="137"/>
    </row>
    <row r="744">
      <c r="B744" s="12"/>
      <c r="C744" s="137"/>
    </row>
    <row r="745">
      <c r="B745" s="12"/>
      <c r="C745" s="137"/>
    </row>
    <row r="746">
      <c r="B746" s="12"/>
      <c r="C746" s="137"/>
    </row>
    <row r="747">
      <c r="B747" s="12"/>
      <c r="C747" s="137"/>
    </row>
    <row r="748">
      <c r="B748" s="12"/>
      <c r="C748" s="137"/>
    </row>
    <row r="749">
      <c r="B749" s="12"/>
      <c r="C749" s="137"/>
    </row>
    <row r="750">
      <c r="B750" s="12"/>
      <c r="C750" s="137"/>
    </row>
    <row r="751">
      <c r="B751" s="12"/>
      <c r="C751" s="137"/>
    </row>
    <row r="752">
      <c r="B752" s="12"/>
      <c r="C752" s="137"/>
    </row>
    <row r="753">
      <c r="B753" s="12"/>
      <c r="C753" s="137"/>
    </row>
    <row r="754">
      <c r="B754" s="12"/>
      <c r="C754" s="137"/>
    </row>
    <row r="755">
      <c r="B755" s="12"/>
      <c r="C755" s="137"/>
    </row>
    <row r="756">
      <c r="B756" s="12"/>
      <c r="C756" s="137"/>
    </row>
    <row r="757">
      <c r="B757" s="12"/>
      <c r="C757" s="137"/>
    </row>
    <row r="758">
      <c r="B758" s="12"/>
      <c r="C758" s="137"/>
    </row>
    <row r="759">
      <c r="B759" s="12"/>
      <c r="C759" s="137"/>
    </row>
    <row r="760">
      <c r="B760" s="12"/>
      <c r="C760" s="137"/>
    </row>
    <row r="761">
      <c r="B761" s="12"/>
      <c r="C761" s="137"/>
    </row>
    <row r="762">
      <c r="B762" s="12"/>
      <c r="C762" s="137"/>
    </row>
    <row r="763">
      <c r="B763" s="12"/>
      <c r="C763" s="137"/>
    </row>
    <row r="764">
      <c r="B764" s="12"/>
      <c r="C764" s="137"/>
    </row>
    <row r="765">
      <c r="B765" s="12"/>
      <c r="C765" s="137"/>
    </row>
    <row r="766">
      <c r="B766" s="12"/>
      <c r="C766" s="137"/>
    </row>
    <row r="767">
      <c r="B767" s="12"/>
      <c r="C767" s="137"/>
    </row>
    <row r="768">
      <c r="B768" s="12"/>
      <c r="C768" s="137"/>
    </row>
    <row r="769">
      <c r="B769" s="12"/>
      <c r="C769" s="137"/>
    </row>
    <row r="770">
      <c r="B770" s="12"/>
      <c r="C770" s="137"/>
    </row>
    <row r="771">
      <c r="B771" s="12"/>
      <c r="C771" s="137"/>
    </row>
    <row r="772">
      <c r="B772" s="12"/>
      <c r="C772" s="137"/>
    </row>
    <row r="773">
      <c r="B773" s="12"/>
      <c r="C773" s="137"/>
    </row>
    <row r="774">
      <c r="B774" s="12"/>
      <c r="C774" s="137"/>
    </row>
    <row r="775">
      <c r="B775" s="12"/>
      <c r="C775" s="137"/>
    </row>
    <row r="776">
      <c r="B776" s="12"/>
      <c r="C776" s="137"/>
    </row>
    <row r="777">
      <c r="B777" s="12"/>
      <c r="C777" s="137"/>
    </row>
    <row r="778">
      <c r="B778" s="12"/>
      <c r="C778" s="137"/>
    </row>
    <row r="779">
      <c r="B779" s="12"/>
      <c r="C779" s="137"/>
    </row>
    <row r="780">
      <c r="B780" s="12"/>
      <c r="C780" s="137"/>
    </row>
    <row r="781">
      <c r="B781" s="12"/>
      <c r="C781" s="137"/>
    </row>
    <row r="782">
      <c r="B782" s="12"/>
      <c r="C782" s="137"/>
    </row>
    <row r="783">
      <c r="B783" s="12"/>
      <c r="C783" s="137"/>
    </row>
    <row r="784">
      <c r="B784" s="12"/>
      <c r="C784" s="137"/>
    </row>
    <row r="785">
      <c r="B785" s="12"/>
      <c r="C785" s="137"/>
    </row>
    <row r="786">
      <c r="B786" s="12"/>
      <c r="C786" s="137"/>
    </row>
    <row r="787">
      <c r="B787" s="12"/>
      <c r="C787" s="137"/>
    </row>
    <row r="788">
      <c r="B788" s="12"/>
      <c r="C788" s="137"/>
    </row>
    <row r="789">
      <c r="B789" s="12"/>
      <c r="C789" s="137"/>
    </row>
    <row r="790">
      <c r="B790" s="12"/>
      <c r="C790" s="137"/>
    </row>
    <row r="791">
      <c r="B791" s="12"/>
      <c r="C791" s="137"/>
    </row>
    <row r="792">
      <c r="B792" s="12"/>
      <c r="C792" s="137"/>
    </row>
    <row r="793">
      <c r="B793" s="12"/>
      <c r="C793" s="137"/>
    </row>
    <row r="794">
      <c r="B794" s="12"/>
      <c r="C794" s="137"/>
    </row>
    <row r="795">
      <c r="B795" s="12"/>
      <c r="C795" s="137"/>
    </row>
    <row r="796">
      <c r="B796" s="12"/>
      <c r="C796" s="137"/>
    </row>
    <row r="797">
      <c r="B797" s="12"/>
      <c r="C797" s="137"/>
    </row>
    <row r="798">
      <c r="B798" s="12"/>
      <c r="C798" s="137"/>
    </row>
    <row r="799">
      <c r="B799" s="12"/>
      <c r="C799" s="137"/>
    </row>
    <row r="800">
      <c r="B800" s="12"/>
      <c r="C800" s="137"/>
    </row>
    <row r="801">
      <c r="B801" s="12"/>
      <c r="C801" s="137"/>
    </row>
    <row r="802">
      <c r="B802" s="12"/>
      <c r="C802" s="137"/>
    </row>
    <row r="803">
      <c r="B803" s="12"/>
      <c r="C803" s="137"/>
    </row>
    <row r="804">
      <c r="B804" s="12"/>
      <c r="C804" s="137"/>
    </row>
    <row r="805">
      <c r="B805" s="12"/>
      <c r="C805" s="137"/>
    </row>
    <row r="806">
      <c r="B806" s="12"/>
      <c r="C806" s="137"/>
    </row>
    <row r="807">
      <c r="B807" s="12"/>
      <c r="C807" s="137"/>
    </row>
    <row r="808">
      <c r="B808" s="12"/>
      <c r="C808" s="137"/>
    </row>
    <row r="809">
      <c r="B809" s="12"/>
      <c r="C809" s="137"/>
    </row>
    <row r="810">
      <c r="B810" s="12"/>
      <c r="C810" s="137"/>
    </row>
    <row r="811">
      <c r="B811" s="12"/>
      <c r="C811" s="137"/>
    </row>
    <row r="812">
      <c r="B812" s="12"/>
      <c r="C812" s="137"/>
    </row>
    <row r="813">
      <c r="B813" s="12"/>
      <c r="C813" s="137"/>
    </row>
    <row r="814">
      <c r="B814" s="12"/>
      <c r="C814" s="137"/>
    </row>
    <row r="815">
      <c r="B815" s="12"/>
      <c r="C815" s="137"/>
    </row>
    <row r="816">
      <c r="B816" s="12"/>
      <c r="C816" s="137"/>
    </row>
    <row r="817">
      <c r="B817" s="12"/>
      <c r="C817" s="137"/>
    </row>
    <row r="818">
      <c r="B818" s="12"/>
      <c r="C818" s="137"/>
    </row>
    <row r="819">
      <c r="B819" s="12"/>
      <c r="C819" s="137"/>
    </row>
    <row r="820">
      <c r="B820" s="12"/>
      <c r="C820" s="137"/>
    </row>
    <row r="821">
      <c r="B821" s="12"/>
      <c r="C821" s="137"/>
    </row>
    <row r="822">
      <c r="B822" s="12"/>
      <c r="C822" s="137"/>
    </row>
    <row r="823">
      <c r="B823" s="12"/>
      <c r="C823" s="137"/>
    </row>
    <row r="824">
      <c r="B824" s="12"/>
      <c r="C824" s="137"/>
    </row>
    <row r="825">
      <c r="B825" s="12"/>
      <c r="C825" s="137"/>
    </row>
    <row r="826">
      <c r="B826" s="12"/>
      <c r="C826" s="137"/>
    </row>
    <row r="827">
      <c r="B827" s="12"/>
      <c r="C827" s="137"/>
    </row>
    <row r="828">
      <c r="B828" s="12"/>
      <c r="C828" s="137"/>
    </row>
    <row r="829">
      <c r="B829" s="12"/>
      <c r="C829" s="137"/>
    </row>
    <row r="830">
      <c r="B830" s="12"/>
      <c r="C830" s="137"/>
    </row>
    <row r="831">
      <c r="B831" s="12"/>
      <c r="C831" s="137"/>
    </row>
    <row r="832">
      <c r="B832" s="12"/>
      <c r="C832" s="137"/>
    </row>
    <row r="833">
      <c r="B833" s="12"/>
      <c r="C833" s="137"/>
    </row>
    <row r="834">
      <c r="B834" s="12"/>
      <c r="C834" s="137"/>
    </row>
    <row r="835">
      <c r="B835" s="12"/>
      <c r="C835" s="137"/>
    </row>
    <row r="836">
      <c r="B836" s="12"/>
      <c r="C836" s="137"/>
    </row>
    <row r="837">
      <c r="B837" s="12"/>
      <c r="C837" s="137"/>
    </row>
    <row r="838">
      <c r="B838" s="12"/>
      <c r="C838" s="137"/>
    </row>
    <row r="839">
      <c r="B839" s="12"/>
      <c r="C839" s="137"/>
    </row>
    <row r="840">
      <c r="B840" s="12"/>
      <c r="C840" s="137"/>
    </row>
    <row r="841">
      <c r="B841" s="12"/>
      <c r="C841" s="137"/>
    </row>
    <row r="842">
      <c r="B842" s="12"/>
      <c r="C842" s="137"/>
    </row>
    <row r="843">
      <c r="B843" s="12"/>
      <c r="C843" s="137"/>
    </row>
    <row r="844">
      <c r="B844" s="12"/>
      <c r="C844" s="137"/>
    </row>
    <row r="845">
      <c r="B845" s="12"/>
      <c r="C845" s="137"/>
    </row>
    <row r="846">
      <c r="B846" s="12"/>
      <c r="C846" s="137"/>
    </row>
    <row r="847">
      <c r="B847" s="12"/>
      <c r="C847" s="137"/>
    </row>
    <row r="848">
      <c r="B848" s="12"/>
      <c r="C848" s="137"/>
    </row>
    <row r="849">
      <c r="B849" s="12"/>
      <c r="C849" s="137"/>
    </row>
    <row r="850">
      <c r="B850" s="12"/>
      <c r="C850" s="137"/>
    </row>
    <row r="851">
      <c r="B851" s="12"/>
      <c r="C851" s="137"/>
    </row>
    <row r="852">
      <c r="B852" s="12"/>
      <c r="C852" s="137"/>
    </row>
    <row r="853">
      <c r="B853" s="12"/>
      <c r="C853" s="137"/>
    </row>
    <row r="854">
      <c r="B854" s="12"/>
      <c r="C854" s="137"/>
    </row>
    <row r="855">
      <c r="B855" s="12"/>
      <c r="C855" s="137"/>
    </row>
    <row r="856">
      <c r="B856" s="12"/>
      <c r="C856" s="137"/>
    </row>
    <row r="857">
      <c r="B857" s="12"/>
      <c r="C857" s="137"/>
    </row>
    <row r="858">
      <c r="B858" s="12"/>
      <c r="C858" s="137"/>
    </row>
    <row r="859">
      <c r="B859" s="12"/>
      <c r="C859" s="137"/>
    </row>
    <row r="860">
      <c r="B860" s="12"/>
      <c r="C860" s="137"/>
    </row>
    <row r="861">
      <c r="B861" s="12"/>
      <c r="C861" s="137"/>
    </row>
    <row r="862">
      <c r="B862" s="12"/>
      <c r="C862" s="137"/>
    </row>
    <row r="863">
      <c r="B863" s="12"/>
      <c r="C863" s="137"/>
    </row>
    <row r="864">
      <c r="B864" s="12"/>
      <c r="C864" s="137"/>
    </row>
    <row r="865">
      <c r="B865" s="12"/>
      <c r="C865" s="137"/>
    </row>
    <row r="866">
      <c r="B866" s="12"/>
      <c r="C866" s="137"/>
    </row>
    <row r="867">
      <c r="B867" s="12"/>
      <c r="C867" s="137"/>
    </row>
    <row r="868">
      <c r="B868" s="12"/>
      <c r="C868" s="137"/>
    </row>
    <row r="869">
      <c r="B869" s="12"/>
      <c r="C869" s="137"/>
    </row>
    <row r="870">
      <c r="B870" s="12"/>
      <c r="C870" s="137"/>
    </row>
    <row r="871">
      <c r="B871" s="12"/>
      <c r="C871" s="137"/>
    </row>
    <row r="872">
      <c r="B872" s="12"/>
      <c r="C872" s="137"/>
    </row>
    <row r="873">
      <c r="B873" s="12"/>
      <c r="C873" s="137"/>
    </row>
    <row r="874">
      <c r="B874" s="12"/>
      <c r="C874" s="137"/>
    </row>
    <row r="875">
      <c r="B875" s="12"/>
      <c r="C875" s="137"/>
    </row>
    <row r="876">
      <c r="B876" s="12"/>
      <c r="C876" s="137"/>
    </row>
    <row r="877">
      <c r="B877" s="12"/>
      <c r="C877" s="137"/>
    </row>
    <row r="878">
      <c r="B878" s="12"/>
      <c r="C878" s="137"/>
    </row>
    <row r="879">
      <c r="B879" s="12"/>
      <c r="C879" s="137"/>
    </row>
    <row r="880">
      <c r="B880" s="12"/>
      <c r="C880" s="137"/>
    </row>
    <row r="881">
      <c r="B881" s="12"/>
      <c r="C881" s="137"/>
    </row>
    <row r="882">
      <c r="B882" s="12"/>
      <c r="C882" s="137"/>
    </row>
    <row r="883">
      <c r="B883" s="12"/>
      <c r="C883" s="137"/>
    </row>
    <row r="884">
      <c r="B884" s="12"/>
      <c r="C884" s="137"/>
    </row>
    <row r="885">
      <c r="B885" s="12"/>
      <c r="C885" s="137"/>
    </row>
    <row r="886">
      <c r="B886" s="12"/>
      <c r="C886" s="137"/>
    </row>
    <row r="887">
      <c r="B887" s="12"/>
      <c r="C887" s="137"/>
    </row>
    <row r="888">
      <c r="B888" s="12"/>
      <c r="C888" s="137"/>
    </row>
    <row r="889">
      <c r="B889" s="12"/>
      <c r="C889" s="137"/>
    </row>
    <row r="890">
      <c r="B890" s="12"/>
      <c r="C890" s="137"/>
    </row>
    <row r="891">
      <c r="B891" s="12"/>
      <c r="C891" s="137"/>
    </row>
    <row r="892">
      <c r="B892" s="12"/>
      <c r="C892" s="137"/>
    </row>
    <row r="893">
      <c r="B893" s="12"/>
      <c r="C893" s="137"/>
    </row>
    <row r="894">
      <c r="B894" s="12"/>
      <c r="C894" s="137"/>
    </row>
    <row r="895">
      <c r="B895" s="12"/>
      <c r="C895" s="137"/>
    </row>
    <row r="896">
      <c r="B896" s="12"/>
      <c r="C896" s="137"/>
    </row>
    <row r="897">
      <c r="B897" s="12"/>
      <c r="C897" s="137"/>
    </row>
    <row r="898">
      <c r="B898" s="12"/>
      <c r="C898" s="137"/>
    </row>
    <row r="899">
      <c r="B899" s="12"/>
      <c r="C899" s="137"/>
    </row>
    <row r="900">
      <c r="B900" s="12"/>
      <c r="C900" s="137"/>
    </row>
    <row r="901">
      <c r="B901" s="12"/>
      <c r="C901" s="137"/>
    </row>
    <row r="902">
      <c r="B902" s="12"/>
      <c r="C902" s="137"/>
    </row>
    <row r="903">
      <c r="B903" s="12"/>
      <c r="C903" s="137"/>
    </row>
    <row r="904">
      <c r="B904" s="12"/>
      <c r="C904" s="137"/>
    </row>
    <row r="905">
      <c r="B905" s="12"/>
      <c r="C905" s="137"/>
    </row>
    <row r="906">
      <c r="B906" s="12"/>
      <c r="C906" s="137"/>
    </row>
    <row r="907">
      <c r="B907" s="12"/>
      <c r="C907" s="137"/>
    </row>
    <row r="908">
      <c r="B908" s="12"/>
      <c r="C908" s="137"/>
    </row>
    <row r="909">
      <c r="B909" s="12"/>
      <c r="C909" s="137"/>
    </row>
    <row r="910">
      <c r="B910" s="12"/>
      <c r="C910" s="137"/>
    </row>
    <row r="911">
      <c r="B911" s="12"/>
      <c r="C911" s="137"/>
    </row>
    <row r="912">
      <c r="B912" s="12"/>
      <c r="C912" s="137"/>
    </row>
    <row r="913">
      <c r="B913" s="12"/>
      <c r="C913" s="137"/>
    </row>
    <row r="914">
      <c r="B914" s="12"/>
      <c r="C914" s="137"/>
    </row>
    <row r="915">
      <c r="B915" s="12"/>
      <c r="C915" s="137"/>
    </row>
    <row r="916">
      <c r="B916" s="12"/>
      <c r="C916" s="137"/>
    </row>
    <row r="917">
      <c r="B917" s="12"/>
      <c r="C917" s="137"/>
    </row>
    <row r="918">
      <c r="B918" s="12"/>
      <c r="C918" s="137"/>
    </row>
    <row r="919">
      <c r="B919" s="12"/>
      <c r="C919" s="137"/>
    </row>
    <row r="920">
      <c r="B920" s="12"/>
      <c r="C920" s="137"/>
    </row>
    <row r="921">
      <c r="B921" s="12"/>
      <c r="C921" s="137"/>
    </row>
    <row r="922">
      <c r="B922" s="12"/>
      <c r="C922" s="137"/>
    </row>
    <row r="923">
      <c r="B923" s="12"/>
      <c r="C923" s="137"/>
    </row>
    <row r="924">
      <c r="B924" s="12"/>
      <c r="C924" s="137"/>
    </row>
    <row r="925">
      <c r="B925" s="12"/>
      <c r="C925" s="137"/>
    </row>
    <row r="926">
      <c r="B926" s="12"/>
      <c r="C926" s="137"/>
    </row>
    <row r="927">
      <c r="B927" s="12"/>
      <c r="C927" s="137"/>
    </row>
    <row r="928">
      <c r="B928" s="12"/>
      <c r="C928" s="137"/>
    </row>
    <row r="929">
      <c r="B929" s="12"/>
      <c r="C929" s="137"/>
    </row>
    <row r="930">
      <c r="B930" s="12"/>
      <c r="C930" s="137"/>
    </row>
    <row r="931">
      <c r="B931" s="12"/>
      <c r="C931" s="137"/>
    </row>
    <row r="932">
      <c r="B932" s="12"/>
      <c r="C932" s="137"/>
    </row>
    <row r="933">
      <c r="B933" s="12"/>
      <c r="C933" s="137"/>
    </row>
    <row r="934">
      <c r="B934" s="12"/>
      <c r="C934" s="137"/>
    </row>
    <row r="935">
      <c r="B935" s="12"/>
      <c r="C935" s="137"/>
    </row>
    <row r="936">
      <c r="B936" s="12"/>
      <c r="C936" s="137"/>
    </row>
    <row r="937">
      <c r="B937" s="12"/>
      <c r="C937" s="137"/>
    </row>
    <row r="938">
      <c r="B938" s="12"/>
      <c r="C938" s="137"/>
    </row>
    <row r="939">
      <c r="B939" s="12"/>
      <c r="C939" s="137"/>
    </row>
    <row r="940">
      <c r="B940" s="12"/>
      <c r="C940" s="137"/>
    </row>
    <row r="941">
      <c r="B941" s="12"/>
      <c r="C941" s="137"/>
    </row>
    <row r="942">
      <c r="B942" s="12"/>
      <c r="C942" s="137"/>
    </row>
    <row r="943">
      <c r="B943" s="12"/>
      <c r="C943" s="137"/>
    </row>
    <row r="944">
      <c r="B944" s="12"/>
      <c r="C944" s="137"/>
    </row>
    <row r="945">
      <c r="B945" s="12"/>
      <c r="C945" s="137"/>
    </row>
    <row r="946">
      <c r="B946" s="12"/>
      <c r="C946" s="137"/>
    </row>
    <row r="947">
      <c r="B947" s="12"/>
      <c r="C947" s="137"/>
    </row>
    <row r="948">
      <c r="B948" s="12"/>
      <c r="C948" s="137"/>
    </row>
    <row r="949">
      <c r="B949" s="12"/>
      <c r="C949" s="137"/>
    </row>
    <row r="950">
      <c r="B950" s="12"/>
      <c r="C950" s="137"/>
    </row>
    <row r="951">
      <c r="B951" s="12"/>
      <c r="C951" s="137"/>
    </row>
    <row r="952">
      <c r="B952" s="12"/>
      <c r="C952" s="137"/>
    </row>
    <row r="953">
      <c r="B953" s="12"/>
      <c r="C953" s="137"/>
    </row>
    <row r="954">
      <c r="B954" s="12"/>
      <c r="C954" s="137"/>
    </row>
    <row r="955">
      <c r="B955" s="12"/>
      <c r="C955" s="137"/>
    </row>
    <row r="956">
      <c r="B956" s="12"/>
      <c r="C956" s="137"/>
    </row>
    <row r="957">
      <c r="B957" s="12"/>
      <c r="C957" s="137"/>
    </row>
    <row r="958">
      <c r="B958" s="12"/>
      <c r="C958" s="137"/>
    </row>
    <row r="959">
      <c r="B959" s="12"/>
      <c r="C959" s="137"/>
    </row>
    <row r="960">
      <c r="B960" s="12"/>
      <c r="C960" s="137"/>
    </row>
    <row r="961">
      <c r="B961" s="12"/>
      <c r="C961" s="137"/>
    </row>
    <row r="962">
      <c r="B962" s="12"/>
      <c r="C962" s="137"/>
    </row>
    <row r="963">
      <c r="B963" s="12"/>
      <c r="C963" s="137"/>
    </row>
    <row r="964">
      <c r="B964" s="12"/>
      <c r="C964" s="137"/>
    </row>
    <row r="965">
      <c r="B965" s="12"/>
      <c r="C965" s="137"/>
    </row>
    <row r="966">
      <c r="B966" s="12"/>
      <c r="C966" s="137"/>
    </row>
    <row r="967">
      <c r="B967" s="12"/>
      <c r="C967" s="137"/>
    </row>
    <row r="968">
      <c r="B968" s="12"/>
      <c r="C968" s="137"/>
    </row>
    <row r="969">
      <c r="B969" s="12"/>
      <c r="C969" s="137"/>
    </row>
    <row r="970">
      <c r="B970" s="12"/>
      <c r="C970" s="137"/>
    </row>
    <row r="971">
      <c r="B971" s="12"/>
      <c r="C971" s="137"/>
    </row>
    <row r="972">
      <c r="B972" s="12"/>
      <c r="C972" s="137"/>
    </row>
    <row r="973">
      <c r="B973" s="12"/>
      <c r="C973" s="137"/>
    </row>
    <row r="974">
      <c r="B974" s="12"/>
      <c r="C974" s="137"/>
    </row>
    <row r="975">
      <c r="B975" s="12"/>
      <c r="C975" s="137"/>
    </row>
    <row r="976">
      <c r="B976" s="12"/>
      <c r="C976" s="137"/>
    </row>
    <row r="977">
      <c r="B977" s="12"/>
      <c r="C977" s="137"/>
    </row>
    <row r="978">
      <c r="B978" s="12"/>
      <c r="C978" s="137"/>
    </row>
    <row r="979">
      <c r="B979" s="12"/>
      <c r="C979" s="137"/>
    </row>
    <row r="980">
      <c r="B980" s="12"/>
      <c r="C980" s="137"/>
    </row>
    <row r="981">
      <c r="B981" s="12"/>
      <c r="C981" s="137"/>
    </row>
    <row r="982">
      <c r="B982" s="12"/>
      <c r="C982" s="137"/>
    </row>
    <row r="983">
      <c r="B983" s="12"/>
      <c r="C983" s="137"/>
    </row>
    <row r="984">
      <c r="B984" s="12"/>
      <c r="C984" s="137"/>
    </row>
    <row r="985">
      <c r="B985" s="12"/>
      <c r="C985" s="137"/>
    </row>
    <row r="986">
      <c r="B986" s="12"/>
      <c r="C986" s="137"/>
    </row>
    <row r="987">
      <c r="B987" s="12"/>
      <c r="C987" s="137"/>
    </row>
    <row r="988">
      <c r="B988" s="12"/>
      <c r="C988" s="137"/>
    </row>
    <row r="989">
      <c r="B989" s="12"/>
      <c r="C989" s="137"/>
    </row>
    <row r="990">
      <c r="B990" s="12"/>
      <c r="C990" s="137"/>
    </row>
    <row r="991">
      <c r="B991" s="12"/>
      <c r="C991" s="137"/>
    </row>
    <row r="992">
      <c r="B992" s="12"/>
      <c r="C992" s="137"/>
    </row>
    <row r="993">
      <c r="B993" s="12"/>
      <c r="C993" s="137"/>
    </row>
    <row r="994">
      <c r="B994" s="12"/>
      <c r="C994" s="137"/>
    </row>
    <row r="995">
      <c r="B995" s="12"/>
      <c r="C995" s="137"/>
    </row>
    <row r="996">
      <c r="B996" s="12"/>
      <c r="C996" s="137"/>
    </row>
    <row r="997">
      <c r="B997" s="12"/>
      <c r="C997" s="137"/>
    </row>
    <row r="998">
      <c r="B998" s="12"/>
      <c r="C998" s="137"/>
    </row>
    <row r="999">
      <c r="B999" s="12"/>
      <c r="C999" s="137"/>
    </row>
    <row r="1000">
      <c r="B1000" s="12"/>
      <c r="C1000" s="137"/>
    </row>
    <row r="1001">
      <c r="B1001" s="12"/>
      <c r="C1001" s="137"/>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DAF8"/>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0"/>
    <col customWidth="1" min="2" max="2" width="21.0"/>
    <col customWidth="1" min="3" max="3" width="18.75"/>
    <col customWidth="1" min="4" max="4" width="16.0"/>
    <col customWidth="1" min="7" max="7" width="20.5"/>
    <col customWidth="1" min="8" max="8" width="58.13"/>
    <col customWidth="1" min="9" max="9" width="16.63"/>
    <col hidden="1" min="10" max="10" width="12.63"/>
  </cols>
  <sheetData>
    <row r="1">
      <c r="A1" s="317" t="s">
        <v>650</v>
      </c>
      <c r="B1" s="318"/>
      <c r="C1" s="319"/>
      <c r="D1" s="320"/>
      <c r="E1" s="321"/>
      <c r="F1" s="322"/>
      <c r="G1" s="323"/>
      <c r="H1" s="324"/>
      <c r="I1" s="320"/>
      <c r="J1" s="320"/>
    </row>
    <row r="2">
      <c r="A2" s="152" t="s">
        <v>651</v>
      </c>
    </row>
    <row r="3">
      <c r="A3" s="152" t="s">
        <v>652</v>
      </c>
    </row>
    <row r="4">
      <c r="A4" s="152" t="s">
        <v>653</v>
      </c>
    </row>
    <row r="5">
      <c r="A5" s="152" t="s">
        <v>654</v>
      </c>
    </row>
    <row r="6">
      <c r="A6" s="152" t="s">
        <v>655</v>
      </c>
    </row>
    <row r="7">
      <c r="A7" s="153"/>
      <c r="B7" s="154"/>
      <c r="C7" s="155"/>
      <c r="D7" s="156"/>
      <c r="E7" s="157"/>
      <c r="F7" s="12"/>
      <c r="G7" s="158"/>
    </row>
    <row r="8">
      <c r="A8" s="86" t="s">
        <v>199</v>
      </c>
      <c r="B8" s="159" t="s">
        <v>53</v>
      </c>
      <c r="C8" s="159" t="s">
        <v>200</v>
      </c>
      <c r="D8" s="159" t="s">
        <v>201</v>
      </c>
      <c r="E8" s="157"/>
      <c r="F8" s="160" t="s">
        <v>199</v>
      </c>
      <c r="G8" s="161" t="s">
        <v>53</v>
      </c>
      <c r="H8" s="162" t="s">
        <v>202</v>
      </c>
      <c r="I8" s="163" t="s">
        <v>203</v>
      </c>
    </row>
    <row r="9">
      <c r="A9" s="164" t="str">
        <f>if(Keer_Import!B5=true,"Yes!","No")</f>
        <v>Yes!</v>
      </c>
      <c r="B9" s="165" t="s">
        <v>480</v>
      </c>
      <c r="C9" s="166" t="s">
        <v>205</v>
      </c>
      <c r="D9" s="167" t="s">
        <v>206</v>
      </c>
      <c r="F9" s="325" t="str">
        <f>if(Keer_Import!B24=true,"Yes!","No")</f>
        <v>No</v>
      </c>
      <c r="G9" s="219" t="s">
        <v>391</v>
      </c>
      <c r="H9" s="326" t="s">
        <v>208</v>
      </c>
      <c r="I9" s="221" t="s">
        <v>209</v>
      </c>
      <c r="J9" s="172">
        <f>COUNTif(F9,"Yes!")</f>
        <v>0</v>
      </c>
    </row>
    <row r="10">
      <c r="A10" s="173" t="str">
        <f>if(Keer_Import!B6=true,"Yes!","No")</f>
        <v>Yes!</v>
      </c>
      <c r="B10" s="174" t="s">
        <v>300</v>
      </c>
      <c r="C10" s="175" t="s">
        <v>212</v>
      </c>
      <c r="D10" s="176" t="s">
        <v>206</v>
      </c>
      <c r="F10" s="190" t="str">
        <f>if(Keer_Import!B25=true,"Yes!","No")</f>
        <v>Yes!</v>
      </c>
      <c r="G10" s="191" t="s">
        <v>640</v>
      </c>
      <c r="H10" s="192" t="s">
        <v>656</v>
      </c>
      <c r="I10" s="193"/>
      <c r="J10" s="172"/>
    </row>
    <row r="11">
      <c r="A11" s="173" t="str">
        <f>if(Keer_Import!B7=true,"Yes!","No")</f>
        <v>Yes!</v>
      </c>
      <c r="B11" s="174" t="s">
        <v>657</v>
      </c>
      <c r="C11" s="175" t="s">
        <v>217</v>
      </c>
      <c r="D11" s="176" t="s">
        <v>206</v>
      </c>
      <c r="F11" s="190" t="str">
        <f>if(Keer_Import!B26=true,"Yes!","No")</f>
        <v>Yes!</v>
      </c>
      <c r="G11" s="191" t="s">
        <v>559</v>
      </c>
      <c r="H11" s="192" t="s">
        <v>658</v>
      </c>
      <c r="I11" s="193" t="s">
        <v>209</v>
      </c>
      <c r="J11" s="172">
        <f t="shared" ref="J11:J12" si="1">COUNTif(F11,"Yes!")</f>
        <v>1</v>
      </c>
    </row>
    <row r="12">
      <c r="A12" s="173" t="str">
        <f>if(Keer_Import!B8=true,"Yes!","No")</f>
        <v>Yes!</v>
      </c>
      <c r="B12" s="174" t="s">
        <v>659</v>
      </c>
      <c r="C12" s="175" t="s">
        <v>221</v>
      </c>
      <c r="D12" s="176" t="s">
        <v>222</v>
      </c>
      <c r="F12" s="218" t="str">
        <f>if(Keer_Import!B27=true,"Yes!","No")</f>
        <v>No</v>
      </c>
      <c r="G12" s="219" t="s">
        <v>606</v>
      </c>
      <c r="H12" s="220" t="s">
        <v>660</v>
      </c>
      <c r="I12" s="221" t="s">
        <v>209</v>
      </c>
      <c r="J12" s="172">
        <f t="shared" si="1"/>
        <v>0</v>
      </c>
    </row>
    <row r="13">
      <c r="A13" s="173" t="str">
        <f>if(Keer_Import!B9=true,"Yes!","No")</f>
        <v>Yes!</v>
      </c>
      <c r="B13" s="174" t="s">
        <v>454</v>
      </c>
      <c r="C13" s="175" t="s">
        <v>226</v>
      </c>
      <c r="D13" s="176" t="s">
        <v>661</v>
      </c>
      <c r="F13" s="218" t="str">
        <f>if(Keer_Import!B28=true,"Yes!","No")</f>
        <v>No</v>
      </c>
      <c r="G13" s="219" t="s">
        <v>497</v>
      </c>
      <c r="H13" s="220" t="s">
        <v>662</v>
      </c>
      <c r="I13" s="294"/>
      <c r="J13" s="172"/>
    </row>
    <row r="14">
      <c r="A14" s="173" t="str">
        <f>if(Keer_Import!B10=true,"Yes!","No")</f>
        <v>Yes!</v>
      </c>
      <c r="B14" s="174" t="s">
        <v>663</v>
      </c>
      <c r="C14" s="175" t="s">
        <v>664</v>
      </c>
      <c r="D14" s="176" t="s">
        <v>232</v>
      </c>
      <c r="F14" s="177" t="str">
        <f>if(Keer_Import!B29=true,"Yes!","No")</f>
        <v>Yes!</v>
      </c>
      <c r="G14" s="169" t="s">
        <v>230</v>
      </c>
      <c r="H14" s="178" t="s">
        <v>665</v>
      </c>
      <c r="I14" s="171" t="s">
        <v>209</v>
      </c>
      <c r="J14" s="172">
        <f>COUNTif(F14,"Yes!")</f>
        <v>1</v>
      </c>
    </row>
    <row r="15">
      <c r="A15" s="173" t="str">
        <f>if(Keer_Import!B11=true,"Yes!","No")</f>
        <v>Yes!</v>
      </c>
      <c r="B15" s="174" t="s">
        <v>593</v>
      </c>
      <c r="C15" s="175" t="s">
        <v>247</v>
      </c>
      <c r="D15" s="176" t="s">
        <v>666</v>
      </c>
      <c r="F15" s="177" t="str">
        <f>if(Keer_Import!B30=true,"Yes!","No")</f>
        <v>Yes!</v>
      </c>
      <c r="G15" s="169" t="s">
        <v>594</v>
      </c>
      <c r="H15" s="178" t="s">
        <v>667</v>
      </c>
      <c r="I15" s="171" t="s">
        <v>367</v>
      </c>
      <c r="J15" s="172">
        <f>COUNTif(F15:F20,"Yes!")</f>
        <v>5</v>
      </c>
    </row>
    <row r="16">
      <c r="A16" s="173" t="str">
        <f>if(Keer_Import!B12=true,"Yes!","No")</f>
        <v>Yes!</v>
      </c>
      <c r="B16" s="174" t="s">
        <v>376</v>
      </c>
      <c r="C16" s="175" t="s">
        <v>668</v>
      </c>
      <c r="D16" s="176" t="s">
        <v>669</v>
      </c>
      <c r="F16" s="179" t="str">
        <f>if(Keer_Import!B31=true,"Yes!","No")</f>
        <v>Yes!</v>
      </c>
      <c r="G16" s="180" t="s">
        <v>624</v>
      </c>
      <c r="H16" s="181" t="s">
        <v>667</v>
      </c>
      <c r="I16" s="182"/>
      <c r="J16" s="172"/>
    </row>
    <row r="17">
      <c r="A17" s="173" t="str">
        <f>if(Keer_Import!B13=true,"Yes!","No")</f>
        <v>Yes!</v>
      </c>
      <c r="B17" s="174" t="s">
        <v>536</v>
      </c>
      <c r="C17" s="175" t="s">
        <v>258</v>
      </c>
      <c r="D17" s="176" t="s">
        <v>670</v>
      </c>
      <c r="F17" s="183" t="str">
        <f>if(Keer_Import!B32=true,"Yes!","No")</f>
        <v>No</v>
      </c>
      <c r="G17" s="184" t="s">
        <v>396</v>
      </c>
      <c r="H17" s="185" t="s">
        <v>667</v>
      </c>
      <c r="I17" s="182"/>
      <c r="J17" s="172"/>
    </row>
    <row r="18">
      <c r="A18" s="173" t="s">
        <v>509</v>
      </c>
      <c r="B18" s="174" t="s">
        <v>365</v>
      </c>
      <c r="C18" s="175" t="s">
        <v>671</v>
      </c>
      <c r="D18" s="176" t="s">
        <v>672</v>
      </c>
      <c r="F18" s="179" t="str">
        <f>if(Keer_Import!B33=true,"Yes!","No")</f>
        <v>Yes!</v>
      </c>
      <c r="G18" s="180" t="s">
        <v>632</v>
      </c>
      <c r="H18" s="181" t="s">
        <v>667</v>
      </c>
      <c r="I18" s="182"/>
      <c r="J18" s="172"/>
    </row>
    <row r="19">
      <c r="A19" s="173" t="str">
        <f>if(Keer_Import!B15=true,"Yes!","No")</f>
        <v>Yes!</v>
      </c>
      <c r="B19" s="174" t="s">
        <v>346</v>
      </c>
      <c r="C19" s="175" t="s">
        <v>673</v>
      </c>
      <c r="D19" s="176" t="s">
        <v>674</v>
      </c>
      <c r="F19" s="179" t="str">
        <f>if(Keer_Import!B34=true,"Yes!","No")</f>
        <v>Yes!</v>
      </c>
      <c r="G19" s="180" t="s">
        <v>292</v>
      </c>
      <c r="H19" s="181" t="s">
        <v>667</v>
      </c>
      <c r="I19" s="182"/>
      <c r="J19" s="172"/>
    </row>
    <row r="20">
      <c r="A20" s="173" t="str">
        <f>if(Keer_Import!B16=true,"Yes!","No")</f>
        <v>Yes!</v>
      </c>
      <c r="B20" s="174" t="s">
        <v>384</v>
      </c>
      <c r="C20" s="175" t="s">
        <v>675</v>
      </c>
      <c r="D20" s="176" t="s">
        <v>676</v>
      </c>
      <c r="F20" s="179" t="str">
        <f>if(Keer_Import!B35=true,"Yes!","No")</f>
        <v>Yes!</v>
      </c>
      <c r="G20" s="180" t="s">
        <v>487</v>
      </c>
      <c r="H20" s="181" t="s">
        <v>667</v>
      </c>
      <c r="I20" s="189"/>
      <c r="J20" s="172"/>
    </row>
    <row r="21">
      <c r="A21" s="173" t="str">
        <f>if(Keer_Import!B17=true,"Yes!","No")</f>
        <v>Yes!</v>
      </c>
      <c r="B21" s="174" t="s">
        <v>268</v>
      </c>
      <c r="C21" s="175" t="s">
        <v>269</v>
      </c>
      <c r="D21" s="176" t="s">
        <v>270</v>
      </c>
      <c r="F21" s="177" t="str">
        <f>if(Keer_Import!B36=true,"Yes!","No")</f>
        <v>Yes!</v>
      </c>
      <c r="G21" s="169" t="s">
        <v>452</v>
      </c>
      <c r="H21" s="178" t="s">
        <v>677</v>
      </c>
      <c r="I21" s="265" t="s">
        <v>267</v>
      </c>
      <c r="J21" s="172">
        <f>COUNTif(F21:F24,"Yes!")</f>
        <v>3</v>
      </c>
    </row>
    <row r="22">
      <c r="A22" s="173" t="str">
        <f>if(Keer_Import!B18=true,"Yes!","No")</f>
        <v>No</v>
      </c>
      <c r="B22" s="174" t="s">
        <v>663</v>
      </c>
      <c r="C22" s="175" t="s">
        <v>678</v>
      </c>
      <c r="D22" s="176" t="s">
        <v>679</v>
      </c>
      <c r="F22" s="179" t="str">
        <f>if(Keer_Import!B37=true,"Yes!","No")</f>
        <v>Yes!</v>
      </c>
      <c r="G22" s="180" t="s">
        <v>467</v>
      </c>
      <c r="H22" s="181" t="s">
        <v>677</v>
      </c>
      <c r="I22" s="182"/>
      <c r="J22" s="172"/>
    </row>
    <row r="23">
      <c r="A23" s="173" t="str">
        <f>if(Keer_Import!B19=true,"Yes!","No")</f>
        <v>No</v>
      </c>
      <c r="B23" s="174" t="s">
        <v>680</v>
      </c>
      <c r="C23" s="175" t="s">
        <v>273</v>
      </c>
      <c r="D23" s="176" t="s">
        <v>681</v>
      </c>
      <c r="F23" s="179" t="str">
        <f>if(Keer_Import!B38=true,"Yes!","No")</f>
        <v>Yes!</v>
      </c>
      <c r="G23" s="180" t="s">
        <v>216</v>
      </c>
      <c r="H23" s="181" t="s">
        <v>677</v>
      </c>
      <c r="I23" s="182"/>
      <c r="J23" s="172"/>
    </row>
    <row r="24">
      <c r="A24" s="198" t="str">
        <f>If(Dashboard!$M8=TRUE,"Yes!","No")</f>
        <v>Yes!</v>
      </c>
      <c r="B24" s="199" t="s">
        <v>682</v>
      </c>
      <c r="C24" s="200" t="s">
        <v>206</v>
      </c>
      <c r="D24" s="201" t="s">
        <v>206</v>
      </c>
      <c r="F24" s="207" t="str">
        <f>if(Keer_Import!B39=true,"Yes!","No")</f>
        <v>No</v>
      </c>
      <c r="G24" s="208" t="s">
        <v>370</v>
      </c>
      <c r="H24" s="210" t="s">
        <v>677</v>
      </c>
      <c r="I24" s="189"/>
      <c r="J24" s="172"/>
    </row>
    <row r="25">
      <c r="F25" s="177" t="str">
        <f>if(Keer_Import!B40=true,"Yes!","No")</f>
        <v>Yes!</v>
      </c>
      <c r="G25" s="169" t="s">
        <v>223</v>
      </c>
      <c r="H25" s="178" t="s">
        <v>683</v>
      </c>
      <c r="I25" s="171" t="s">
        <v>209</v>
      </c>
      <c r="J25" s="172">
        <f>COUNTif(F25,"Yes!")</f>
        <v>1</v>
      </c>
    </row>
    <row r="26">
      <c r="A26" s="202" t="s">
        <v>287</v>
      </c>
      <c r="F26" s="177" t="str">
        <f>if(Keer_Import!B41=true,"Yes!","No")</f>
        <v>Yes!</v>
      </c>
      <c r="G26" s="169" t="s">
        <v>271</v>
      </c>
      <c r="H26" s="178" t="s">
        <v>684</v>
      </c>
      <c r="I26" s="171" t="s">
        <v>281</v>
      </c>
      <c r="J26" s="172">
        <f>COUNTif(F26:F27,"Yes!")</f>
        <v>2</v>
      </c>
    </row>
    <row r="27">
      <c r="A27" s="271" t="str">
        <f>IFERROR(__xludf.DUMMYFUNCTION("IFERROR(
  FILTER(
    FLATTEN({Keer_Import!C5:C20; Keer_Import!C24:C52; Keer_Import!A56:A90}),
    FLATTEN({Keer_Import!C5:C20; Keer_Import!C24:C52; Keer_Import!A56:A90}) &lt;&gt; """"
  ),
  """"
)"),"They were very engaged and asked great questions")</f>
        <v>They were very engaged and asked great questions</v>
      </c>
      <c r="B27" s="4"/>
      <c r="C27" s="4"/>
      <c r="D27" s="5"/>
      <c r="F27" s="179" t="str">
        <f>if(Keer_Import!B42=true,"Yes!","No")</f>
        <v>Yes!</v>
      </c>
      <c r="G27" s="180" t="s">
        <v>241</v>
      </c>
      <c r="H27" s="181" t="s">
        <v>685</v>
      </c>
      <c r="I27" s="189"/>
      <c r="J27" s="172"/>
    </row>
    <row r="28">
      <c r="A28" s="272" t="str">
        <f>IFERROR(__xludf.DUMMYFUNCTION("""COMPUTED_VALUE"""),"Party was super interested! MG")</f>
        <v>Party was super interested! MG</v>
      </c>
      <c r="D28" s="182"/>
      <c r="F28" s="194" t="str">
        <f>if(Keer_Import!B43=true,"Yes!","No")</f>
        <v>No</v>
      </c>
      <c r="G28" s="195" t="s">
        <v>213</v>
      </c>
      <c r="H28" s="196" t="s">
        <v>686</v>
      </c>
      <c r="I28" s="171" t="s">
        <v>281</v>
      </c>
      <c r="J28" s="172">
        <f>COUNTif(F28:F30,"Yes!")</f>
        <v>1</v>
      </c>
    </row>
    <row r="29">
      <c r="A29" s="272" t="str">
        <f>IFERROR(__xludf.DUMMYFUNCTION("""COMPUTED_VALUE"""),"Party asked follow up questions about who else lost memory (MR)")</f>
        <v>Party asked follow up questions about who else lost memory (MR)</v>
      </c>
      <c r="D29" s="182"/>
      <c r="F29" s="183" t="str">
        <f>if(Keer_Import!B44=true,"Yes!","No")</f>
        <v>No</v>
      </c>
      <c r="G29" s="184" t="s">
        <v>481</v>
      </c>
      <c r="H29" s="185" t="s">
        <v>686</v>
      </c>
      <c r="I29" s="182"/>
      <c r="J29" s="172"/>
    </row>
    <row r="30">
      <c r="A30" s="272" t="str">
        <f>IFERROR(__xludf.DUMMYFUNCTION("""COMPUTED_VALUE"""),"Strong interactions for list, pitch pipe challenge, and singing. Seemed well engaged all around.")</f>
        <v>Strong interactions for list, pitch pipe challenge, and singing. Seemed well engaged all around.</v>
      </c>
      <c r="D30" s="182"/>
      <c r="F30" s="179" t="str">
        <f>if(Keer_Import!B45=true,"Yes!","No")</f>
        <v>Yes!</v>
      </c>
      <c r="G30" s="180" t="s">
        <v>612</v>
      </c>
      <c r="H30" s="181" t="s">
        <v>686</v>
      </c>
      <c r="I30" s="189"/>
      <c r="J30" s="172"/>
    </row>
    <row r="31">
      <c r="A31" s="272" t="str">
        <f>IFERROR(__xludf.DUMMYFUNCTION("""COMPUTED_VALUE"""),"Understand their partypath and items. Meeting me tomorrow morning for Horn. Fun, engaged. ""Get it"" (thanked the cabin for their magic items).")</f>
        <v>Understand their partypath and items. Meeting me tomorrow morning for Horn. Fun, engaged. "Get it" (thanked the cabin for their magic items).</v>
      </c>
      <c r="D31" s="182"/>
      <c r="F31" s="177" t="str">
        <f>if(Keer_Import!B46=true,"Yes!","No")</f>
        <v>Yes!</v>
      </c>
      <c r="G31" s="169" t="s">
        <v>563</v>
      </c>
      <c r="H31" s="178" t="s">
        <v>687</v>
      </c>
      <c r="I31" s="171" t="s">
        <v>688</v>
      </c>
      <c r="J31" s="172">
        <f>COUNTif(F31:F32,"Yes!")</f>
        <v>2</v>
      </c>
    </row>
    <row r="32">
      <c r="A32" s="272" t="str">
        <f>IFERROR(__xludf.DUMMYFUNCTION("""COMPUTED_VALUE"""),"Donezo 3pm Sat!")</f>
        <v>Donezo 3pm Sat!</v>
      </c>
      <c r="D32" s="182"/>
      <c r="F32" s="186" t="str">
        <f>if(Keer_Import!B47=true,"Yes!","No")</f>
        <v>Yes!</v>
      </c>
      <c r="G32" s="187" t="s">
        <v>351</v>
      </c>
      <c r="H32" s="188" t="s">
        <v>687</v>
      </c>
      <c r="I32" s="189"/>
      <c r="J32" s="172"/>
    </row>
    <row r="33">
      <c r="A33" s="272" t="str">
        <f>IFERROR(__xludf.DUMMYFUNCTION("""COMPUTED_VALUE"""),"Did well.  Saw them do the time shift from down the path. - PO Sat 3:45")</f>
        <v>Did well.  Saw them do the time shift from down the path. - PO Sat 3:45</v>
      </c>
      <c r="D33" s="182"/>
      <c r="F33" s="190" t="str">
        <f>if(Keer_Import!B48=true,"Yes!","No")</f>
        <v>Yes!</v>
      </c>
      <c r="G33" s="191" t="s">
        <v>570</v>
      </c>
      <c r="H33" s="192" t="s">
        <v>689</v>
      </c>
      <c r="I33" s="193"/>
      <c r="J33" s="172">
        <f t="shared" ref="J33:J38" si="2">COUNTif(F33,"Yes!")</f>
        <v>1</v>
      </c>
    </row>
    <row r="34">
      <c r="A34" s="272" t="str">
        <f>IFERROR(__xludf.DUMMYFUNCTION("""COMPUTED_VALUE"""),"From Bracken's side — definitely struggled with the philnathropy — took multiple tries, a lot of internal inconsistency and finally Nietz (Ranger) did a nice job talking to me about it so I took the money")</f>
        <v>From Bracken's side — definitely struggled with the philnathropy — took multiple tries, a lot of internal inconsistency and finally Nietz (Ranger) did a nice job talking to me about it so I took the money</v>
      </c>
      <c r="D34" s="182"/>
      <c r="F34" s="190" t="str">
        <f>if(Dashboard!G8=true,"Yes!","No")</f>
        <v>Yes!</v>
      </c>
      <c r="G34" s="191" t="s">
        <v>302</v>
      </c>
      <c r="H34" s="192" t="s">
        <v>690</v>
      </c>
      <c r="I34" s="193" t="s">
        <v>209</v>
      </c>
      <c r="J34" s="172">
        <f t="shared" si="2"/>
        <v>1</v>
      </c>
    </row>
    <row r="35">
      <c r="A35" s="272" t="str">
        <f>IFERROR(__xludf.DUMMYFUNCTION("""COMPUTED_VALUE"""),"The whole party was involved in one good sock, they did well! I want to get some googly eyes to make a distraction head from a sock. - ZT")</f>
        <v>The whole party was involved in one good sock, they did well! I want to get some googly eyes to make a distraction head from a sock. - ZT</v>
      </c>
      <c r="D35" s="182"/>
      <c r="F35" s="218" t="str">
        <f>if(Keer_Import!B50=true,"Yes!","No")</f>
        <v>No</v>
      </c>
      <c r="G35" s="219" t="s">
        <v>223</v>
      </c>
      <c r="H35" s="220" t="s">
        <v>691</v>
      </c>
      <c r="I35" s="221" t="s">
        <v>209</v>
      </c>
      <c r="J35" s="172">
        <f t="shared" si="2"/>
        <v>0</v>
      </c>
    </row>
    <row r="36">
      <c r="A36" s="272" t="str">
        <f>IFERROR(__xludf.DUMMYFUNCTION("""COMPUTED_VALUE"""),"They completed their challenge (Managers &amp; peons) at camp while Huxley was in tavern, took a moment to warm up but did very well! - ESD
Gave them their riddle. They seemed excited to solve it. -EF
Shrike seems to be doing most of the quest item questing ("&amp;"asking people for info, getting items, solving the riddle) - EF")</f>
        <v>They completed their challenge (Managers &amp; peons) at camp while Huxley was in tavern, took a moment to warm up but did very well! - ESD
Gave them their riddle. They seemed excited to solve it. -EF
Shrike seems to be doing most of the quest item questing (asking people for info, getting items, solving the riddle) - EF</v>
      </c>
      <c r="D36" s="182"/>
      <c r="F36" s="218" t="str">
        <f>if(Keer_Import!B51=true,"Yes!","No")</f>
        <v>No</v>
      </c>
      <c r="G36" s="219" t="s">
        <v>692</v>
      </c>
      <c r="H36" s="220" t="s">
        <v>693</v>
      </c>
      <c r="I36" s="221" t="s">
        <v>209</v>
      </c>
      <c r="J36" s="172">
        <f t="shared" si="2"/>
        <v>0</v>
      </c>
    </row>
    <row r="37">
      <c r="A37" s="272" t="str">
        <f>IFERROR(__xludf.DUMMYFUNCTION("""COMPUTED_VALUE"""),"First one through.  Did very well, takign hard paths.  Excellent ocmmunicaiotn.")</f>
        <v>First one through.  Did very well, takign hard paths.  Excellent ocmmunicaiotn.</v>
      </c>
      <c r="D37" s="182"/>
      <c r="F37" s="218" t="str">
        <f>if(Keer_Import!B52=true,"Yes!","No")</f>
        <v>No</v>
      </c>
      <c r="G37" s="219" t="s">
        <v>694</v>
      </c>
      <c r="H37" s="220" t="s">
        <v>695</v>
      </c>
      <c r="I37" s="221" t="s">
        <v>209</v>
      </c>
      <c r="J37" s="172">
        <f t="shared" si="2"/>
        <v>0</v>
      </c>
    </row>
    <row r="38">
      <c r="A38" s="272" t="str">
        <f>IFERROR(__xludf.DUMMYFUNCTION("""COMPUTED_VALUE"""),"Took a moment to bond with the traveler Friday night.  --LN")</f>
        <v>Took a moment to bond with the traveler Friday night.  --LN</v>
      </c>
      <c r="D38" s="182"/>
      <c r="F38" s="194" t="str">
        <f>if(Keer_Import!B53=true,"Yes!","No")</f>
        <v>No</v>
      </c>
      <c r="G38" s="195" t="s">
        <v>246</v>
      </c>
      <c r="H38" s="196" t="s">
        <v>696</v>
      </c>
      <c r="I38" s="250" t="s">
        <v>209</v>
      </c>
      <c r="J38" s="172">
        <f t="shared" si="2"/>
        <v>0</v>
      </c>
    </row>
    <row r="39">
      <c r="A39" s="272" t="str">
        <f>IFERROR(__xludf.DUMMYFUNCTION("""COMPUTED_VALUE"""),"acted dodgy about the details of the murder but totally open that she did it --TSR")</f>
        <v>acted dodgy about the details of the murder but totally open that she did it --TSR</v>
      </c>
      <c r="D39" s="182"/>
      <c r="E39" s="157"/>
      <c r="F39" s="327"/>
      <c r="G39" s="328"/>
      <c r="H39" s="328"/>
      <c r="I39" s="329"/>
      <c r="J39" s="172"/>
    </row>
    <row r="40">
      <c r="A40" s="272" t="str">
        <f>IFERROR(__xludf.DUMMYFUNCTION("""COMPUTED_VALUE"""),"Talked to them about how awesome Dorito is. acted all Moon eyed about her. —DG")</f>
        <v>Talked to them about how awesome Dorito is. acted all Moon eyed about her. —DG</v>
      </c>
      <c r="D40" s="182"/>
      <c r="E40" s="157"/>
      <c r="F40" s="153"/>
      <c r="I40" s="330"/>
      <c r="J40" s="172"/>
    </row>
    <row r="41">
      <c r="A41" s="272" t="str">
        <f>IFERROR(__xludf.DUMMYFUNCTION("""COMPUTED_VALUE"""),"Keeper was deciphering dream, told them that the letters were acting all funny, like how Dorito sees them (AS)")</f>
        <v>Keeper was deciphering dream, told them that the letters were acting all funny, like how Dorito sees them (AS)</v>
      </c>
      <c r="D41" s="182"/>
      <c r="E41" s="157"/>
      <c r="F41" s="153"/>
      <c r="G41" s="158"/>
      <c r="I41" s="330"/>
      <c r="J41" s="172"/>
    </row>
    <row r="42">
      <c r="A42" s="211" t="str">
        <f>IFERROR(__xludf.DUMMYFUNCTION("""COMPUTED_VALUE"""),"A.M.: Mentioned frustration w/Kira, told them about Dorito's insight about my frustration. (EC)")</f>
        <v>A.M.: Mentioned frustration w/Kira, told them about Dorito's insight about my frustration. (EC)</v>
      </c>
      <c r="D42" s="182"/>
      <c r="E42" s="157"/>
      <c r="F42" s="12"/>
      <c r="G42" s="158"/>
    </row>
    <row r="43">
      <c r="A43" s="226" t="str">
        <f>IFERROR(__xludf.DUMMYFUNCTION("""COMPUTED_VALUE"""),"Spoke with them after Managers &amp; Peons game to establish connection, they seemed too focused on their next item to give any more info - ESD (~10am)
Spoke to one participant during dessert - he said they were very suspicious about the charge not adding up."&amp;" - ESD")</f>
        <v>Spoke with them after Managers &amp; Peons game to establish connection, they seemed too focused on their next item to give any more info - ESD (~10am)
Spoke to one participant during dessert - he said they were very suspicious about the charge not adding up. - ESD</v>
      </c>
      <c r="D43" s="182"/>
      <c r="E43" s="157"/>
      <c r="F43" s="12"/>
      <c r="G43" s="158"/>
    </row>
    <row r="44">
      <c r="A44" s="226" t="str">
        <f>IFERROR(__xludf.DUMMYFUNCTION("""COMPUTED_VALUE"""),"Spoke to one participant in the cabin about Dorito.  He remarked 'Gee,she really is observant!)")</f>
        <v>Spoke to one participant in the cabin about Dorito.  He remarked 'Gee,she really is observant!)</v>
      </c>
      <c r="D44" s="182"/>
      <c r="E44" s="157"/>
      <c r="F44" s="12"/>
      <c r="G44" s="158"/>
    </row>
    <row r="45">
      <c r="A45" s="226" t="str">
        <f>IFERROR(__xludf.DUMMYFUNCTION("""COMPUTED_VALUE"""),"Talked with caster (Mourlin), seeker (Shrike), and a bit with Ranger (Nietz) about the whole Dorito situation. They hadn't yet heard anything about Dorito killing the professor, so it took a bit extra but they seemed pretty involved/liked Dorito but still"&amp;" overwhelmed by all the things. Talked about Dorito positively and seeing people more than others do —RS")</f>
        <v>Talked with caster (Mourlin), seeker (Shrike), and a bit with Ranger (Nietz) about the whole Dorito situation. They hadn't yet heard anything about Dorito killing the professor, so it took a bit extra but they seemed pretty involved/liked Dorito but still overwhelmed by all the things. Talked about Dorito positively and seeing people more than others do —RS</v>
      </c>
      <c r="D45" s="182"/>
      <c r="E45" s="157"/>
      <c r="F45" s="12"/>
      <c r="G45" s="158"/>
    </row>
    <row r="46">
      <c r="A46" s="226" t="str">
        <f>IFERROR(__xludf.DUMMYFUNCTION("""COMPUTED_VALUE"""),"Spoke with them a few times but wasn't able to fully share all info")</f>
        <v>Spoke with them a few times but wasn't able to fully share all info</v>
      </c>
      <c r="D46" s="182"/>
      <c r="E46" s="157"/>
      <c r="F46" s="12"/>
      <c r="G46" s="158"/>
    </row>
    <row r="47">
      <c r="A47" s="226" t="str">
        <f>IFERROR(__xludf.DUMMYFUNCTION("""COMPUTED_VALUE"""),"Talked with most of the party about going to Prof. Meriweather's talk and he was a no-show. Mentioned Lenora Graves but don't recall any reaction")</f>
        <v>Talked with most of the party about going to Prof. Meriweather's talk and he was a no-show. Mentioned Lenora Graves but don't recall any reaction</v>
      </c>
      <c r="D47" s="182"/>
      <c r="E47" s="157"/>
      <c r="F47" s="12"/>
      <c r="G47" s="158"/>
    </row>
    <row r="48">
      <c r="A48" s="226" t="str">
        <f>IFERROR(__xludf.DUMMYFUNCTION("""COMPUTED_VALUE"""),"Talked with entire group about Prof Meriweather, mentioned date and time, and that Lenora can't stop talking about him being a no-show")</f>
        <v>Talked with entire group about Prof Meriweather, mentioned date and time, and that Lenora can't stop talking about him being a no-show</v>
      </c>
      <c r="D48" s="182"/>
      <c r="E48" s="157"/>
      <c r="F48" s="12"/>
      <c r="G48" s="158"/>
    </row>
    <row r="49">
      <c r="A49" s="226" t="str">
        <f>IFERROR(__xludf.DUMMYFUNCTION("""COMPUTED_VALUE"""),"They listened attentively as Diesel gave charge info and I was there and ""overheard"" the conversation. They didn't know who I was but they were talking about me using the Ouija board, so I jumped in and told them the story. They seem convinced that Merr"&amp;"iweather isn't dead because there is no body.")</f>
        <v>They listened attentively as Diesel gave charge info and I was there and "overheard" the conversation. They didn't know who I was but they were talking about me using the Ouija board, so I jumped in and told them the story. They seem convinced that Merriweather isn't dead because there is no body.</v>
      </c>
      <c r="D49" s="182"/>
      <c r="E49" s="157"/>
      <c r="F49" s="12"/>
      <c r="G49" s="158"/>
    </row>
    <row r="50">
      <c r="A50" s="226" t="str">
        <f>IFERROR(__xludf.DUMMYFUNCTION("""COMPUTED_VALUE"""),"mentioned feeling bad about not checking with her the day she killed that guy when the convo was happening with the whole group --TSR")</f>
        <v>mentioned feeling bad about not checking with her the day she killed that guy when the convo was happening with the whole group --TSR</v>
      </c>
      <c r="D50" s="182"/>
      <c r="E50" s="157"/>
      <c r="F50" s="12"/>
      <c r="G50" s="158"/>
    </row>
    <row r="51">
      <c r="A51" s="226" t="str">
        <f>IFERROR(__xludf.DUMMYFUNCTION("""COMPUTED_VALUE"""),"Told them about Bane+Dorito around 7pm Sat at dinner.  They were unaware they were an item.  I also mentioned that Bane yelled at me when I saw him out and asked the time.")</f>
        <v>Told them about Bane+Dorito around 7pm Sat at dinner.  They were unaware they were an item.  I also mentioned that Bane yelled at me when I saw him out and asked the time.</v>
      </c>
      <c r="D51" s="182"/>
      <c r="E51" s="157"/>
      <c r="F51" s="12"/>
      <c r="G51" s="158"/>
    </row>
    <row r="52">
      <c r="A52" s="226" t="str">
        <f>IFERROR(__xludf.DUMMYFUNCTION("""COMPUTED_VALUE"""),"Did not give this info because they were very focused on telling me about pirate attack in our interaction (after Bartleby accidentally told them to tell me this info at breakfast) and was told by Dorito they already had fully understood it")</f>
        <v>Did not give this info because they were very focused on telling me about pirate attack in our interaction (after Bartleby accidentally told them to tell me this info at breakfast) and was told by Dorito they already had fully understood it</v>
      </c>
      <c r="D52" s="182"/>
      <c r="E52" s="157"/>
      <c r="F52" s="12"/>
      <c r="G52" s="158"/>
    </row>
    <row r="53">
      <c r="A53" s="226" t="str">
        <f>IFERROR(__xludf.DUMMYFUNCTION("""COMPUTED_VALUE"""),"I didn't give this info to Keer because I talked to JennMo and it seemed like they were clear on this info. ")</f>
        <v>I didn't give this info to Keer because I talked to JennMo and it seemed like they were clear on this info. </v>
      </c>
      <c r="D53" s="182"/>
      <c r="E53" s="157"/>
      <c r="F53" s="12"/>
      <c r="G53" s="158"/>
    </row>
    <row r="54">
      <c r="A54" s="226" t="str">
        <f>IFERROR(__xludf.DUMMYFUNCTION("""COMPUTED_VALUE"""),"Hooked into Apoc visit to clue on Dorito, whole party heard and got it.   - BW")</f>
        <v>Hooked into Apoc visit to clue on Dorito, whole party heard and got it.   - BW</v>
      </c>
      <c r="D54" s="182"/>
      <c r="E54" s="157"/>
      <c r="F54" s="12"/>
      <c r="G54" s="158"/>
    </row>
    <row r="55">
      <c r="A55" s="226" t="str">
        <f>IFERROR(__xludf.DUMMYFUNCTION("""COMPUTED_VALUE"""),"They may have taken a few royals out of the pouch? Not sure!")</f>
        <v>They may have taken a few royals out of the pouch? Not sure!</v>
      </c>
      <c r="D55" s="182"/>
      <c r="E55" s="157"/>
      <c r="F55" s="12"/>
      <c r="G55" s="158"/>
    </row>
    <row r="56">
      <c r="A56" s="226" t="str">
        <f>IFERROR(__xludf.DUMMYFUNCTION("""COMPUTED_VALUE"""),"ER as skeever3 - Overheard them talkng about what they knew about other parties and thier quests on way back. Knew Arden's quest and also P'loas quest. Seem to be getting into world. —ER")</f>
        <v>ER as skeever3 - Overheard them talkng about what they knew about other parties and thier quests on way back. Knew Arden's quest and also P'loas quest. Seem to be getting into world. —ER</v>
      </c>
      <c r="D56" s="182"/>
      <c r="E56" s="157"/>
      <c r="F56" s="12"/>
      <c r="G56" s="158"/>
    </row>
    <row r="57">
      <c r="A57" s="226" t="str">
        <f>IFERROR(__xludf.DUMMYFUNCTION("""COMPUTED_VALUE"""),"Bartleby accidentally gave them Jack Brigham info, have fixed it. - KK")</f>
        <v>Bartleby accidentally gave them Jack Brigham info, have fixed it. - KK</v>
      </c>
      <c r="D57" s="182"/>
      <c r="E57" s="157"/>
      <c r="F57" s="12"/>
      <c r="G57" s="158"/>
    </row>
    <row r="58">
      <c r="A58" s="226" t="str">
        <f>IFERROR(__xludf.DUMMYFUNCTION("""COMPUTED_VALUE"""),"party photo taken -Mirin")</f>
        <v>party photo taken -Mirin</v>
      </c>
      <c r="D58" s="182"/>
      <c r="E58" s="157"/>
      <c r="F58" s="12"/>
      <c r="G58" s="158"/>
    </row>
    <row r="59">
      <c r="A59" s="226" t="str">
        <f>IFERROR(__xludf.DUMMYFUNCTION("""COMPUTED_VALUE"""),"Worked well at Managers and Peons - Fun group!")</f>
        <v>Worked well at Managers and Peons - Fun group!</v>
      </c>
      <c r="D59" s="182"/>
      <c r="E59" s="157"/>
      <c r="F59" s="12"/>
      <c r="G59" s="158"/>
    </row>
    <row r="60">
      <c r="A60" s="226" t="str">
        <f>IFERROR(__xludf.DUMMYFUNCTION("""COMPUTED_VALUE"""),"Have golden page info re: Obsidian-Abigail")</f>
        <v>Have golden page info re: Obsidian-Abigail</v>
      </c>
      <c r="D60" s="182"/>
      <c r="E60" s="157"/>
      <c r="F60" s="12"/>
      <c r="G60" s="158"/>
    </row>
    <row r="61">
      <c r="A61" s="227" t="str">
        <f>IFERROR(__xludf.DUMMYFUNCTION("""COMPUTED_VALUE"""),"Hit them solidly with Diesel-as-child.  One asked, ""are you a seven year old girl?""  (""Ew, gross, no!"")")</f>
        <v>Hit them solidly with Diesel-as-child.  One asked, "are you a seven year old girl?"  ("Ew, gross, no!")</v>
      </c>
      <c r="B61" s="228"/>
      <c r="C61" s="228"/>
      <c r="D61" s="189"/>
      <c r="E61" s="157"/>
      <c r="F61" s="12"/>
      <c r="G61" s="158"/>
    </row>
    <row r="62">
      <c r="A62" s="138" t="str">
        <f>IFERROR(__xludf.DUMMYFUNCTION("""COMPUTED_VALUE"""),"As Dorito talked to them at site and they asked about the murder. I admitted to it of course but gave non-convincing details. They seemed skeptical that I did this in my right mind.")</f>
        <v>As Dorito talked to them at site and they asked about the murder. I admitted to it of course but gave non-convincing details. They seemed skeptical that I did this in my right mind.</v>
      </c>
      <c r="B62" s="138"/>
      <c r="C62" s="138"/>
      <c r="D62" s="138"/>
      <c r="E62" s="157"/>
      <c r="F62" s="12"/>
      <c r="G62" s="158"/>
    </row>
    <row r="63">
      <c r="A63" s="138"/>
      <c r="B63" s="138"/>
      <c r="C63" s="138"/>
      <c r="D63" s="138"/>
      <c r="E63" s="157"/>
      <c r="F63" s="12"/>
      <c r="G63" s="158"/>
    </row>
    <row r="64">
      <c r="A64" s="153"/>
      <c r="B64" s="229"/>
      <c r="C64" s="230"/>
      <c r="D64" s="231"/>
      <c r="E64" s="157"/>
      <c r="F64" s="12"/>
      <c r="G64" s="158"/>
    </row>
    <row r="65">
      <c r="A65" s="153"/>
      <c r="B65" s="229"/>
      <c r="C65" s="230"/>
      <c r="D65" s="231"/>
      <c r="E65" s="157"/>
      <c r="F65" s="12"/>
      <c r="G65" s="158"/>
    </row>
    <row r="66">
      <c r="A66" s="153"/>
      <c r="B66" s="229"/>
      <c r="C66" s="230"/>
      <c r="D66" s="231"/>
      <c r="E66" s="157"/>
      <c r="F66" s="12"/>
      <c r="G66" s="158"/>
    </row>
    <row r="67">
      <c r="A67" s="153"/>
      <c r="B67" s="229"/>
      <c r="C67" s="230"/>
      <c r="D67" s="231"/>
      <c r="E67" s="157"/>
      <c r="F67" s="12"/>
      <c r="G67" s="158"/>
    </row>
    <row r="68">
      <c r="A68" s="153"/>
      <c r="B68" s="229"/>
      <c r="C68" s="230"/>
      <c r="D68" s="231"/>
      <c r="E68" s="157"/>
      <c r="F68" s="12"/>
      <c r="G68" s="158"/>
    </row>
    <row r="69">
      <c r="A69" s="153"/>
      <c r="B69" s="229"/>
      <c r="C69" s="230"/>
      <c r="D69" s="231"/>
      <c r="E69" s="157"/>
      <c r="F69" s="12"/>
      <c r="G69" s="158"/>
    </row>
    <row r="70">
      <c r="A70" s="153"/>
      <c r="B70" s="229"/>
      <c r="C70" s="230"/>
      <c r="D70" s="231"/>
      <c r="E70" s="157"/>
      <c r="F70" s="12"/>
      <c r="G70" s="158"/>
    </row>
    <row r="71">
      <c r="A71" s="153"/>
      <c r="B71" s="229"/>
      <c r="C71" s="230"/>
      <c r="D71" s="231"/>
      <c r="E71" s="157"/>
      <c r="F71" s="12"/>
      <c r="G71" s="158"/>
    </row>
    <row r="72">
      <c r="A72" s="153"/>
      <c r="B72" s="229"/>
      <c r="C72" s="230"/>
      <c r="D72" s="231"/>
      <c r="E72" s="157"/>
      <c r="F72" s="12"/>
      <c r="G72" s="158"/>
    </row>
    <row r="73">
      <c r="A73" s="153"/>
      <c r="B73" s="229"/>
      <c r="C73" s="230"/>
      <c r="D73" s="231"/>
      <c r="E73" s="157"/>
      <c r="F73" s="12"/>
      <c r="G73" s="158"/>
    </row>
    <row r="74">
      <c r="A74" s="153"/>
      <c r="B74" s="229"/>
      <c r="C74" s="230"/>
      <c r="D74" s="231"/>
      <c r="E74" s="157"/>
      <c r="F74" s="12"/>
      <c r="G74" s="158"/>
    </row>
    <row r="75">
      <c r="A75" s="153"/>
      <c r="B75" s="229"/>
      <c r="C75" s="230"/>
      <c r="D75" s="231"/>
      <c r="E75" s="157"/>
      <c r="F75" s="12"/>
      <c r="G75" s="158"/>
    </row>
    <row r="76">
      <c r="A76" s="153"/>
      <c r="B76" s="229"/>
      <c r="C76" s="230"/>
      <c r="D76" s="231"/>
      <c r="E76" s="157"/>
      <c r="F76" s="12"/>
      <c r="G76" s="158"/>
    </row>
    <row r="77">
      <c r="A77" s="153"/>
      <c r="B77" s="229"/>
      <c r="C77" s="230"/>
      <c r="D77" s="231"/>
      <c r="E77" s="157"/>
      <c r="F77" s="12"/>
      <c r="G77" s="158"/>
    </row>
    <row r="78">
      <c r="A78" s="153"/>
      <c r="B78" s="229"/>
      <c r="C78" s="230"/>
      <c r="D78" s="231"/>
      <c r="E78" s="157"/>
      <c r="F78" s="12"/>
      <c r="G78" s="158"/>
    </row>
    <row r="79">
      <c r="A79" s="153"/>
      <c r="B79" s="229"/>
      <c r="C79" s="230"/>
      <c r="D79" s="231"/>
      <c r="E79" s="157"/>
      <c r="F79" s="12"/>
      <c r="G79" s="158"/>
    </row>
    <row r="80">
      <c r="A80" s="153"/>
      <c r="B80" s="229"/>
      <c r="C80" s="230"/>
      <c r="D80" s="231"/>
      <c r="E80" s="157"/>
      <c r="F80" s="12"/>
      <c r="G80" s="158"/>
    </row>
    <row r="81">
      <c r="A81" s="153"/>
      <c r="B81" s="229"/>
      <c r="C81" s="230"/>
      <c r="D81" s="231"/>
      <c r="E81" s="157"/>
      <c r="F81" s="12"/>
      <c r="G81" s="158"/>
    </row>
    <row r="82">
      <c r="A82" s="153"/>
      <c r="B82" s="229"/>
      <c r="C82" s="230"/>
      <c r="D82" s="231"/>
      <c r="E82" s="157"/>
      <c r="F82" s="12"/>
      <c r="G82" s="158"/>
    </row>
    <row r="83">
      <c r="A83" s="153"/>
      <c r="B83" s="229"/>
      <c r="C83" s="230"/>
      <c r="D83" s="231"/>
      <c r="E83" s="157"/>
      <c r="F83" s="12"/>
      <c r="G83" s="158"/>
    </row>
    <row r="84">
      <c r="A84" s="153"/>
      <c r="B84" s="229"/>
      <c r="C84" s="230"/>
      <c r="D84" s="231"/>
      <c r="E84" s="157"/>
      <c r="F84" s="12"/>
      <c r="G84" s="158"/>
    </row>
    <row r="85">
      <c r="A85" s="153"/>
      <c r="B85" s="229"/>
      <c r="C85" s="230"/>
      <c r="D85" s="231"/>
      <c r="E85" s="157"/>
      <c r="F85" s="12"/>
      <c r="G85" s="158"/>
    </row>
    <row r="86">
      <c r="A86" s="153"/>
      <c r="B86" s="229"/>
      <c r="C86" s="230"/>
      <c r="D86" s="231"/>
      <c r="E86" s="157"/>
      <c r="F86" s="12"/>
      <c r="G86" s="158"/>
    </row>
    <row r="87">
      <c r="A87" s="153"/>
      <c r="B87" s="229"/>
      <c r="C87" s="230"/>
      <c r="D87" s="231"/>
      <c r="E87" s="157"/>
      <c r="F87" s="12"/>
      <c r="G87" s="158"/>
    </row>
    <row r="88">
      <c r="A88" s="153"/>
      <c r="B88" s="229"/>
      <c r="C88" s="230"/>
      <c r="D88" s="231"/>
      <c r="E88" s="157"/>
      <c r="F88" s="12"/>
      <c r="G88" s="158"/>
    </row>
    <row r="89">
      <c r="A89" s="153"/>
      <c r="B89" s="229"/>
      <c r="C89" s="230"/>
      <c r="D89" s="231"/>
      <c r="E89" s="157"/>
      <c r="F89" s="12"/>
      <c r="G89" s="158"/>
    </row>
    <row r="90">
      <c r="A90" s="153"/>
      <c r="B90" s="229"/>
      <c r="C90" s="230"/>
      <c r="D90" s="231"/>
      <c r="E90" s="157"/>
      <c r="F90" s="12"/>
      <c r="G90" s="158"/>
    </row>
    <row r="91">
      <c r="A91" s="153"/>
      <c r="B91" s="229"/>
      <c r="C91" s="230"/>
      <c r="D91" s="231"/>
      <c r="E91" s="157"/>
      <c r="F91" s="12"/>
      <c r="G91" s="158"/>
    </row>
    <row r="92">
      <c r="A92" s="153"/>
      <c r="B92" s="229"/>
      <c r="C92" s="230"/>
      <c r="D92" s="231"/>
      <c r="E92" s="157"/>
      <c r="F92" s="12"/>
      <c r="G92" s="158"/>
    </row>
    <row r="93">
      <c r="A93" s="153"/>
      <c r="B93" s="229"/>
      <c r="C93" s="230"/>
      <c r="D93" s="231"/>
      <c r="E93" s="157"/>
      <c r="F93" s="12"/>
      <c r="G93" s="158"/>
    </row>
    <row r="94">
      <c r="A94" s="153"/>
      <c r="B94" s="229"/>
      <c r="C94" s="230"/>
      <c r="D94" s="231"/>
      <c r="E94" s="157"/>
      <c r="F94" s="12"/>
      <c r="G94" s="158"/>
    </row>
    <row r="95">
      <c r="A95" s="153"/>
      <c r="B95" s="229"/>
      <c r="C95" s="230"/>
      <c r="D95" s="231"/>
      <c r="E95" s="157"/>
      <c r="F95" s="12"/>
      <c r="G95" s="158"/>
    </row>
    <row r="96">
      <c r="A96" s="153"/>
      <c r="B96" s="229"/>
      <c r="C96" s="230"/>
      <c r="D96" s="231"/>
      <c r="E96" s="157"/>
      <c r="F96" s="12"/>
      <c r="G96" s="158"/>
    </row>
    <row r="97">
      <c r="A97" s="153"/>
      <c r="B97" s="229"/>
      <c r="C97" s="230"/>
      <c r="D97" s="231"/>
      <c r="E97" s="157"/>
      <c r="F97" s="12"/>
      <c r="G97" s="158"/>
    </row>
    <row r="98">
      <c r="A98" s="153"/>
      <c r="B98" s="229"/>
      <c r="C98" s="230"/>
      <c r="D98" s="231"/>
      <c r="E98" s="157"/>
      <c r="F98" s="12"/>
      <c r="G98" s="158"/>
    </row>
    <row r="99">
      <c r="A99" s="153"/>
      <c r="B99" s="229"/>
      <c r="C99" s="230"/>
      <c r="D99" s="231"/>
      <c r="E99" s="157"/>
      <c r="F99" s="12"/>
      <c r="G99" s="158"/>
    </row>
    <row r="100">
      <c r="A100" s="153"/>
      <c r="B100" s="229"/>
      <c r="C100" s="230"/>
      <c r="D100" s="231"/>
      <c r="E100" s="157"/>
      <c r="F100" s="12"/>
      <c r="G100" s="158"/>
    </row>
    <row r="101">
      <c r="A101" s="153"/>
      <c r="B101" s="229"/>
      <c r="C101" s="230"/>
      <c r="D101" s="231"/>
      <c r="E101" s="157"/>
      <c r="F101" s="12"/>
      <c r="G101" s="158"/>
    </row>
    <row r="102">
      <c r="A102" s="153"/>
      <c r="B102" s="229"/>
      <c r="C102" s="230"/>
      <c r="D102" s="231"/>
      <c r="E102" s="157"/>
      <c r="F102" s="12"/>
      <c r="G102" s="158"/>
    </row>
    <row r="103">
      <c r="A103" s="153"/>
      <c r="B103" s="229"/>
      <c r="C103" s="230"/>
      <c r="D103" s="231"/>
      <c r="E103" s="157"/>
      <c r="F103" s="12"/>
      <c r="G103" s="158"/>
    </row>
    <row r="104">
      <c r="A104" s="153"/>
      <c r="B104" s="229"/>
      <c r="C104" s="230"/>
      <c r="D104" s="231"/>
      <c r="E104" s="157"/>
      <c r="F104" s="12"/>
      <c r="G104" s="158"/>
    </row>
    <row r="105">
      <c r="A105" s="153"/>
      <c r="B105" s="229"/>
      <c r="C105" s="230"/>
      <c r="D105" s="231"/>
      <c r="E105" s="157"/>
      <c r="F105" s="12"/>
      <c r="G105" s="158"/>
    </row>
    <row r="106">
      <c r="A106" s="153"/>
      <c r="B106" s="229"/>
      <c r="C106" s="230"/>
      <c r="D106" s="231"/>
      <c r="E106" s="157"/>
      <c r="F106" s="12"/>
      <c r="G106" s="158"/>
    </row>
    <row r="107">
      <c r="A107" s="153"/>
      <c r="B107" s="229"/>
      <c r="C107" s="230"/>
      <c r="D107" s="231"/>
      <c r="E107" s="157"/>
      <c r="F107" s="12"/>
      <c r="G107" s="158"/>
    </row>
    <row r="108">
      <c r="A108" s="153"/>
      <c r="B108" s="229"/>
      <c r="C108" s="230"/>
      <c r="D108" s="231"/>
      <c r="E108" s="157"/>
      <c r="F108" s="12"/>
      <c r="G108" s="158"/>
    </row>
    <row r="109">
      <c r="A109" s="153"/>
      <c r="B109" s="229"/>
      <c r="C109" s="230"/>
      <c r="D109" s="231"/>
      <c r="E109" s="157"/>
      <c r="F109" s="12"/>
      <c r="G109" s="158"/>
    </row>
    <row r="110">
      <c r="A110" s="153"/>
      <c r="B110" s="229"/>
      <c r="C110" s="230"/>
      <c r="D110" s="231"/>
      <c r="E110" s="157"/>
      <c r="F110" s="12"/>
      <c r="G110" s="158"/>
    </row>
    <row r="111">
      <c r="A111" s="153"/>
      <c r="B111" s="229"/>
      <c r="C111" s="230"/>
      <c r="D111" s="231"/>
      <c r="E111" s="157"/>
      <c r="F111" s="12"/>
      <c r="G111" s="158"/>
    </row>
    <row r="112">
      <c r="A112" s="153"/>
      <c r="B112" s="229"/>
      <c r="C112" s="230"/>
      <c r="D112" s="231"/>
      <c r="E112" s="157"/>
      <c r="F112" s="12"/>
      <c r="G112" s="158"/>
    </row>
    <row r="113">
      <c r="A113" s="153"/>
      <c r="B113" s="229"/>
      <c r="C113" s="230"/>
      <c r="D113" s="231"/>
      <c r="E113" s="157"/>
      <c r="F113" s="12"/>
      <c r="G113" s="158"/>
    </row>
    <row r="114">
      <c r="A114" s="153"/>
      <c r="B114" s="229"/>
      <c r="C114" s="230"/>
      <c r="D114" s="231"/>
      <c r="E114" s="157"/>
      <c r="F114" s="12"/>
      <c r="G114" s="158"/>
    </row>
    <row r="115">
      <c r="A115" s="153"/>
      <c r="B115" s="229"/>
      <c r="C115" s="230"/>
      <c r="D115" s="231"/>
      <c r="E115" s="157"/>
      <c r="F115" s="12"/>
      <c r="G115" s="158"/>
    </row>
    <row r="116">
      <c r="A116" s="153"/>
      <c r="B116" s="229"/>
      <c r="C116" s="230"/>
      <c r="D116" s="231"/>
      <c r="E116" s="157"/>
      <c r="F116" s="12"/>
      <c r="G116" s="158"/>
    </row>
    <row r="117">
      <c r="A117" s="153"/>
      <c r="B117" s="229"/>
      <c r="C117" s="230"/>
      <c r="D117" s="231"/>
      <c r="E117" s="157"/>
      <c r="F117" s="12"/>
      <c r="G117" s="158"/>
    </row>
    <row r="118">
      <c r="A118" s="153"/>
      <c r="B118" s="229"/>
      <c r="C118" s="230"/>
      <c r="D118" s="231"/>
      <c r="E118" s="157"/>
      <c r="F118" s="12"/>
      <c r="G118" s="158"/>
    </row>
    <row r="119">
      <c r="A119" s="153"/>
      <c r="B119" s="229"/>
      <c r="C119" s="230"/>
      <c r="D119" s="231"/>
      <c r="E119" s="157"/>
      <c r="F119" s="12"/>
      <c r="G119" s="158"/>
    </row>
    <row r="120">
      <c r="A120" s="153"/>
      <c r="B120" s="229"/>
      <c r="C120" s="230"/>
      <c r="D120" s="231"/>
      <c r="E120" s="157"/>
      <c r="F120" s="12"/>
      <c r="G120" s="158"/>
    </row>
    <row r="121">
      <c r="A121" s="153"/>
      <c r="B121" s="229"/>
      <c r="C121" s="230"/>
      <c r="D121" s="231"/>
      <c r="E121" s="157"/>
      <c r="F121" s="12"/>
      <c r="G121" s="158"/>
    </row>
    <row r="122">
      <c r="A122" s="153"/>
      <c r="B122" s="229"/>
      <c r="C122" s="230"/>
      <c r="D122" s="231"/>
      <c r="E122" s="157"/>
      <c r="F122" s="12"/>
      <c r="G122" s="158"/>
    </row>
    <row r="123">
      <c r="A123" s="153"/>
      <c r="B123" s="229"/>
      <c r="C123" s="230"/>
      <c r="D123" s="231"/>
      <c r="E123" s="157"/>
      <c r="F123" s="12"/>
      <c r="G123" s="158"/>
    </row>
    <row r="124">
      <c r="A124" s="153"/>
      <c r="B124" s="229"/>
      <c r="C124" s="230"/>
      <c r="D124" s="231"/>
      <c r="E124" s="157"/>
      <c r="F124" s="12"/>
      <c r="G124" s="158"/>
    </row>
    <row r="125">
      <c r="A125" s="153"/>
      <c r="B125" s="229"/>
      <c r="C125" s="230"/>
      <c r="D125" s="231"/>
      <c r="E125" s="157"/>
      <c r="F125" s="12"/>
      <c r="G125" s="158"/>
    </row>
    <row r="126">
      <c r="A126" s="153"/>
      <c r="B126" s="229"/>
      <c r="C126" s="230"/>
      <c r="D126" s="231"/>
      <c r="E126" s="157"/>
      <c r="F126" s="12"/>
      <c r="G126" s="158"/>
    </row>
    <row r="127">
      <c r="A127" s="153"/>
      <c r="B127" s="229"/>
      <c r="C127" s="230"/>
      <c r="D127" s="231"/>
      <c r="E127" s="157"/>
      <c r="F127" s="12"/>
      <c r="G127" s="158"/>
    </row>
    <row r="128">
      <c r="A128" s="153"/>
      <c r="B128" s="229"/>
      <c r="C128" s="230"/>
      <c r="D128" s="231"/>
      <c r="E128" s="157"/>
      <c r="F128" s="12"/>
      <c r="G128" s="158"/>
    </row>
    <row r="129">
      <c r="A129" s="153"/>
      <c r="B129" s="229"/>
      <c r="C129" s="230"/>
      <c r="D129" s="231"/>
      <c r="E129" s="157"/>
      <c r="F129" s="12"/>
      <c r="G129" s="158"/>
    </row>
    <row r="130">
      <c r="A130" s="153"/>
      <c r="B130" s="229"/>
      <c r="C130" s="230"/>
      <c r="D130" s="231"/>
      <c r="E130" s="157"/>
      <c r="F130" s="12"/>
      <c r="G130" s="158"/>
    </row>
    <row r="131">
      <c r="A131" s="153"/>
      <c r="B131" s="229"/>
      <c r="C131" s="230"/>
      <c r="D131" s="231"/>
      <c r="E131" s="157"/>
      <c r="F131" s="12"/>
      <c r="G131" s="158"/>
    </row>
    <row r="132">
      <c r="A132" s="153"/>
      <c r="B132" s="229"/>
      <c r="C132" s="230"/>
      <c r="D132" s="231"/>
      <c r="E132" s="157"/>
      <c r="F132" s="12"/>
      <c r="G132" s="158"/>
    </row>
    <row r="133">
      <c r="A133" s="153"/>
      <c r="B133" s="229"/>
      <c r="C133" s="230"/>
      <c r="D133" s="231"/>
      <c r="E133" s="157"/>
      <c r="F133" s="12"/>
      <c r="G133" s="158"/>
    </row>
    <row r="134">
      <c r="A134" s="153"/>
      <c r="B134" s="229"/>
      <c r="C134" s="230"/>
      <c r="D134" s="231"/>
      <c r="E134" s="157"/>
      <c r="F134" s="12"/>
      <c r="G134" s="158"/>
    </row>
    <row r="135">
      <c r="A135" s="153"/>
      <c r="B135" s="229"/>
      <c r="C135" s="230"/>
      <c r="D135" s="231"/>
      <c r="E135" s="157"/>
      <c r="F135" s="12"/>
      <c r="G135" s="158"/>
    </row>
    <row r="136">
      <c r="A136" s="153"/>
      <c r="B136" s="229"/>
      <c r="C136" s="230"/>
      <c r="D136" s="231"/>
      <c r="E136" s="157"/>
      <c r="F136" s="12"/>
      <c r="G136" s="158"/>
    </row>
    <row r="137">
      <c r="A137" s="153"/>
      <c r="B137" s="229"/>
      <c r="C137" s="230"/>
      <c r="D137" s="231"/>
      <c r="E137" s="157"/>
      <c r="F137" s="12"/>
      <c r="G137" s="158"/>
    </row>
    <row r="138">
      <c r="A138" s="153"/>
      <c r="B138" s="229"/>
      <c r="C138" s="230"/>
      <c r="D138" s="231"/>
      <c r="E138" s="157"/>
      <c r="F138" s="12"/>
      <c r="G138" s="158"/>
    </row>
    <row r="139">
      <c r="A139" s="153"/>
      <c r="B139" s="229"/>
      <c r="C139" s="230"/>
      <c r="D139" s="231"/>
      <c r="E139" s="157"/>
      <c r="F139" s="12"/>
      <c r="G139" s="158"/>
    </row>
    <row r="140">
      <c r="A140" s="153"/>
      <c r="B140" s="229"/>
      <c r="C140" s="230"/>
      <c r="D140" s="231"/>
      <c r="E140" s="157"/>
      <c r="F140" s="12"/>
      <c r="G140" s="158"/>
    </row>
    <row r="141">
      <c r="A141" s="153"/>
      <c r="B141" s="229"/>
      <c r="C141" s="230"/>
      <c r="D141" s="231"/>
      <c r="E141" s="157"/>
      <c r="F141" s="12"/>
      <c r="G141" s="158"/>
    </row>
    <row r="142">
      <c r="A142" s="153"/>
      <c r="B142" s="229"/>
      <c r="C142" s="230"/>
      <c r="D142" s="231"/>
      <c r="E142" s="157"/>
      <c r="F142" s="12"/>
      <c r="G142" s="158"/>
    </row>
    <row r="143">
      <c r="A143" s="153"/>
      <c r="B143" s="229"/>
      <c r="C143" s="230"/>
      <c r="D143" s="231"/>
      <c r="E143" s="157"/>
      <c r="F143" s="12"/>
      <c r="G143" s="158"/>
    </row>
    <row r="144">
      <c r="A144" s="153"/>
      <c r="B144" s="229"/>
      <c r="C144" s="230"/>
      <c r="D144" s="231"/>
      <c r="E144" s="157"/>
      <c r="F144" s="12"/>
      <c r="G144" s="158"/>
    </row>
    <row r="145">
      <c r="A145" s="153"/>
      <c r="B145" s="229"/>
      <c r="C145" s="230"/>
      <c r="D145" s="231"/>
      <c r="E145" s="157"/>
      <c r="F145" s="12"/>
      <c r="G145" s="158"/>
    </row>
    <row r="146">
      <c r="A146" s="153"/>
      <c r="B146" s="229"/>
      <c r="C146" s="230"/>
      <c r="D146" s="231"/>
      <c r="E146" s="157"/>
      <c r="F146" s="12"/>
      <c r="G146" s="158"/>
    </row>
    <row r="147">
      <c r="A147" s="153"/>
      <c r="B147" s="229"/>
      <c r="C147" s="230"/>
      <c r="D147" s="231"/>
      <c r="E147" s="157"/>
      <c r="F147" s="12"/>
      <c r="G147" s="158"/>
    </row>
    <row r="148">
      <c r="A148" s="153"/>
      <c r="B148" s="229"/>
      <c r="C148" s="230"/>
      <c r="D148" s="231"/>
      <c r="E148" s="157"/>
      <c r="F148" s="12"/>
      <c r="G148" s="158"/>
    </row>
    <row r="149">
      <c r="A149" s="153"/>
      <c r="B149" s="229"/>
      <c r="C149" s="230"/>
      <c r="D149" s="231"/>
      <c r="E149" s="157"/>
      <c r="F149" s="12"/>
      <c r="G149" s="158"/>
    </row>
    <row r="150">
      <c r="A150" s="153"/>
      <c r="B150" s="229"/>
      <c r="C150" s="230"/>
      <c r="D150" s="231"/>
      <c r="E150" s="157"/>
      <c r="F150" s="12"/>
      <c r="G150" s="158"/>
    </row>
    <row r="151">
      <c r="A151" s="153"/>
      <c r="B151" s="229"/>
      <c r="C151" s="230"/>
      <c r="D151" s="231"/>
      <c r="E151" s="157"/>
      <c r="F151" s="12"/>
      <c r="G151" s="158"/>
    </row>
    <row r="152">
      <c r="A152" s="153"/>
      <c r="B152" s="229"/>
      <c r="C152" s="230"/>
      <c r="D152" s="231"/>
      <c r="E152" s="157"/>
      <c r="F152" s="12"/>
      <c r="G152" s="158"/>
    </row>
    <row r="153">
      <c r="A153" s="153"/>
      <c r="B153" s="229"/>
      <c r="C153" s="230"/>
      <c r="D153" s="231"/>
      <c r="E153" s="157"/>
      <c r="F153" s="12"/>
      <c r="G153" s="158"/>
    </row>
    <row r="154">
      <c r="A154" s="153"/>
      <c r="B154" s="229"/>
      <c r="C154" s="230"/>
      <c r="D154" s="231"/>
      <c r="E154" s="157"/>
      <c r="F154" s="12"/>
      <c r="G154" s="158"/>
    </row>
    <row r="155">
      <c r="A155" s="153"/>
      <c r="B155" s="229"/>
      <c r="C155" s="230"/>
      <c r="D155" s="231"/>
      <c r="E155" s="157"/>
      <c r="F155" s="12"/>
      <c r="G155" s="158"/>
    </row>
    <row r="156">
      <c r="A156" s="153"/>
      <c r="B156" s="229"/>
      <c r="C156" s="230"/>
      <c r="D156" s="231"/>
      <c r="E156" s="157"/>
      <c r="F156" s="12"/>
      <c r="G156" s="158"/>
    </row>
    <row r="157">
      <c r="A157" s="153"/>
      <c r="B157" s="229"/>
      <c r="C157" s="230"/>
      <c r="D157" s="231"/>
      <c r="E157" s="157"/>
      <c r="F157" s="12"/>
      <c r="G157" s="158"/>
    </row>
    <row r="158">
      <c r="A158" s="153"/>
      <c r="B158" s="229"/>
      <c r="C158" s="230"/>
      <c r="D158" s="231"/>
      <c r="E158" s="157"/>
      <c r="F158" s="12"/>
      <c r="G158" s="158"/>
    </row>
    <row r="159">
      <c r="A159" s="153"/>
      <c r="B159" s="229"/>
      <c r="C159" s="230"/>
      <c r="D159" s="231"/>
      <c r="E159" s="157"/>
      <c r="F159" s="12"/>
      <c r="G159" s="158"/>
    </row>
    <row r="160">
      <c r="A160" s="153"/>
      <c r="B160" s="229"/>
      <c r="C160" s="230"/>
      <c r="D160" s="231"/>
      <c r="E160" s="157"/>
      <c r="F160" s="12"/>
      <c r="G160" s="158"/>
    </row>
    <row r="161">
      <c r="A161" s="153"/>
      <c r="B161" s="229"/>
      <c r="C161" s="230"/>
      <c r="D161" s="231"/>
      <c r="E161" s="157"/>
      <c r="F161" s="12"/>
      <c r="G161" s="158"/>
    </row>
    <row r="162">
      <c r="A162" s="153"/>
      <c r="B162" s="229"/>
      <c r="C162" s="230"/>
      <c r="D162" s="231"/>
      <c r="E162" s="157"/>
      <c r="F162" s="12"/>
      <c r="G162" s="158"/>
    </row>
    <row r="163">
      <c r="A163" s="153"/>
      <c r="B163" s="229"/>
      <c r="C163" s="230"/>
      <c r="D163" s="231"/>
      <c r="E163" s="157"/>
      <c r="F163" s="12"/>
      <c r="G163" s="158"/>
    </row>
    <row r="164">
      <c r="A164" s="153"/>
      <c r="B164" s="229"/>
      <c r="C164" s="230"/>
      <c r="D164" s="231"/>
      <c r="E164" s="157"/>
      <c r="F164" s="12"/>
      <c r="G164" s="158"/>
    </row>
    <row r="165">
      <c r="A165" s="153"/>
      <c r="B165" s="229"/>
      <c r="C165" s="230"/>
      <c r="D165" s="231"/>
      <c r="E165" s="157"/>
      <c r="F165" s="12"/>
      <c r="G165" s="158"/>
    </row>
    <row r="166">
      <c r="A166" s="153"/>
      <c r="B166" s="229"/>
      <c r="C166" s="230"/>
      <c r="D166" s="231"/>
      <c r="E166" s="157"/>
      <c r="F166" s="12"/>
      <c r="G166" s="158"/>
    </row>
    <row r="167">
      <c r="A167" s="153"/>
      <c r="B167" s="229"/>
      <c r="C167" s="230"/>
      <c r="D167" s="231"/>
      <c r="E167" s="157"/>
      <c r="F167" s="12"/>
      <c r="G167" s="158"/>
    </row>
    <row r="168">
      <c r="A168" s="153"/>
      <c r="B168" s="229"/>
      <c r="C168" s="230"/>
      <c r="D168" s="231"/>
      <c r="E168" s="157"/>
      <c r="F168" s="12"/>
      <c r="G168" s="158"/>
    </row>
    <row r="169">
      <c r="A169" s="153"/>
      <c r="B169" s="229"/>
      <c r="C169" s="230"/>
      <c r="D169" s="231"/>
      <c r="E169" s="157"/>
      <c r="F169" s="12"/>
      <c r="G169" s="158"/>
    </row>
    <row r="170">
      <c r="A170" s="153"/>
      <c r="B170" s="229"/>
      <c r="C170" s="230"/>
      <c r="D170" s="231"/>
      <c r="E170" s="157"/>
      <c r="F170" s="12"/>
      <c r="G170" s="158"/>
    </row>
    <row r="171">
      <c r="A171" s="153"/>
      <c r="B171" s="229"/>
      <c r="C171" s="230"/>
      <c r="D171" s="231"/>
      <c r="E171" s="157"/>
      <c r="F171" s="12"/>
      <c r="G171" s="158"/>
    </row>
    <row r="172">
      <c r="A172" s="153"/>
      <c r="B172" s="229"/>
      <c r="C172" s="230"/>
      <c r="D172" s="231"/>
      <c r="E172" s="157"/>
      <c r="F172" s="12"/>
      <c r="G172" s="158"/>
    </row>
    <row r="173">
      <c r="A173" s="153"/>
      <c r="B173" s="229"/>
      <c r="C173" s="230"/>
      <c r="D173" s="231"/>
      <c r="E173" s="157"/>
      <c r="F173" s="12"/>
      <c r="G173" s="158"/>
    </row>
    <row r="174">
      <c r="A174" s="153"/>
      <c r="B174" s="229"/>
      <c r="C174" s="230"/>
      <c r="D174" s="231"/>
      <c r="E174" s="157"/>
      <c r="F174" s="12"/>
      <c r="G174" s="158"/>
    </row>
    <row r="175">
      <c r="A175" s="153"/>
      <c r="B175" s="229"/>
      <c r="C175" s="230"/>
      <c r="D175" s="231"/>
      <c r="E175" s="157"/>
      <c r="F175" s="12"/>
      <c r="G175" s="158"/>
    </row>
    <row r="176">
      <c r="A176" s="153"/>
      <c r="B176" s="229"/>
      <c r="C176" s="230"/>
      <c r="D176" s="231"/>
      <c r="E176" s="157"/>
      <c r="F176" s="12"/>
      <c r="G176" s="158"/>
    </row>
    <row r="177">
      <c r="A177" s="153"/>
      <c r="B177" s="229"/>
      <c r="C177" s="230"/>
      <c r="D177" s="231"/>
      <c r="E177" s="157"/>
      <c r="F177" s="12"/>
      <c r="G177" s="158"/>
    </row>
    <row r="178">
      <c r="A178" s="153"/>
      <c r="B178" s="229"/>
      <c r="C178" s="230"/>
      <c r="D178" s="231"/>
      <c r="E178" s="157"/>
      <c r="F178" s="12"/>
      <c r="G178" s="158"/>
    </row>
    <row r="179">
      <c r="A179" s="153"/>
      <c r="B179" s="229"/>
      <c r="C179" s="230"/>
      <c r="D179" s="231"/>
      <c r="E179" s="157"/>
      <c r="F179" s="12"/>
      <c r="G179" s="158"/>
    </row>
    <row r="180">
      <c r="A180" s="153"/>
      <c r="B180" s="229"/>
      <c r="C180" s="230"/>
      <c r="D180" s="231"/>
      <c r="E180" s="157"/>
      <c r="F180" s="12"/>
      <c r="G180" s="158"/>
    </row>
    <row r="181">
      <c r="A181" s="153"/>
      <c r="B181" s="229"/>
      <c r="C181" s="230"/>
      <c r="D181" s="231"/>
      <c r="E181" s="157"/>
      <c r="F181" s="12"/>
      <c r="G181" s="158"/>
    </row>
    <row r="182">
      <c r="A182" s="153"/>
      <c r="B182" s="229"/>
      <c r="C182" s="230"/>
      <c r="D182" s="231"/>
      <c r="E182" s="157"/>
      <c r="F182" s="12"/>
      <c r="G182" s="158"/>
    </row>
    <row r="183">
      <c r="A183" s="153"/>
      <c r="B183" s="229"/>
      <c r="C183" s="230"/>
      <c r="D183" s="231"/>
      <c r="E183" s="157"/>
      <c r="F183" s="12"/>
      <c r="G183" s="158"/>
    </row>
    <row r="184">
      <c r="A184" s="153"/>
      <c r="B184" s="229"/>
      <c r="C184" s="230"/>
      <c r="D184" s="231"/>
      <c r="E184" s="157"/>
      <c r="F184" s="12"/>
      <c r="G184" s="158"/>
    </row>
    <row r="185">
      <c r="A185" s="153"/>
      <c r="B185" s="229"/>
      <c r="C185" s="230"/>
      <c r="D185" s="231"/>
      <c r="E185" s="157"/>
      <c r="F185" s="12"/>
      <c r="G185" s="158"/>
    </row>
    <row r="186">
      <c r="A186" s="153"/>
      <c r="B186" s="229"/>
      <c r="C186" s="230"/>
      <c r="D186" s="231"/>
      <c r="E186" s="157"/>
      <c r="F186" s="12"/>
      <c r="G186" s="158"/>
    </row>
    <row r="187">
      <c r="A187" s="153"/>
      <c r="B187" s="229"/>
      <c r="C187" s="230"/>
      <c r="D187" s="231"/>
      <c r="E187" s="157"/>
      <c r="F187" s="12"/>
      <c r="G187" s="158"/>
    </row>
    <row r="188">
      <c r="A188" s="153"/>
      <c r="B188" s="229"/>
      <c r="C188" s="230"/>
      <c r="D188" s="231"/>
      <c r="E188" s="157"/>
      <c r="F188" s="12"/>
      <c r="G188" s="158"/>
    </row>
    <row r="189">
      <c r="A189" s="153"/>
      <c r="B189" s="229"/>
      <c r="C189" s="230"/>
      <c r="D189" s="231"/>
      <c r="E189" s="157"/>
      <c r="F189" s="12"/>
      <c r="G189" s="158"/>
    </row>
    <row r="190">
      <c r="A190" s="153"/>
      <c r="B190" s="229"/>
      <c r="C190" s="230"/>
      <c r="D190" s="231"/>
      <c r="E190" s="157"/>
      <c r="F190" s="12"/>
      <c r="G190" s="158"/>
    </row>
    <row r="191">
      <c r="A191" s="153"/>
      <c r="B191" s="229"/>
      <c r="C191" s="230"/>
      <c r="D191" s="231"/>
      <c r="E191" s="157"/>
      <c r="F191" s="12"/>
      <c r="G191" s="158"/>
    </row>
    <row r="192">
      <c r="A192" s="153"/>
      <c r="B192" s="229"/>
      <c r="C192" s="230"/>
      <c r="D192" s="231"/>
      <c r="E192" s="157"/>
      <c r="F192" s="12"/>
      <c r="G192" s="158"/>
    </row>
    <row r="193">
      <c r="A193" s="153"/>
      <c r="B193" s="229"/>
      <c r="C193" s="230"/>
      <c r="D193" s="231"/>
      <c r="E193" s="157"/>
      <c r="F193" s="12"/>
      <c r="G193" s="158"/>
    </row>
    <row r="194">
      <c r="A194" s="153"/>
      <c r="B194" s="229"/>
      <c r="C194" s="230"/>
      <c r="D194" s="231"/>
      <c r="E194" s="157"/>
      <c r="F194" s="12"/>
      <c r="G194" s="158"/>
    </row>
    <row r="195">
      <c r="A195" s="153"/>
      <c r="B195" s="229"/>
      <c r="C195" s="230"/>
      <c r="D195" s="231"/>
      <c r="E195" s="157"/>
      <c r="F195" s="12"/>
      <c r="G195" s="158"/>
    </row>
    <row r="196">
      <c r="A196" s="153"/>
      <c r="B196" s="229"/>
      <c r="C196" s="230"/>
      <c r="D196" s="231"/>
      <c r="E196" s="157"/>
      <c r="F196" s="12"/>
      <c r="G196" s="158"/>
    </row>
    <row r="197">
      <c r="A197" s="153"/>
      <c r="B197" s="229"/>
      <c r="C197" s="230"/>
      <c r="D197" s="231"/>
      <c r="E197" s="157"/>
      <c r="F197" s="12"/>
      <c r="G197" s="158"/>
    </row>
    <row r="198">
      <c r="A198" s="153"/>
      <c r="B198" s="229"/>
      <c r="C198" s="230"/>
      <c r="D198" s="231"/>
      <c r="E198" s="157"/>
      <c r="F198" s="12"/>
      <c r="G198" s="158"/>
    </row>
    <row r="199">
      <c r="A199" s="153"/>
      <c r="B199" s="229"/>
      <c r="C199" s="230"/>
      <c r="D199" s="231"/>
      <c r="E199" s="157"/>
      <c r="F199" s="12"/>
      <c r="G199" s="158"/>
    </row>
    <row r="200">
      <c r="A200" s="153"/>
      <c r="B200" s="229"/>
      <c r="C200" s="230"/>
      <c r="D200" s="231"/>
      <c r="E200" s="157"/>
      <c r="F200" s="12"/>
      <c r="G200" s="158"/>
    </row>
    <row r="201">
      <c r="A201" s="153"/>
      <c r="B201" s="229"/>
      <c r="C201" s="230"/>
      <c r="D201" s="231"/>
      <c r="E201" s="157"/>
      <c r="F201" s="12"/>
      <c r="G201" s="158"/>
    </row>
    <row r="202">
      <c r="A202" s="153"/>
      <c r="B202" s="229"/>
      <c r="C202" s="230"/>
      <c r="D202" s="231"/>
      <c r="E202" s="157"/>
      <c r="F202" s="12"/>
      <c r="G202" s="158"/>
    </row>
    <row r="203">
      <c r="A203" s="153"/>
      <c r="B203" s="229"/>
      <c r="C203" s="230"/>
      <c r="D203" s="231"/>
      <c r="E203" s="157"/>
      <c r="F203" s="12"/>
      <c r="G203" s="158"/>
    </row>
    <row r="204">
      <c r="A204" s="153"/>
      <c r="B204" s="229"/>
      <c r="C204" s="230"/>
      <c r="D204" s="231"/>
      <c r="E204" s="157"/>
      <c r="F204" s="12"/>
      <c r="G204" s="158"/>
    </row>
    <row r="205">
      <c r="A205" s="153"/>
      <c r="B205" s="229"/>
      <c r="C205" s="230"/>
      <c r="D205" s="231"/>
      <c r="E205" s="157"/>
      <c r="F205" s="12"/>
      <c r="G205" s="158"/>
    </row>
    <row r="206">
      <c r="A206" s="153"/>
      <c r="B206" s="229"/>
      <c r="C206" s="230"/>
      <c r="D206" s="231"/>
      <c r="E206" s="157"/>
      <c r="F206" s="12"/>
      <c r="G206" s="158"/>
    </row>
    <row r="207">
      <c r="A207" s="153"/>
      <c r="B207" s="229"/>
      <c r="C207" s="230"/>
      <c r="D207" s="231"/>
      <c r="E207" s="157"/>
      <c r="F207" s="12"/>
      <c r="G207" s="158"/>
    </row>
    <row r="208">
      <c r="A208" s="153"/>
      <c r="B208" s="229"/>
      <c r="C208" s="230"/>
      <c r="D208" s="231"/>
      <c r="E208" s="157"/>
      <c r="F208" s="12"/>
      <c r="G208" s="158"/>
    </row>
    <row r="209">
      <c r="A209" s="153"/>
      <c r="B209" s="229"/>
      <c r="C209" s="230"/>
      <c r="D209" s="231"/>
      <c r="E209" s="157"/>
      <c r="F209" s="12"/>
      <c r="G209" s="158"/>
    </row>
    <row r="210">
      <c r="A210" s="153"/>
      <c r="B210" s="229"/>
      <c r="C210" s="230"/>
      <c r="D210" s="231"/>
      <c r="E210" s="157"/>
      <c r="F210" s="12"/>
      <c r="G210" s="158"/>
    </row>
    <row r="211">
      <c r="A211" s="153"/>
      <c r="B211" s="229"/>
      <c r="C211" s="230"/>
      <c r="D211" s="231"/>
      <c r="E211" s="157"/>
      <c r="F211" s="12"/>
      <c r="G211" s="158"/>
    </row>
    <row r="212">
      <c r="A212" s="153"/>
      <c r="B212" s="229"/>
      <c r="C212" s="230"/>
      <c r="D212" s="231"/>
      <c r="E212" s="157"/>
      <c r="F212" s="12"/>
      <c r="G212" s="158"/>
    </row>
    <row r="213">
      <c r="A213" s="153"/>
      <c r="B213" s="229"/>
      <c r="C213" s="230"/>
      <c r="D213" s="231"/>
      <c r="E213" s="157"/>
      <c r="F213" s="12"/>
      <c r="G213" s="158"/>
    </row>
    <row r="214">
      <c r="A214" s="153"/>
      <c r="B214" s="229"/>
      <c r="C214" s="230"/>
      <c r="D214" s="231"/>
      <c r="E214" s="157"/>
      <c r="F214" s="12"/>
      <c r="G214" s="158"/>
    </row>
    <row r="215">
      <c r="A215" s="153"/>
      <c r="B215" s="229"/>
      <c r="C215" s="230"/>
      <c r="D215" s="231"/>
      <c r="E215" s="157"/>
      <c r="F215" s="12"/>
      <c r="G215" s="158"/>
    </row>
    <row r="216">
      <c r="A216" s="153"/>
      <c r="B216" s="229"/>
      <c r="C216" s="230"/>
      <c r="D216" s="231"/>
      <c r="E216" s="157"/>
      <c r="F216" s="12"/>
      <c r="G216" s="158"/>
    </row>
    <row r="217">
      <c r="A217" s="153"/>
      <c r="B217" s="229"/>
      <c r="C217" s="230"/>
      <c r="D217" s="231"/>
      <c r="E217" s="157"/>
      <c r="F217" s="12"/>
      <c r="G217" s="158"/>
    </row>
    <row r="218">
      <c r="A218" s="153"/>
      <c r="B218" s="229"/>
      <c r="C218" s="230"/>
      <c r="D218" s="231"/>
      <c r="E218" s="157"/>
      <c r="F218" s="12"/>
      <c r="G218" s="158"/>
    </row>
    <row r="219">
      <c r="A219" s="153"/>
      <c r="B219" s="229"/>
      <c r="C219" s="230"/>
      <c r="D219" s="231"/>
      <c r="E219" s="157"/>
      <c r="F219" s="12"/>
      <c r="G219" s="158"/>
    </row>
    <row r="220">
      <c r="A220" s="153"/>
      <c r="B220" s="229"/>
      <c r="C220" s="230"/>
      <c r="D220" s="231"/>
      <c r="E220" s="157"/>
      <c r="F220" s="12"/>
      <c r="G220" s="158"/>
    </row>
    <row r="221">
      <c r="A221" s="153"/>
      <c r="B221" s="229"/>
      <c r="C221" s="230"/>
      <c r="D221" s="231"/>
      <c r="E221" s="157"/>
      <c r="F221" s="12"/>
      <c r="G221" s="158"/>
    </row>
    <row r="222">
      <c r="A222" s="153"/>
      <c r="B222" s="229"/>
      <c r="C222" s="230"/>
      <c r="D222" s="231"/>
      <c r="E222" s="157"/>
      <c r="F222" s="12"/>
      <c r="G222" s="158"/>
    </row>
    <row r="223">
      <c r="A223" s="153"/>
      <c r="B223" s="229"/>
      <c r="C223" s="230"/>
      <c r="D223" s="231"/>
      <c r="E223" s="157"/>
      <c r="F223" s="12"/>
      <c r="G223" s="158"/>
    </row>
    <row r="224">
      <c r="A224" s="153"/>
      <c r="B224" s="229"/>
      <c r="C224" s="230"/>
      <c r="D224" s="231"/>
      <c r="E224" s="157"/>
      <c r="F224" s="12"/>
      <c r="G224" s="158"/>
    </row>
    <row r="225">
      <c r="A225" s="153"/>
      <c r="B225" s="229"/>
      <c r="C225" s="230"/>
      <c r="D225" s="231"/>
      <c r="E225" s="157"/>
      <c r="F225" s="12"/>
      <c r="G225" s="158"/>
    </row>
    <row r="226">
      <c r="A226" s="153"/>
      <c r="B226" s="229"/>
      <c r="C226" s="230"/>
      <c r="D226" s="231"/>
      <c r="E226" s="157"/>
      <c r="F226" s="12"/>
      <c r="G226" s="158"/>
    </row>
    <row r="227">
      <c r="A227" s="153"/>
      <c r="B227" s="229"/>
      <c r="C227" s="230"/>
      <c r="D227" s="231"/>
      <c r="E227" s="157"/>
      <c r="F227" s="12"/>
      <c r="G227" s="158"/>
    </row>
    <row r="228">
      <c r="A228" s="153"/>
      <c r="B228" s="229"/>
      <c r="C228" s="230"/>
      <c r="D228" s="231"/>
      <c r="E228" s="157"/>
      <c r="F228" s="12"/>
      <c r="G228" s="158"/>
    </row>
    <row r="229">
      <c r="A229" s="153"/>
      <c r="B229" s="229"/>
      <c r="C229" s="230"/>
      <c r="D229" s="231"/>
      <c r="E229" s="157"/>
      <c r="F229" s="12"/>
      <c r="G229" s="158"/>
    </row>
    <row r="230">
      <c r="A230" s="153"/>
      <c r="B230" s="229"/>
      <c r="C230" s="230"/>
      <c r="D230" s="231"/>
      <c r="E230" s="157"/>
      <c r="F230" s="12"/>
      <c r="G230" s="158"/>
    </row>
    <row r="231">
      <c r="A231" s="153"/>
      <c r="B231" s="229"/>
      <c r="C231" s="230"/>
      <c r="D231" s="231"/>
      <c r="E231" s="157"/>
      <c r="F231" s="12"/>
      <c r="G231" s="158"/>
    </row>
    <row r="232">
      <c r="A232" s="153"/>
      <c r="B232" s="229"/>
      <c r="C232" s="230"/>
      <c r="D232" s="231"/>
      <c r="E232" s="157"/>
      <c r="F232" s="12"/>
      <c r="G232" s="158"/>
    </row>
    <row r="233">
      <c r="A233" s="153"/>
      <c r="B233" s="229"/>
      <c r="C233" s="230"/>
      <c r="D233" s="231"/>
      <c r="E233" s="157"/>
      <c r="F233" s="12"/>
      <c r="G233" s="158"/>
    </row>
    <row r="234">
      <c r="A234" s="153"/>
      <c r="B234" s="229"/>
      <c r="C234" s="230"/>
      <c r="D234" s="231"/>
      <c r="E234" s="157"/>
      <c r="F234" s="12"/>
      <c r="G234" s="158"/>
    </row>
    <row r="235">
      <c r="A235" s="153"/>
      <c r="B235" s="229"/>
      <c r="C235" s="230"/>
      <c r="D235" s="231"/>
      <c r="E235" s="157"/>
      <c r="F235" s="12"/>
      <c r="G235" s="158"/>
    </row>
    <row r="236">
      <c r="A236" s="153"/>
      <c r="B236" s="229"/>
      <c r="C236" s="230"/>
      <c r="D236" s="231"/>
      <c r="E236" s="157"/>
      <c r="F236" s="12"/>
      <c r="G236" s="158"/>
    </row>
    <row r="237">
      <c r="A237" s="153"/>
      <c r="B237" s="229"/>
      <c r="C237" s="230"/>
      <c r="D237" s="231"/>
      <c r="E237" s="157"/>
      <c r="F237" s="12"/>
      <c r="G237" s="158"/>
    </row>
    <row r="238">
      <c r="A238" s="153"/>
      <c r="B238" s="229"/>
      <c r="C238" s="230"/>
      <c r="D238" s="231"/>
      <c r="E238" s="157"/>
      <c r="F238" s="12"/>
      <c r="G238" s="158"/>
    </row>
    <row r="239">
      <c r="A239" s="153"/>
      <c r="B239" s="229"/>
      <c r="C239" s="230"/>
      <c r="D239" s="231"/>
      <c r="E239" s="157"/>
      <c r="F239" s="12"/>
      <c r="G239" s="158"/>
    </row>
    <row r="240">
      <c r="A240" s="153"/>
      <c r="B240" s="229"/>
      <c r="C240" s="230"/>
      <c r="D240" s="231"/>
      <c r="E240" s="157"/>
      <c r="F240" s="12"/>
      <c r="G240" s="158"/>
    </row>
    <row r="241">
      <c r="A241" s="153"/>
      <c r="B241" s="229"/>
      <c r="C241" s="230"/>
      <c r="D241" s="231"/>
      <c r="E241" s="157"/>
      <c r="F241" s="12"/>
      <c r="G241" s="158"/>
    </row>
    <row r="242">
      <c r="A242" s="153"/>
      <c r="B242" s="229"/>
      <c r="C242" s="230"/>
      <c r="D242" s="231"/>
      <c r="E242" s="157"/>
      <c r="F242" s="12"/>
      <c r="G242" s="158"/>
    </row>
    <row r="243">
      <c r="A243" s="153"/>
      <c r="B243" s="229"/>
      <c r="C243" s="230"/>
      <c r="D243" s="231"/>
      <c r="E243" s="157"/>
      <c r="F243" s="12"/>
      <c r="G243" s="158"/>
    </row>
    <row r="244">
      <c r="A244" s="153"/>
      <c r="B244" s="229"/>
      <c r="C244" s="230"/>
      <c r="D244" s="231"/>
      <c r="E244" s="157"/>
      <c r="F244" s="12"/>
      <c r="G244" s="158"/>
    </row>
    <row r="245">
      <c r="A245" s="153"/>
      <c r="B245" s="229"/>
      <c r="C245" s="230"/>
      <c r="D245" s="231"/>
      <c r="E245" s="157"/>
      <c r="F245" s="12"/>
      <c r="G245" s="158"/>
    </row>
    <row r="246">
      <c r="A246" s="153"/>
      <c r="B246" s="229"/>
      <c r="C246" s="230"/>
      <c r="D246" s="231"/>
      <c r="E246" s="157"/>
      <c r="F246" s="12"/>
      <c r="G246" s="158"/>
    </row>
    <row r="247">
      <c r="A247" s="153"/>
      <c r="B247" s="229"/>
      <c r="C247" s="230"/>
      <c r="D247" s="231"/>
      <c r="E247" s="157"/>
      <c r="F247" s="12"/>
      <c r="G247" s="158"/>
    </row>
    <row r="248">
      <c r="A248" s="153"/>
      <c r="B248" s="229"/>
      <c r="C248" s="230"/>
      <c r="D248" s="231"/>
      <c r="E248" s="157"/>
      <c r="F248" s="12"/>
      <c r="G248" s="158"/>
    </row>
    <row r="249">
      <c r="A249" s="153"/>
      <c r="B249" s="229"/>
      <c r="C249" s="230"/>
      <c r="D249" s="231"/>
      <c r="E249" s="157"/>
      <c r="F249" s="12"/>
      <c r="G249" s="158"/>
    </row>
    <row r="250">
      <c r="A250" s="153"/>
      <c r="B250" s="229"/>
      <c r="C250" s="230"/>
      <c r="D250" s="231"/>
      <c r="E250" s="157"/>
      <c r="F250" s="12"/>
      <c r="G250" s="158"/>
    </row>
    <row r="251">
      <c r="A251" s="153"/>
      <c r="B251" s="229"/>
      <c r="C251" s="230"/>
      <c r="D251" s="231"/>
      <c r="E251" s="157"/>
      <c r="F251" s="12"/>
      <c r="G251" s="158"/>
    </row>
    <row r="252">
      <c r="A252" s="153"/>
      <c r="B252" s="229"/>
      <c r="C252" s="230"/>
      <c r="D252" s="231"/>
      <c r="E252" s="157"/>
      <c r="F252" s="12"/>
      <c r="G252" s="158"/>
    </row>
    <row r="253">
      <c r="A253" s="153"/>
      <c r="B253" s="229"/>
      <c r="C253" s="230"/>
      <c r="D253" s="231"/>
      <c r="E253" s="157"/>
      <c r="F253" s="12"/>
      <c r="G253" s="158"/>
    </row>
    <row r="254">
      <c r="A254" s="153"/>
      <c r="B254" s="229"/>
      <c r="C254" s="230"/>
      <c r="D254" s="231"/>
      <c r="E254" s="157"/>
      <c r="F254" s="12"/>
      <c r="G254" s="158"/>
    </row>
    <row r="255">
      <c r="A255" s="153"/>
      <c r="B255" s="229"/>
      <c r="C255" s="230"/>
      <c r="D255" s="231"/>
      <c r="E255" s="157"/>
      <c r="F255" s="12"/>
      <c r="G255" s="158"/>
    </row>
    <row r="256">
      <c r="A256" s="153"/>
      <c r="B256" s="229"/>
      <c r="C256" s="230"/>
      <c r="D256" s="231"/>
      <c r="E256" s="157"/>
      <c r="F256" s="12"/>
      <c r="G256" s="158"/>
    </row>
    <row r="257">
      <c r="A257" s="153"/>
      <c r="B257" s="229"/>
      <c r="C257" s="230"/>
      <c r="D257" s="231"/>
      <c r="E257" s="157"/>
      <c r="F257" s="12"/>
      <c r="G257" s="158"/>
    </row>
    <row r="258">
      <c r="A258" s="153"/>
      <c r="B258" s="229"/>
      <c r="C258" s="230"/>
      <c r="D258" s="231"/>
      <c r="E258" s="157"/>
      <c r="F258" s="12"/>
      <c r="G258" s="158"/>
    </row>
    <row r="259">
      <c r="A259" s="153"/>
      <c r="B259" s="229"/>
      <c r="C259" s="230"/>
      <c r="D259" s="231"/>
      <c r="E259" s="157"/>
      <c r="F259" s="12"/>
      <c r="G259" s="158"/>
    </row>
    <row r="260">
      <c r="A260" s="153"/>
      <c r="B260" s="229"/>
      <c r="C260" s="230"/>
      <c r="D260" s="231"/>
      <c r="E260" s="157"/>
      <c r="F260" s="12"/>
      <c r="G260" s="158"/>
    </row>
    <row r="261">
      <c r="A261" s="153"/>
      <c r="B261" s="229"/>
      <c r="C261" s="230"/>
      <c r="D261" s="231"/>
      <c r="E261" s="157"/>
      <c r="F261" s="12"/>
      <c r="G261" s="158"/>
    </row>
    <row r="262">
      <c r="A262" s="153"/>
      <c r="B262" s="229"/>
      <c r="C262" s="230"/>
      <c r="D262" s="231"/>
      <c r="E262" s="157"/>
      <c r="F262" s="12"/>
      <c r="G262" s="158"/>
    </row>
    <row r="263">
      <c r="A263" s="153"/>
      <c r="B263" s="229"/>
      <c r="C263" s="230"/>
      <c r="D263" s="231"/>
      <c r="E263" s="157"/>
      <c r="F263" s="12"/>
      <c r="G263" s="158"/>
    </row>
    <row r="264">
      <c r="A264" s="153"/>
      <c r="B264" s="229"/>
      <c r="C264" s="230"/>
      <c r="D264" s="231"/>
      <c r="E264" s="157"/>
      <c r="F264" s="12"/>
      <c r="G264" s="158"/>
    </row>
    <row r="265">
      <c r="A265" s="153"/>
      <c r="B265" s="229"/>
      <c r="C265" s="230"/>
      <c r="D265" s="231"/>
      <c r="E265" s="157"/>
      <c r="F265" s="12"/>
      <c r="G265" s="158"/>
    </row>
    <row r="266">
      <c r="A266" s="153"/>
      <c r="B266" s="229"/>
      <c r="C266" s="230"/>
      <c r="D266" s="231"/>
      <c r="E266" s="157"/>
      <c r="F266" s="12"/>
      <c r="G266" s="158"/>
    </row>
    <row r="267">
      <c r="A267" s="153"/>
      <c r="B267" s="229"/>
      <c r="C267" s="230"/>
      <c r="D267" s="231"/>
      <c r="E267" s="157"/>
      <c r="F267" s="12"/>
      <c r="G267" s="158"/>
    </row>
    <row r="268">
      <c r="A268" s="153"/>
      <c r="B268" s="229"/>
      <c r="C268" s="230"/>
      <c r="D268" s="231"/>
      <c r="E268" s="157"/>
      <c r="F268" s="12"/>
      <c r="G268" s="158"/>
    </row>
    <row r="269">
      <c r="A269" s="153"/>
      <c r="B269" s="229"/>
      <c r="C269" s="230"/>
      <c r="D269" s="231"/>
      <c r="E269" s="157"/>
      <c r="F269" s="12"/>
      <c r="G269" s="158"/>
    </row>
    <row r="270">
      <c r="A270" s="153"/>
      <c r="B270" s="229"/>
      <c r="C270" s="230"/>
      <c r="D270" s="231"/>
      <c r="E270" s="157"/>
      <c r="F270" s="12"/>
      <c r="G270" s="158"/>
    </row>
    <row r="271">
      <c r="A271" s="153"/>
      <c r="B271" s="229"/>
      <c r="C271" s="230"/>
      <c r="D271" s="231"/>
      <c r="E271" s="157"/>
      <c r="F271" s="12"/>
      <c r="G271" s="158"/>
    </row>
    <row r="272">
      <c r="A272" s="153"/>
      <c r="B272" s="229"/>
      <c r="C272" s="230"/>
      <c r="D272" s="231"/>
      <c r="E272" s="157"/>
      <c r="F272" s="12"/>
      <c r="G272" s="158"/>
    </row>
    <row r="273">
      <c r="A273" s="153"/>
      <c r="B273" s="229"/>
      <c r="C273" s="230"/>
      <c r="D273" s="231"/>
      <c r="E273" s="157"/>
      <c r="F273" s="12"/>
      <c r="G273" s="158"/>
    </row>
    <row r="274">
      <c r="A274" s="153"/>
      <c r="B274" s="229"/>
      <c r="C274" s="230"/>
      <c r="D274" s="231"/>
      <c r="E274" s="157"/>
      <c r="F274" s="12"/>
      <c r="G274" s="158"/>
    </row>
    <row r="275">
      <c r="A275" s="153"/>
      <c r="B275" s="229"/>
      <c r="C275" s="230"/>
      <c r="D275" s="231"/>
      <c r="E275" s="157"/>
      <c r="F275" s="12"/>
      <c r="G275" s="158"/>
    </row>
    <row r="276">
      <c r="A276" s="153"/>
      <c r="B276" s="229"/>
      <c r="C276" s="230"/>
      <c r="D276" s="231"/>
      <c r="E276" s="157"/>
      <c r="F276" s="12"/>
      <c r="G276" s="158"/>
    </row>
    <row r="277">
      <c r="A277" s="153"/>
      <c r="B277" s="229"/>
      <c r="C277" s="230"/>
      <c r="D277" s="231"/>
      <c r="E277" s="157"/>
      <c r="F277" s="12"/>
      <c r="G277" s="158"/>
    </row>
    <row r="278">
      <c r="A278" s="153"/>
      <c r="B278" s="229"/>
      <c r="C278" s="230"/>
      <c r="D278" s="231"/>
      <c r="E278" s="157"/>
      <c r="F278" s="12"/>
      <c r="G278" s="158"/>
    </row>
    <row r="279">
      <c r="A279" s="153"/>
      <c r="B279" s="229"/>
      <c r="C279" s="230"/>
      <c r="D279" s="231"/>
      <c r="E279" s="157"/>
      <c r="F279" s="12"/>
      <c r="G279" s="158"/>
    </row>
    <row r="280">
      <c r="A280" s="153"/>
      <c r="B280" s="229"/>
      <c r="C280" s="230"/>
      <c r="D280" s="231"/>
      <c r="E280" s="157"/>
      <c r="F280" s="12"/>
      <c r="G280" s="158"/>
    </row>
    <row r="281">
      <c r="A281" s="153"/>
      <c r="B281" s="229"/>
      <c r="C281" s="230"/>
      <c r="D281" s="231"/>
      <c r="E281" s="157"/>
      <c r="F281" s="12"/>
      <c r="G281" s="158"/>
    </row>
    <row r="282">
      <c r="A282" s="153"/>
      <c r="B282" s="229"/>
      <c r="C282" s="230"/>
      <c r="D282" s="231"/>
      <c r="E282" s="157"/>
      <c r="F282" s="12"/>
      <c r="G282" s="158"/>
    </row>
    <row r="283">
      <c r="A283" s="153"/>
      <c r="B283" s="229"/>
      <c r="C283" s="230"/>
      <c r="D283" s="231"/>
      <c r="E283" s="157"/>
      <c r="F283" s="12"/>
      <c r="G283" s="158"/>
    </row>
    <row r="284">
      <c r="A284" s="153"/>
      <c r="B284" s="229"/>
      <c r="C284" s="230"/>
      <c r="D284" s="231"/>
      <c r="E284" s="157"/>
      <c r="F284" s="12"/>
      <c r="G284" s="158"/>
    </row>
    <row r="285">
      <c r="A285" s="153"/>
      <c r="B285" s="229"/>
      <c r="C285" s="230"/>
      <c r="D285" s="231"/>
      <c r="E285" s="157"/>
      <c r="F285" s="12"/>
      <c r="G285" s="158"/>
    </row>
    <row r="286">
      <c r="A286" s="153"/>
      <c r="B286" s="229"/>
      <c r="C286" s="230"/>
      <c r="D286" s="231"/>
      <c r="E286" s="157"/>
      <c r="F286" s="12"/>
      <c r="G286" s="158"/>
    </row>
    <row r="287">
      <c r="A287" s="153"/>
      <c r="B287" s="229"/>
      <c r="C287" s="230"/>
      <c r="D287" s="231"/>
      <c r="E287" s="157"/>
      <c r="F287" s="12"/>
      <c r="G287" s="158"/>
    </row>
    <row r="288">
      <c r="A288" s="153"/>
      <c r="B288" s="229"/>
      <c r="C288" s="230"/>
      <c r="D288" s="231"/>
      <c r="E288" s="157"/>
      <c r="F288" s="12"/>
      <c r="G288" s="158"/>
    </row>
    <row r="289">
      <c r="A289" s="153"/>
      <c r="B289" s="229"/>
      <c r="C289" s="230"/>
      <c r="D289" s="231"/>
      <c r="E289" s="157"/>
      <c r="F289" s="12"/>
      <c r="G289" s="158"/>
    </row>
    <row r="290">
      <c r="A290" s="153"/>
      <c r="B290" s="229"/>
      <c r="C290" s="230"/>
      <c r="D290" s="231"/>
      <c r="E290" s="157"/>
      <c r="F290" s="12"/>
      <c r="G290" s="158"/>
    </row>
    <row r="291">
      <c r="A291" s="153"/>
      <c r="B291" s="229"/>
      <c r="C291" s="230"/>
      <c r="D291" s="231"/>
      <c r="E291" s="157"/>
      <c r="F291" s="12"/>
      <c r="G291" s="158"/>
    </row>
    <row r="292">
      <c r="A292" s="153"/>
      <c r="B292" s="229"/>
      <c r="C292" s="230"/>
      <c r="D292" s="231"/>
      <c r="E292" s="157"/>
      <c r="F292" s="12"/>
      <c r="G292" s="158"/>
    </row>
    <row r="293">
      <c r="A293" s="153"/>
      <c r="B293" s="229"/>
      <c r="C293" s="230"/>
      <c r="D293" s="231"/>
      <c r="E293" s="157"/>
      <c r="F293" s="12"/>
      <c r="G293" s="158"/>
    </row>
    <row r="294">
      <c r="A294" s="153"/>
      <c r="B294" s="229"/>
      <c r="C294" s="230"/>
      <c r="D294" s="231"/>
      <c r="E294" s="157"/>
      <c r="F294" s="12"/>
      <c r="G294" s="158"/>
    </row>
    <row r="295">
      <c r="A295" s="153"/>
      <c r="B295" s="229"/>
      <c r="C295" s="230"/>
      <c r="D295" s="231"/>
      <c r="E295" s="157"/>
      <c r="F295" s="12"/>
      <c r="G295" s="158"/>
    </row>
    <row r="296">
      <c r="A296" s="153"/>
      <c r="B296" s="229"/>
      <c r="C296" s="230"/>
      <c r="D296" s="231"/>
      <c r="E296" s="157"/>
      <c r="F296" s="12"/>
      <c r="G296" s="158"/>
    </row>
    <row r="297">
      <c r="A297" s="153"/>
      <c r="B297" s="229"/>
      <c r="C297" s="230"/>
      <c r="D297" s="231"/>
      <c r="E297" s="157"/>
      <c r="F297" s="12"/>
      <c r="G297" s="158"/>
    </row>
    <row r="298">
      <c r="A298" s="153"/>
      <c r="B298" s="229"/>
      <c r="C298" s="230"/>
      <c r="D298" s="231"/>
      <c r="E298" s="157"/>
      <c r="F298" s="12"/>
      <c r="G298" s="158"/>
    </row>
    <row r="299">
      <c r="A299" s="153"/>
      <c r="B299" s="229"/>
      <c r="C299" s="230"/>
      <c r="D299" s="231"/>
      <c r="E299" s="157"/>
      <c r="F299" s="12"/>
      <c r="G299" s="158"/>
    </row>
    <row r="300">
      <c r="A300" s="153"/>
      <c r="B300" s="229"/>
      <c r="C300" s="230"/>
      <c r="D300" s="231"/>
      <c r="E300" s="157"/>
      <c r="F300" s="12"/>
      <c r="G300" s="158"/>
    </row>
    <row r="301">
      <c r="A301" s="153"/>
      <c r="B301" s="229"/>
      <c r="C301" s="230"/>
      <c r="D301" s="231"/>
      <c r="E301" s="157"/>
      <c r="F301" s="12"/>
      <c r="G301" s="158"/>
    </row>
    <row r="302">
      <c r="A302" s="153"/>
      <c r="B302" s="229"/>
      <c r="C302" s="230"/>
      <c r="D302" s="231"/>
      <c r="E302" s="157"/>
      <c r="F302" s="12"/>
      <c r="G302" s="158"/>
    </row>
    <row r="303">
      <c r="A303" s="153"/>
      <c r="B303" s="229"/>
      <c r="C303" s="230"/>
      <c r="D303" s="231"/>
      <c r="E303" s="157"/>
      <c r="F303" s="12"/>
      <c r="G303" s="158"/>
    </row>
    <row r="304">
      <c r="A304" s="153"/>
      <c r="B304" s="229"/>
      <c r="C304" s="230"/>
      <c r="D304" s="231"/>
      <c r="E304" s="157"/>
      <c r="F304" s="12"/>
      <c r="G304" s="158"/>
    </row>
    <row r="305">
      <c r="A305" s="153"/>
      <c r="B305" s="229"/>
      <c r="C305" s="230"/>
      <c r="D305" s="231"/>
      <c r="E305" s="157"/>
      <c r="F305" s="12"/>
      <c r="G305" s="158"/>
    </row>
    <row r="306">
      <c r="A306" s="153"/>
      <c r="B306" s="229"/>
      <c r="C306" s="230"/>
      <c r="D306" s="231"/>
      <c r="E306" s="157"/>
      <c r="F306" s="12"/>
      <c r="G306" s="158"/>
    </row>
    <row r="307">
      <c r="A307" s="153"/>
      <c r="B307" s="229"/>
      <c r="C307" s="230"/>
      <c r="D307" s="231"/>
      <c r="E307" s="157"/>
      <c r="F307" s="12"/>
      <c r="G307" s="158"/>
    </row>
    <row r="308">
      <c r="A308" s="153"/>
      <c r="B308" s="229"/>
      <c r="C308" s="230"/>
      <c r="D308" s="231"/>
      <c r="E308" s="157"/>
      <c r="F308" s="12"/>
      <c r="G308" s="158"/>
    </row>
    <row r="309">
      <c r="A309" s="153"/>
      <c r="B309" s="229"/>
      <c r="C309" s="230"/>
      <c r="D309" s="231"/>
      <c r="E309" s="157"/>
      <c r="F309" s="12"/>
      <c r="G309" s="158"/>
    </row>
    <row r="310">
      <c r="A310" s="153"/>
      <c r="B310" s="229"/>
      <c r="C310" s="230"/>
      <c r="D310" s="231"/>
      <c r="E310" s="157"/>
      <c r="F310" s="12"/>
      <c r="G310" s="158"/>
    </row>
    <row r="311">
      <c r="A311" s="153"/>
      <c r="B311" s="229"/>
      <c r="C311" s="230"/>
      <c r="D311" s="231"/>
      <c r="E311" s="157"/>
      <c r="F311" s="12"/>
      <c r="G311" s="158"/>
    </row>
    <row r="312">
      <c r="A312" s="153"/>
      <c r="B312" s="229"/>
      <c r="C312" s="230"/>
      <c r="D312" s="231"/>
      <c r="E312" s="157"/>
      <c r="F312" s="12"/>
      <c r="G312" s="158"/>
    </row>
    <row r="313">
      <c r="A313" s="153"/>
      <c r="B313" s="229"/>
      <c r="C313" s="230"/>
      <c r="D313" s="231"/>
      <c r="E313" s="157"/>
      <c r="F313" s="12"/>
      <c r="G313" s="158"/>
    </row>
    <row r="314">
      <c r="A314" s="153"/>
      <c r="B314" s="229"/>
      <c r="C314" s="230"/>
      <c r="D314" s="231"/>
      <c r="E314" s="157"/>
      <c r="F314" s="12"/>
      <c r="G314" s="158"/>
    </row>
    <row r="315">
      <c r="A315" s="153"/>
      <c r="B315" s="229"/>
      <c r="C315" s="230"/>
      <c r="D315" s="231"/>
      <c r="E315" s="157"/>
      <c r="F315" s="12"/>
      <c r="G315" s="158"/>
    </row>
    <row r="316">
      <c r="A316" s="153"/>
      <c r="B316" s="229"/>
      <c r="C316" s="230"/>
      <c r="D316" s="231"/>
      <c r="E316" s="157"/>
      <c r="F316" s="12"/>
      <c r="G316" s="158"/>
    </row>
    <row r="317">
      <c r="A317" s="153"/>
      <c r="B317" s="229"/>
      <c r="C317" s="230"/>
      <c r="D317" s="231"/>
      <c r="E317" s="157"/>
      <c r="F317" s="12"/>
      <c r="G317" s="158"/>
    </row>
    <row r="318">
      <c r="A318" s="153"/>
      <c r="B318" s="229"/>
      <c r="C318" s="230"/>
      <c r="D318" s="231"/>
      <c r="E318" s="157"/>
      <c r="F318" s="12"/>
      <c r="G318" s="158"/>
    </row>
    <row r="319">
      <c r="A319" s="153"/>
      <c r="B319" s="229"/>
      <c r="C319" s="230"/>
      <c r="D319" s="231"/>
      <c r="E319" s="157"/>
      <c r="F319" s="12"/>
      <c r="G319" s="158"/>
    </row>
    <row r="320">
      <c r="A320" s="153"/>
      <c r="B320" s="229"/>
      <c r="C320" s="230"/>
      <c r="D320" s="231"/>
      <c r="E320" s="157"/>
      <c r="F320" s="12"/>
      <c r="G320" s="158"/>
    </row>
    <row r="321">
      <c r="A321" s="153"/>
      <c r="B321" s="229"/>
      <c r="C321" s="230"/>
      <c r="D321" s="231"/>
      <c r="E321" s="157"/>
      <c r="F321" s="12"/>
      <c r="G321" s="158"/>
    </row>
    <row r="322">
      <c r="A322" s="153"/>
      <c r="B322" s="229"/>
      <c r="C322" s="230"/>
      <c r="D322" s="231"/>
      <c r="E322" s="157"/>
      <c r="F322" s="12"/>
      <c r="G322" s="158"/>
    </row>
    <row r="323">
      <c r="A323" s="153"/>
      <c r="B323" s="229"/>
      <c r="C323" s="230"/>
      <c r="D323" s="231"/>
      <c r="E323" s="157"/>
      <c r="F323" s="12"/>
      <c r="G323" s="158"/>
    </row>
    <row r="324">
      <c r="A324" s="153"/>
      <c r="B324" s="229"/>
      <c r="C324" s="230"/>
      <c r="D324" s="231"/>
      <c r="E324" s="157"/>
      <c r="F324" s="12"/>
      <c r="G324" s="158"/>
    </row>
    <row r="325">
      <c r="A325" s="153"/>
      <c r="B325" s="229"/>
      <c r="C325" s="230"/>
      <c r="D325" s="231"/>
      <c r="E325" s="157"/>
      <c r="F325" s="12"/>
      <c r="G325" s="158"/>
    </row>
    <row r="326">
      <c r="A326" s="153"/>
      <c r="B326" s="229"/>
      <c r="C326" s="230"/>
      <c r="D326" s="231"/>
      <c r="E326" s="157"/>
      <c r="F326" s="12"/>
      <c r="G326" s="158"/>
    </row>
    <row r="327">
      <c r="A327" s="153"/>
      <c r="B327" s="229"/>
      <c r="C327" s="230"/>
      <c r="D327" s="231"/>
      <c r="E327" s="157"/>
      <c r="F327" s="12"/>
      <c r="G327" s="158"/>
    </row>
    <row r="328">
      <c r="A328" s="153"/>
      <c r="B328" s="229"/>
      <c r="C328" s="230"/>
      <c r="D328" s="231"/>
      <c r="E328" s="157"/>
      <c r="F328" s="12"/>
      <c r="G328" s="158"/>
    </row>
    <row r="329">
      <c r="A329" s="153"/>
      <c r="B329" s="229"/>
      <c r="C329" s="230"/>
      <c r="D329" s="231"/>
      <c r="E329" s="157"/>
      <c r="F329" s="12"/>
      <c r="G329" s="158"/>
    </row>
    <row r="330">
      <c r="A330" s="153"/>
      <c r="B330" s="229"/>
      <c r="C330" s="230"/>
      <c r="D330" s="231"/>
      <c r="E330" s="157"/>
      <c r="F330" s="12"/>
      <c r="G330" s="158"/>
    </row>
    <row r="331">
      <c r="A331" s="153"/>
      <c r="B331" s="229"/>
      <c r="C331" s="230"/>
      <c r="D331" s="231"/>
      <c r="E331" s="157"/>
      <c r="F331" s="12"/>
      <c r="G331" s="158"/>
    </row>
    <row r="332">
      <c r="A332" s="153"/>
      <c r="B332" s="229"/>
      <c r="C332" s="230"/>
      <c r="D332" s="231"/>
      <c r="E332" s="157"/>
      <c r="F332" s="12"/>
      <c r="G332" s="158"/>
    </row>
    <row r="333">
      <c r="A333" s="153"/>
      <c r="B333" s="229"/>
      <c r="C333" s="230"/>
      <c r="D333" s="231"/>
      <c r="E333" s="157"/>
      <c r="F333" s="12"/>
      <c r="G333" s="158"/>
    </row>
    <row r="334">
      <c r="A334" s="153"/>
      <c r="B334" s="229"/>
      <c r="C334" s="230"/>
      <c r="D334" s="231"/>
      <c r="E334" s="157"/>
      <c r="F334" s="12"/>
      <c r="G334" s="158"/>
    </row>
    <row r="335">
      <c r="A335" s="153"/>
      <c r="B335" s="229"/>
      <c r="C335" s="230"/>
      <c r="D335" s="231"/>
      <c r="E335" s="157"/>
      <c r="F335" s="12"/>
      <c r="G335" s="158"/>
    </row>
    <row r="336">
      <c r="A336" s="153"/>
      <c r="B336" s="229"/>
      <c r="C336" s="230"/>
      <c r="D336" s="231"/>
      <c r="E336" s="157"/>
      <c r="F336" s="12"/>
      <c r="G336" s="158"/>
    </row>
    <row r="337">
      <c r="A337" s="153"/>
      <c r="B337" s="229"/>
      <c r="C337" s="230"/>
      <c r="D337" s="231"/>
      <c r="E337" s="157"/>
      <c r="F337" s="12"/>
      <c r="G337" s="158"/>
    </row>
    <row r="338">
      <c r="A338" s="153"/>
      <c r="B338" s="229"/>
      <c r="C338" s="230"/>
      <c r="D338" s="231"/>
      <c r="E338" s="157"/>
      <c r="F338" s="12"/>
      <c r="G338" s="158"/>
    </row>
    <row r="339">
      <c r="A339" s="153"/>
      <c r="B339" s="229"/>
      <c r="C339" s="230"/>
      <c r="D339" s="231"/>
      <c r="E339" s="157"/>
      <c r="F339" s="12"/>
      <c r="G339" s="158"/>
    </row>
    <row r="340">
      <c r="A340" s="153"/>
      <c r="B340" s="229"/>
      <c r="C340" s="230"/>
      <c r="D340" s="231"/>
      <c r="E340" s="157"/>
      <c r="F340" s="12"/>
      <c r="G340" s="158"/>
    </row>
    <row r="341">
      <c r="A341" s="153"/>
      <c r="B341" s="229"/>
      <c r="C341" s="230"/>
      <c r="D341" s="231"/>
      <c r="E341" s="157"/>
      <c r="F341" s="12"/>
      <c r="G341" s="158"/>
    </row>
    <row r="342">
      <c r="A342" s="153"/>
      <c r="B342" s="229"/>
      <c r="C342" s="230"/>
      <c r="D342" s="231"/>
      <c r="E342" s="157"/>
      <c r="F342" s="12"/>
      <c r="G342" s="158"/>
    </row>
    <row r="343">
      <c r="A343" s="153"/>
      <c r="B343" s="229"/>
      <c r="C343" s="230"/>
      <c r="D343" s="231"/>
      <c r="E343" s="157"/>
      <c r="F343" s="12"/>
      <c r="G343" s="158"/>
    </row>
    <row r="344">
      <c r="A344" s="153"/>
      <c r="B344" s="229"/>
      <c r="C344" s="230"/>
      <c r="D344" s="231"/>
      <c r="E344" s="157"/>
      <c r="F344" s="12"/>
      <c r="G344" s="158"/>
    </row>
    <row r="345">
      <c r="A345" s="153"/>
      <c r="B345" s="229"/>
      <c r="C345" s="230"/>
      <c r="D345" s="231"/>
      <c r="E345" s="157"/>
      <c r="F345" s="12"/>
      <c r="G345" s="158"/>
    </row>
    <row r="346">
      <c r="A346" s="153"/>
      <c r="B346" s="229"/>
      <c r="C346" s="230"/>
      <c r="D346" s="231"/>
      <c r="E346" s="157"/>
      <c r="F346" s="12"/>
      <c r="G346" s="158"/>
    </row>
    <row r="347">
      <c r="A347" s="153"/>
      <c r="B347" s="229"/>
      <c r="C347" s="230"/>
      <c r="D347" s="231"/>
      <c r="E347" s="157"/>
      <c r="F347" s="12"/>
      <c r="G347" s="158"/>
    </row>
    <row r="348">
      <c r="A348" s="153"/>
      <c r="B348" s="229"/>
      <c r="C348" s="230"/>
      <c r="D348" s="231"/>
      <c r="E348" s="157"/>
      <c r="F348" s="12"/>
      <c r="G348" s="158"/>
    </row>
    <row r="349">
      <c r="A349" s="153"/>
      <c r="B349" s="229"/>
      <c r="C349" s="230"/>
      <c r="D349" s="231"/>
      <c r="E349" s="157"/>
      <c r="F349" s="12"/>
      <c r="G349" s="158"/>
    </row>
    <row r="350">
      <c r="A350" s="153"/>
      <c r="B350" s="229"/>
      <c r="C350" s="230"/>
      <c r="D350" s="231"/>
      <c r="E350" s="157"/>
      <c r="F350" s="12"/>
      <c r="G350" s="158"/>
    </row>
    <row r="351">
      <c r="A351" s="153"/>
      <c r="B351" s="229"/>
      <c r="C351" s="230"/>
      <c r="D351" s="231"/>
      <c r="E351" s="157"/>
      <c r="F351" s="12"/>
      <c r="G351" s="158"/>
    </row>
    <row r="352">
      <c r="A352" s="153"/>
      <c r="B352" s="229"/>
      <c r="C352" s="230"/>
      <c r="D352" s="231"/>
      <c r="E352" s="157"/>
      <c r="F352" s="12"/>
      <c r="G352" s="158"/>
    </row>
    <row r="353">
      <c r="A353" s="153"/>
      <c r="B353" s="229"/>
      <c r="C353" s="230"/>
      <c r="D353" s="231"/>
      <c r="E353" s="157"/>
      <c r="F353" s="12"/>
      <c r="G353" s="158"/>
    </row>
    <row r="354">
      <c r="A354" s="153"/>
      <c r="B354" s="229"/>
      <c r="C354" s="230"/>
      <c r="D354" s="231"/>
      <c r="E354" s="157"/>
      <c r="F354" s="12"/>
      <c r="G354" s="158"/>
    </row>
    <row r="355">
      <c r="A355" s="153"/>
      <c r="B355" s="229"/>
      <c r="C355" s="230"/>
      <c r="D355" s="231"/>
      <c r="E355" s="157"/>
      <c r="F355" s="12"/>
      <c r="G355" s="158"/>
    </row>
    <row r="356">
      <c r="A356" s="153"/>
      <c r="B356" s="229"/>
      <c r="C356" s="230"/>
      <c r="D356" s="231"/>
      <c r="E356" s="157"/>
      <c r="F356" s="12"/>
      <c r="G356" s="158"/>
    </row>
    <row r="357">
      <c r="A357" s="153"/>
      <c r="B357" s="229"/>
      <c r="C357" s="230"/>
      <c r="D357" s="231"/>
      <c r="E357" s="157"/>
      <c r="F357" s="12"/>
      <c r="G357" s="158"/>
    </row>
    <row r="358">
      <c r="A358" s="153"/>
      <c r="B358" s="229"/>
      <c r="C358" s="230"/>
      <c r="D358" s="231"/>
      <c r="E358" s="157"/>
      <c r="F358" s="12"/>
      <c r="G358" s="158"/>
    </row>
    <row r="359">
      <c r="A359" s="153"/>
      <c r="B359" s="229"/>
      <c r="C359" s="230"/>
      <c r="D359" s="231"/>
      <c r="E359" s="157"/>
      <c r="F359" s="12"/>
      <c r="G359" s="158"/>
    </row>
    <row r="360">
      <c r="A360" s="153"/>
      <c r="B360" s="229"/>
      <c r="C360" s="230"/>
      <c r="D360" s="231"/>
      <c r="E360" s="157"/>
      <c r="F360" s="12"/>
      <c r="G360" s="158"/>
    </row>
    <row r="361">
      <c r="A361" s="153"/>
      <c r="B361" s="229"/>
      <c r="C361" s="230"/>
      <c r="D361" s="231"/>
      <c r="E361" s="157"/>
      <c r="F361" s="12"/>
      <c r="G361" s="158"/>
    </row>
    <row r="362">
      <c r="A362" s="153"/>
      <c r="B362" s="229"/>
      <c r="C362" s="230"/>
      <c r="D362" s="231"/>
      <c r="E362" s="157"/>
      <c r="F362" s="12"/>
      <c r="G362" s="158"/>
    </row>
    <row r="363">
      <c r="A363" s="153"/>
      <c r="B363" s="229"/>
      <c r="C363" s="230"/>
      <c r="D363" s="231"/>
      <c r="E363" s="157"/>
      <c r="F363" s="12"/>
      <c r="G363" s="158"/>
    </row>
    <row r="364">
      <c r="A364" s="153"/>
      <c r="B364" s="229"/>
      <c r="C364" s="230"/>
      <c r="D364" s="231"/>
      <c r="E364" s="157"/>
      <c r="F364" s="12"/>
      <c r="G364" s="158"/>
    </row>
    <row r="365">
      <c r="A365" s="153"/>
      <c r="B365" s="229"/>
      <c r="C365" s="230"/>
      <c r="D365" s="231"/>
      <c r="E365" s="157"/>
      <c r="F365" s="12"/>
      <c r="G365" s="158"/>
    </row>
    <row r="366">
      <c r="A366" s="153"/>
      <c r="B366" s="229"/>
      <c r="C366" s="230"/>
      <c r="D366" s="231"/>
      <c r="E366" s="157"/>
      <c r="F366" s="12"/>
      <c r="G366" s="158"/>
    </row>
    <row r="367">
      <c r="A367" s="153"/>
      <c r="B367" s="229"/>
      <c r="C367" s="230"/>
      <c r="D367" s="231"/>
      <c r="E367" s="157"/>
      <c r="F367" s="12"/>
      <c r="G367" s="158"/>
    </row>
    <row r="368">
      <c r="A368" s="153"/>
      <c r="B368" s="229"/>
      <c r="C368" s="230"/>
      <c r="D368" s="231"/>
      <c r="E368" s="157"/>
      <c r="F368" s="12"/>
      <c r="G368" s="158"/>
    </row>
    <row r="369">
      <c r="A369" s="153"/>
      <c r="B369" s="229"/>
      <c r="C369" s="230"/>
      <c r="D369" s="231"/>
      <c r="E369" s="157"/>
      <c r="F369" s="12"/>
      <c r="G369" s="158"/>
    </row>
    <row r="370">
      <c r="A370" s="153"/>
      <c r="B370" s="229"/>
      <c r="C370" s="230"/>
      <c r="D370" s="231"/>
      <c r="E370" s="157"/>
      <c r="F370" s="12"/>
      <c r="G370" s="158"/>
    </row>
    <row r="371">
      <c r="A371" s="153"/>
      <c r="B371" s="229"/>
      <c r="C371" s="230"/>
      <c r="D371" s="231"/>
      <c r="E371" s="157"/>
      <c r="F371" s="12"/>
      <c r="G371" s="158"/>
    </row>
    <row r="372">
      <c r="A372" s="153"/>
      <c r="B372" s="229"/>
      <c r="C372" s="230"/>
      <c r="D372" s="231"/>
      <c r="E372" s="157"/>
      <c r="F372" s="12"/>
      <c r="G372" s="158"/>
    </row>
    <row r="373">
      <c r="A373" s="153"/>
      <c r="B373" s="229"/>
      <c r="C373" s="230"/>
      <c r="D373" s="231"/>
      <c r="E373" s="157"/>
      <c r="F373" s="12"/>
      <c r="G373" s="158"/>
    </row>
    <row r="374">
      <c r="A374" s="153"/>
      <c r="B374" s="229"/>
      <c r="C374" s="230"/>
      <c r="D374" s="231"/>
      <c r="E374" s="157"/>
      <c r="F374" s="12"/>
      <c r="G374" s="158"/>
    </row>
    <row r="375">
      <c r="A375" s="153"/>
      <c r="B375" s="229"/>
      <c r="C375" s="230"/>
      <c r="D375" s="231"/>
      <c r="E375" s="157"/>
      <c r="F375" s="12"/>
      <c r="G375" s="158"/>
    </row>
    <row r="376">
      <c r="A376" s="153"/>
      <c r="B376" s="229"/>
      <c r="C376" s="230"/>
      <c r="D376" s="231"/>
      <c r="E376" s="157"/>
      <c r="F376" s="12"/>
      <c r="G376" s="158"/>
    </row>
    <row r="377">
      <c r="A377" s="153"/>
      <c r="B377" s="229"/>
      <c r="C377" s="230"/>
      <c r="D377" s="231"/>
      <c r="E377" s="157"/>
      <c r="F377" s="12"/>
      <c r="G377" s="158"/>
    </row>
    <row r="378">
      <c r="A378" s="153"/>
      <c r="B378" s="229"/>
      <c r="C378" s="230"/>
      <c r="D378" s="231"/>
      <c r="E378" s="157"/>
      <c r="F378" s="12"/>
      <c r="G378" s="158"/>
    </row>
    <row r="379">
      <c r="A379" s="153"/>
      <c r="B379" s="229"/>
      <c r="C379" s="230"/>
      <c r="D379" s="231"/>
      <c r="E379" s="157"/>
      <c r="F379" s="12"/>
      <c r="G379" s="158"/>
    </row>
    <row r="380">
      <c r="A380" s="153"/>
      <c r="B380" s="229"/>
      <c r="C380" s="230"/>
      <c r="D380" s="231"/>
      <c r="E380" s="157"/>
      <c r="F380" s="12"/>
      <c r="G380" s="158"/>
    </row>
    <row r="381">
      <c r="A381" s="153"/>
      <c r="B381" s="229"/>
      <c r="C381" s="230"/>
      <c r="D381" s="231"/>
      <c r="E381" s="157"/>
      <c r="F381" s="12"/>
      <c r="G381" s="158"/>
    </row>
    <row r="382">
      <c r="A382" s="153"/>
      <c r="B382" s="229"/>
      <c r="C382" s="230"/>
      <c r="D382" s="231"/>
      <c r="E382" s="157"/>
      <c r="F382" s="12"/>
      <c r="G382" s="158"/>
    </row>
    <row r="383">
      <c r="A383" s="153"/>
      <c r="B383" s="229"/>
      <c r="C383" s="230"/>
      <c r="D383" s="231"/>
      <c r="E383" s="157"/>
      <c r="F383" s="12"/>
      <c r="G383" s="158"/>
    </row>
    <row r="384">
      <c r="A384" s="153"/>
      <c r="B384" s="229"/>
      <c r="C384" s="230"/>
      <c r="D384" s="231"/>
      <c r="E384" s="157"/>
      <c r="F384" s="12"/>
      <c r="G384" s="158"/>
    </row>
    <row r="385">
      <c r="A385" s="153"/>
      <c r="B385" s="229"/>
      <c r="C385" s="230"/>
      <c r="D385" s="231"/>
      <c r="E385" s="157"/>
      <c r="F385" s="12"/>
      <c r="G385" s="158"/>
    </row>
    <row r="386">
      <c r="A386" s="153"/>
      <c r="B386" s="229"/>
      <c r="C386" s="230"/>
      <c r="D386" s="231"/>
      <c r="E386" s="157"/>
      <c r="F386" s="12"/>
      <c r="G386" s="158"/>
    </row>
    <row r="387">
      <c r="A387" s="153"/>
      <c r="B387" s="229"/>
      <c r="C387" s="230"/>
      <c r="D387" s="231"/>
      <c r="E387" s="157"/>
      <c r="F387" s="12"/>
      <c r="G387" s="158"/>
    </row>
    <row r="388">
      <c r="A388" s="153"/>
      <c r="B388" s="229"/>
      <c r="C388" s="230"/>
      <c r="D388" s="231"/>
      <c r="E388" s="157"/>
      <c r="F388" s="12"/>
      <c r="G388" s="158"/>
    </row>
    <row r="389">
      <c r="A389" s="153"/>
      <c r="B389" s="229"/>
      <c r="C389" s="230"/>
      <c r="D389" s="231"/>
      <c r="E389" s="157"/>
      <c r="F389" s="12"/>
      <c r="G389" s="158"/>
    </row>
    <row r="390">
      <c r="A390" s="153"/>
      <c r="B390" s="229"/>
      <c r="C390" s="230"/>
      <c r="D390" s="231"/>
      <c r="E390" s="157"/>
      <c r="F390" s="12"/>
      <c r="G390" s="158"/>
    </row>
    <row r="391">
      <c r="A391" s="153"/>
      <c r="B391" s="229"/>
      <c r="C391" s="230"/>
      <c r="D391" s="231"/>
      <c r="E391" s="157"/>
      <c r="F391" s="12"/>
      <c r="G391" s="158"/>
    </row>
    <row r="392">
      <c r="A392" s="153"/>
      <c r="B392" s="229"/>
      <c r="C392" s="230"/>
      <c r="D392" s="231"/>
      <c r="E392" s="157"/>
      <c r="F392" s="12"/>
      <c r="G392" s="158"/>
    </row>
    <row r="393">
      <c r="A393" s="153"/>
      <c r="B393" s="229"/>
      <c r="C393" s="230"/>
      <c r="D393" s="231"/>
      <c r="E393" s="157"/>
      <c r="F393" s="12"/>
      <c r="G393" s="158"/>
    </row>
    <row r="394">
      <c r="A394" s="153"/>
      <c r="B394" s="229"/>
      <c r="C394" s="230"/>
      <c r="D394" s="231"/>
      <c r="E394" s="157"/>
      <c r="F394" s="12"/>
      <c r="G394" s="158"/>
    </row>
    <row r="395">
      <c r="A395" s="153"/>
      <c r="B395" s="229"/>
      <c r="C395" s="230"/>
      <c r="D395" s="231"/>
      <c r="E395" s="157"/>
      <c r="F395" s="12"/>
      <c r="G395" s="158"/>
    </row>
    <row r="396">
      <c r="A396" s="153"/>
      <c r="B396" s="229"/>
      <c r="C396" s="230"/>
      <c r="D396" s="231"/>
      <c r="E396" s="157"/>
      <c r="F396" s="12"/>
      <c r="G396" s="158"/>
    </row>
    <row r="397">
      <c r="A397" s="153"/>
      <c r="B397" s="229"/>
      <c r="C397" s="230"/>
      <c r="D397" s="231"/>
      <c r="E397" s="157"/>
      <c r="F397" s="12"/>
      <c r="G397" s="158"/>
    </row>
    <row r="398">
      <c r="A398" s="153"/>
      <c r="B398" s="229"/>
      <c r="C398" s="230"/>
      <c r="D398" s="231"/>
      <c r="E398" s="157"/>
      <c r="F398" s="12"/>
      <c r="G398" s="158"/>
    </row>
    <row r="399">
      <c r="A399" s="153"/>
      <c r="B399" s="229"/>
      <c r="C399" s="230"/>
      <c r="D399" s="231"/>
      <c r="E399" s="157"/>
      <c r="F399" s="12"/>
      <c r="G399" s="158"/>
    </row>
    <row r="400">
      <c r="A400" s="153"/>
      <c r="B400" s="229"/>
      <c r="C400" s="230"/>
      <c r="D400" s="231"/>
      <c r="E400" s="157"/>
      <c r="F400" s="12"/>
      <c r="G400" s="158"/>
    </row>
    <row r="401">
      <c r="A401" s="153"/>
      <c r="B401" s="229"/>
      <c r="C401" s="230"/>
      <c r="D401" s="231"/>
      <c r="E401" s="157"/>
      <c r="F401" s="12"/>
      <c r="G401" s="158"/>
    </row>
    <row r="402">
      <c r="A402" s="153"/>
      <c r="B402" s="229"/>
      <c r="C402" s="230"/>
      <c r="D402" s="231"/>
      <c r="E402" s="157"/>
      <c r="F402" s="12"/>
      <c r="G402" s="158"/>
    </row>
    <row r="403">
      <c r="A403" s="153"/>
      <c r="B403" s="229"/>
      <c r="C403" s="230"/>
      <c r="D403" s="231"/>
      <c r="E403" s="157"/>
      <c r="F403" s="12"/>
      <c r="G403" s="158"/>
    </row>
    <row r="404">
      <c r="A404" s="153"/>
      <c r="B404" s="229"/>
      <c r="C404" s="230"/>
      <c r="D404" s="231"/>
      <c r="E404" s="157"/>
      <c r="F404" s="12"/>
      <c r="G404" s="158"/>
    </row>
    <row r="405">
      <c r="A405" s="153"/>
      <c r="B405" s="229"/>
      <c r="C405" s="230"/>
      <c r="D405" s="231"/>
      <c r="E405" s="157"/>
      <c r="F405" s="12"/>
      <c r="G405" s="158"/>
    </row>
    <row r="406">
      <c r="A406" s="153"/>
      <c r="B406" s="229"/>
      <c r="C406" s="230"/>
      <c r="D406" s="231"/>
      <c r="E406" s="157"/>
      <c r="F406" s="12"/>
      <c r="G406" s="158"/>
    </row>
    <row r="407">
      <c r="A407" s="153"/>
      <c r="B407" s="229"/>
      <c r="C407" s="230"/>
      <c r="D407" s="231"/>
      <c r="E407" s="157"/>
      <c r="F407" s="12"/>
      <c r="G407" s="158"/>
    </row>
    <row r="408">
      <c r="A408" s="153"/>
      <c r="B408" s="229"/>
      <c r="C408" s="230"/>
      <c r="D408" s="231"/>
      <c r="E408" s="157"/>
      <c r="F408" s="12"/>
      <c r="G408" s="158"/>
    </row>
    <row r="409">
      <c r="A409" s="153"/>
      <c r="B409" s="229"/>
      <c r="C409" s="230"/>
      <c r="D409" s="231"/>
      <c r="E409" s="157"/>
      <c r="F409" s="12"/>
      <c r="G409" s="158"/>
    </row>
    <row r="410">
      <c r="A410" s="153"/>
      <c r="B410" s="229"/>
      <c r="C410" s="230"/>
      <c r="D410" s="231"/>
      <c r="E410" s="157"/>
      <c r="F410" s="12"/>
      <c r="G410" s="158"/>
    </row>
    <row r="411">
      <c r="A411" s="153"/>
      <c r="B411" s="229"/>
      <c r="C411" s="230"/>
      <c r="D411" s="231"/>
      <c r="E411" s="157"/>
      <c r="F411" s="12"/>
      <c r="G411" s="158"/>
    </row>
    <row r="412">
      <c r="A412" s="153"/>
      <c r="B412" s="229"/>
      <c r="C412" s="230"/>
      <c r="D412" s="231"/>
      <c r="E412" s="157"/>
      <c r="F412" s="12"/>
      <c r="G412" s="158"/>
    </row>
    <row r="413">
      <c r="A413" s="153"/>
      <c r="B413" s="229"/>
      <c r="C413" s="230"/>
      <c r="D413" s="231"/>
      <c r="E413" s="157"/>
      <c r="F413" s="12"/>
      <c r="G413" s="158"/>
    </row>
    <row r="414">
      <c r="A414" s="153"/>
      <c r="B414" s="229"/>
      <c r="C414" s="230"/>
      <c r="D414" s="231"/>
      <c r="E414" s="157"/>
      <c r="F414" s="12"/>
      <c r="G414" s="158"/>
    </row>
    <row r="415">
      <c r="A415" s="153"/>
      <c r="B415" s="229"/>
      <c r="C415" s="230"/>
      <c r="D415" s="231"/>
      <c r="E415" s="157"/>
      <c r="F415" s="12"/>
      <c r="G415" s="158"/>
    </row>
    <row r="416">
      <c r="A416" s="153"/>
      <c r="B416" s="229"/>
      <c r="C416" s="230"/>
      <c r="D416" s="231"/>
      <c r="E416" s="157"/>
      <c r="F416" s="12"/>
      <c r="G416" s="158"/>
    </row>
    <row r="417">
      <c r="A417" s="153"/>
      <c r="B417" s="229"/>
      <c r="C417" s="230"/>
      <c r="D417" s="231"/>
      <c r="E417" s="157"/>
      <c r="F417" s="12"/>
      <c r="G417" s="158"/>
    </row>
    <row r="418">
      <c r="A418" s="153"/>
      <c r="B418" s="229"/>
      <c r="C418" s="230"/>
      <c r="D418" s="231"/>
      <c r="E418" s="157"/>
      <c r="F418" s="12"/>
      <c r="G418" s="158"/>
    </row>
    <row r="419">
      <c r="A419" s="153"/>
      <c r="B419" s="229"/>
      <c r="C419" s="230"/>
      <c r="D419" s="231"/>
      <c r="E419" s="157"/>
      <c r="F419" s="12"/>
      <c r="G419" s="158"/>
    </row>
    <row r="420">
      <c r="A420" s="153"/>
      <c r="B420" s="229"/>
      <c r="C420" s="230"/>
      <c r="D420" s="231"/>
      <c r="E420" s="157"/>
      <c r="F420" s="12"/>
      <c r="G420" s="158"/>
    </row>
    <row r="421">
      <c r="A421" s="153"/>
      <c r="B421" s="229"/>
      <c r="C421" s="230"/>
      <c r="D421" s="231"/>
      <c r="E421" s="157"/>
      <c r="F421" s="12"/>
      <c r="G421" s="158"/>
    </row>
    <row r="422">
      <c r="A422" s="153"/>
      <c r="B422" s="229"/>
      <c r="C422" s="230"/>
      <c r="D422" s="231"/>
      <c r="E422" s="157"/>
      <c r="F422" s="12"/>
      <c r="G422" s="158"/>
    </row>
    <row r="423">
      <c r="A423" s="153"/>
      <c r="B423" s="229"/>
      <c r="C423" s="230"/>
      <c r="D423" s="231"/>
      <c r="E423" s="157"/>
      <c r="F423" s="12"/>
      <c r="G423" s="158"/>
    </row>
    <row r="424">
      <c r="A424" s="153"/>
      <c r="B424" s="229"/>
      <c r="C424" s="230"/>
      <c r="D424" s="231"/>
      <c r="E424" s="157"/>
      <c r="F424" s="12"/>
      <c r="G424" s="158"/>
    </row>
    <row r="425">
      <c r="A425" s="153"/>
      <c r="B425" s="229"/>
      <c r="C425" s="230"/>
      <c r="D425" s="231"/>
      <c r="E425" s="157"/>
      <c r="F425" s="12"/>
      <c r="G425" s="158"/>
    </row>
    <row r="426">
      <c r="A426" s="153"/>
      <c r="B426" s="229"/>
      <c r="C426" s="230"/>
      <c r="D426" s="231"/>
      <c r="E426" s="157"/>
      <c r="F426" s="12"/>
      <c r="G426" s="158"/>
    </row>
    <row r="427">
      <c r="A427" s="153"/>
      <c r="B427" s="229"/>
      <c r="C427" s="230"/>
      <c r="D427" s="231"/>
      <c r="E427" s="157"/>
      <c r="F427" s="12"/>
      <c r="G427" s="158"/>
    </row>
    <row r="428">
      <c r="A428" s="153"/>
      <c r="B428" s="229"/>
      <c r="C428" s="230"/>
      <c r="D428" s="231"/>
      <c r="E428" s="157"/>
      <c r="F428" s="12"/>
      <c r="G428" s="158"/>
    </row>
    <row r="429">
      <c r="A429" s="153"/>
      <c r="B429" s="229"/>
      <c r="C429" s="230"/>
      <c r="D429" s="231"/>
      <c r="E429" s="157"/>
      <c r="F429" s="12"/>
      <c r="G429" s="158"/>
    </row>
    <row r="430">
      <c r="A430" s="153"/>
      <c r="B430" s="229"/>
      <c r="C430" s="230"/>
      <c r="D430" s="231"/>
      <c r="E430" s="157"/>
      <c r="F430" s="12"/>
      <c r="G430" s="158"/>
    </row>
    <row r="431">
      <c r="A431" s="153"/>
      <c r="B431" s="229"/>
      <c r="C431" s="230"/>
      <c r="D431" s="231"/>
      <c r="E431" s="157"/>
      <c r="F431" s="12"/>
      <c r="G431" s="158"/>
    </row>
    <row r="432">
      <c r="A432" s="153"/>
      <c r="B432" s="229"/>
      <c r="C432" s="230"/>
      <c r="D432" s="231"/>
      <c r="E432" s="157"/>
      <c r="F432" s="12"/>
      <c r="G432" s="158"/>
    </row>
    <row r="433">
      <c r="A433" s="153"/>
      <c r="B433" s="229"/>
      <c r="C433" s="230"/>
      <c r="D433" s="231"/>
      <c r="E433" s="157"/>
      <c r="F433" s="12"/>
      <c r="G433" s="158"/>
    </row>
    <row r="434">
      <c r="A434" s="153"/>
      <c r="B434" s="229"/>
      <c r="C434" s="230"/>
      <c r="D434" s="231"/>
      <c r="E434" s="157"/>
      <c r="F434" s="12"/>
      <c r="G434" s="158"/>
    </row>
    <row r="435">
      <c r="A435" s="153"/>
      <c r="B435" s="229"/>
      <c r="C435" s="230"/>
      <c r="D435" s="231"/>
      <c r="E435" s="157"/>
      <c r="F435" s="12"/>
      <c r="G435" s="158"/>
    </row>
    <row r="436">
      <c r="A436" s="153"/>
      <c r="B436" s="229"/>
      <c r="C436" s="230"/>
      <c r="D436" s="231"/>
      <c r="E436" s="157"/>
      <c r="F436" s="12"/>
      <c r="G436" s="158"/>
    </row>
    <row r="437">
      <c r="A437" s="153"/>
      <c r="B437" s="229"/>
      <c r="C437" s="230"/>
      <c r="D437" s="231"/>
      <c r="E437" s="157"/>
      <c r="F437" s="12"/>
      <c r="G437" s="158"/>
    </row>
    <row r="438">
      <c r="A438" s="153"/>
      <c r="B438" s="229"/>
      <c r="C438" s="230"/>
      <c r="D438" s="231"/>
      <c r="E438" s="157"/>
      <c r="F438" s="12"/>
      <c r="G438" s="158"/>
    </row>
    <row r="439">
      <c r="A439" s="153"/>
      <c r="B439" s="229"/>
      <c r="C439" s="230"/>
      <c r="D439" s="231"/>
      <c r="E439" s="157"/>
      <c r="F439" s="12"/>
      <c r="G439" s="158"/>
    </row>
    <row r="440">
      <c r="A440" s="153"/>
      <c r="B440" s="229"/>
      <c r="C440" s="230"/>
      <c r="D440" s="231"/>
      <c r="E440" s="157"/>
      <c r="F440" s="12"/>
      <c r="G440" s="158"/>
    </row>
    <row r="441">
      <c r="A441" s="153"/>
      <c r="B441" s="229"/>
      <c r="C441" s="230"/>
      <c r="D441" s="231"/>
      <c r="E441" s="157"/>
      <c r="F441" s="12"/>
      <c r="G441" s="158"/>
    </row>
    <row r="442">
      <c r="A442" s="153"/>
      <c r="B442" s="229"/>
      <c r="C442" s="230"/>
      <c r="D442" s="231"/>
      <c r="E442" s="157"/>
      <c r="F442" s="12"/>
      <c r="G442" s="158"/>
    </row>
    <row r="443">
      <c r="A443" s="153"/>
      <c r="B443" s="229"/>
      <c r="C443" s="230"/>
      <c r="D443" s="231"/>
      <c r="E443" s="157"/>
      <c r="F443" s="12"/>
      <c r="G443" s="158"/>
    </row>
    <row r="444">
      <c r="A444" s="153"/>
      <c r="B444" s="229"/>
      <c r="C444" s="230"/>
      <c r="D444" s="231"/>
      <c r="E444" s="157"/>
      <c r="F444" s="12"/>
      <c r="G444" s="158"/>
    </row>
    <row r="445">
      <c r="A445" s="153"/>
      <c r="B445" s="229"/>
      <c r="C445" s="230"/>
      <c r="D445" s="231"/>
      <c r="E445" s="157"/>
      <c r="F445" s="12"/>
      <c r="G445" s="158"/>
    </row>
    <row r="446">
      <c r="A446" s="153"/>
      <c r="B446" s="229"/>
      <c r="C446" s="230"/>
      <c r="D446" s="231"/>
      <c r="E446" s="157"/>
      <c r="F446" s="12"/>
      <c r="G446" s="158"/>
    </row>
    <row r="447">
      <c r="A447" s="153"/>
      <c r="B447" s="229"/>
      <c r="C447" s="230"/>
      <c r="D447" s="231"/>
      <c r="E447" s="157"/>
      <c r="F447" s="12"/>
      <c r="G447" s="158"/>
    </row>
    <row r="448">
      <c r="A448" s="153"/>
      <c r="B448" s="229"/>
      <c r="C448" s="230"/>
      <c r="D448" s="231"/>
      <c r="E448" s="157"/>
      <c r="F448" s="12"/>
      <c r="G448" s="158"/>
    </row>
    <row r="449">
      <c r="A449" s="153"/>
      <c r="B449" s="229"/>
      <c r="C449" s="230"/>
      <c r="D449" s="231"/>
      <c r="E449" s="157"/>
      <c r="F449" s="12"/>
      <c r="G449" s="158"/>
    </row>
    <row r="450">
      <c r="A450" s="153"/>
      <c r="B450" s="229"/>
      <c r="C450" s="230"/>
      <c r="D450" s="231"/>
      <c r="E450" s="157"/>
      <c r="F450" s="12"/>
      <c r="G450" s="158"/>
    </row>
    <row r="451">
      <c r="A451" s="153"/>
      <c r="B451" s="229"/>
      <c r="C451" s="230"/>
      <c r="D451" s="231"/>
      <c r="E451" s="157"/>
      <c r="F451" s="12"/>
      <c r="G451" s="158"/>
    </row>
    <row r="452">
      <c r="A452" s="153"/>
      <c r="B452" s="229"/>
      <c r="C452" s="230"/>
      <c r="D452" s="231"/>
      <c r="E452" s="157"/>
      <c r="F452" s="12"/>
      <c r="G452" s="158"/>
    </row>
    <row r="453">
      <c r="A453" s="153"/>
      <c r="B453" s="229"/>
      <c r="C453" s="230"/>
      <c r="D453" s="231"/>
      <c r="E453" s="157"/>
      <c r="F453" s="12"/>
      <c r="G453" s="158"/>
    </row>
    <row r="454">
      <c r="A454" s="153"/>
      <c r="B454" s="229"/>
      <c r="C454" s="230"/>
      <c r="D454" s="231"/>
      <c r="E454" s="157"/>
      <c r="F454" s="12"/>
      <c r="G454" s="158"/>
    </row>
    <row r="455">
      <c r="A455" s="153"/>
      <c r="B455" s="229"/>
      <c r="C455" s="230"/>
      <c r="D455" s="231"/>
      <c r="E455" s="157"/>
      <c r="F455" s="12"/>
      <c r="G455" s="158"/>
    </row>
    <row r="456">
      <c r="A456" s="153"/>
      <c r="B456" s="229"/>
      <c r="C456" s="230"/>
      <c r="D456" s="231"/>
      <c r="E456" s="157"/>
      <c r="F456" s="12"/>
      <c r="G456" s="158"/>
    </row>
    <row r="457">
      <c r="A457" s="153"/>
      <c r="B457" s="229"/>
      <c r="C457" s="230"/>
      <c r="D457" s="231"/>
      <c r="E457" s="157"/>
      <c r="F457" s="12"/>
      <c r="G457" s="158"/>
    </row>
    <row r="458">
      <c r="A458" s="153"/>
      <c r="B458" s="229"/>
      <c r="C458" s="230"/>
      <c r="D458" s="231"/>
      <c r="E458" s="157"/>
      <c r="F458" s="12"/>
      <c r="G458" s="158"/>
    </row>
    <row r="459">
      <c r="A459" s="153"/>
      <c r="B459" s="229"/>
      <c r="C459" s="230"/>
      <c r="D459" s="231"/>
      <c r="E459" s="157"/>
      <c r="F459" s="12"/>
      <c r="G459" s="158"/>
    </row>
    <row r="460">
      <c r="A460" s="153"/>
      <c r="B460" s="229"/>
      <c r="C460" s="230"/>
      <c r="D460" s="231"/>
      <c r="E460" s="157"/>
      <c r="F460" s="12"/>
      <c r="G460" s="158"/>
    </row>
    <row r="461">
      <c r="A461" s="153"/>
      <c r="B461" s="229"/>
      <c r="C461" s="230"/>
      <c r="D461" s="231"/>
      <c r="E461" s="157"/>
      <c r="F461" s="12"/>
      <c r="G461" s="158"/>
    </row>
    <row r="462">
      <c r="A462" s="153"/>
      <c r="B462" s="229"/>
      <c r="C462" s="230"/>
      <c r="D462" s="231"/>
      <c r="E462" s="157"/>
      <c r="F462" s="12"/>
      <c r="G462" s="158"/>
    </row>
    <row r="463">
      <c r="A463" s="153"/>
      <c r="B463" s="229"/>
      <c r="C463" s="230"/>
      <c r="D463" s="231"/>
      <c r="E463" s="157"/>
      <c r="F463" s="12"/>
      <c r="G463" s="158"/>
    </row>
    <row r="464">
      <c r="A464" s="153"/>
      <c r="B464" s="229"/>
      <c r="C464" s="230"/>
      <c r="D464" s="231"/>
      <c r="E464" s="157"/>
      <c r="F464" s="12"/>
      <c r="G464" s="158"/>
    </row>
    <row r="465">
      <c r="A465" s="153"/>
      <c r="B465" s="229"/>
      <c r="C465" s="230"/>
      <c r="D465" s="231"/>
      <c r="E465" s="157"/>
      <c r="F465" s="12"/>
      <c r="G465" s="158"/>
    </row>
    <row r="466">
      <c r="A466" s="153"/>
      <c r="B466" s="229"/>
      <c r="C466" s="230"/>
      <c r="D466" s="231"/>
      <c r="E466" s="157"/>
      <c r="F466" s="12"/>
      <c r="G466" s="158"/>
    </row>
    <row r="467">
      <c r="A467" s="153"/>
      <c r="B467" s="229"/>
      <c r="C467" s="230"/>
      <c r="D467" s="231"/>
      <c r="E467" s="157"/>
      <c r="F467" s="12"/>
      <c r="G467" s="158"/>
    </row>
    <row r="468">
      <c r="A468" s="153"/>
      <c r="B468" s="229"/>
      <c r="C468" s="230"/>
      <c r="D468" s="231"/>
      <c r="E468" s="157"/>
      <c r="F468" s="12"/>
      <c r="G468" s="158"/>
    </row>
    <row r="469">
      <c r="A469" s="153"/>
      <c r="B469" s="229"/>
      <c r="C469" s="230"/>
      <c r="D469" s="231"/>
      <c r="E469" s="157"/>
      <c r="F469" s="12"/>
      <c r="G469" s="158"/>
    </row>
    <row r="470">
      <c r="A470" s="153"/>
      <c r="B470" s="229"/>
      <c r="C470" s="230"/>
      <c r="D470" s="231"/>
      <c r="E470" s="157"/>
      <c r="F470" s="12"/>
      <c r="G470" s="158"/>
    </row>
    <row r="471">
      <c r="A471" s="153"/>
      <c r="B471" s="229"/>
      <c r="C471" s="230"/>
      <c r="D471" s="231"/>
      <c r="E471" s="157"/>
      <c r="F471" s="12"/>
      <c r="G471" s="158"/>
    </row>
    <row r="472">
      <c r="A472" s="153"/>
      <c r="B472" s="229"/>
      <c r="C472" s="230"/>
      <c r="D472" s="231"/>
      <c r="E472" s="157"/>
      <c r="F472" s="12"/>
      <c r="G472" s="158"/>
    </row>
    <row r="473">
      <c r="A473" s="153"/>
      <c r="B473" s="229"/>
      <c r="C473" s="230"/>
      <c r="D473" s="231"/>
      <c r="E473" s="157"/>
      <c r="F473" s="12"/>
      <c r="G473" s="158"/>
    </row>
    <row r="474">
      <c r="A474" s="153"/>
      <c r="B474" s="229"/>
      <c r="C474" s="230"/>
      <c r="D474" s="231"/>
      <c r="E474" s="157"/>
      <c r="F474" s="12"/>
      <c r="G474" s="158"/>
    </row>
    <row r="475">
      <c r="A475" s="153"/>
      <c r="B475" s="229"/>
      <c r="C475" s="230"/>
      <c r="D475" s="231"/>
      <c r="E475" s="157"/>
      <c r="F475" s="12"/>
      <c r="G475" s="158"/>
    </row>
    <row r="476">
      <c r="A476" s="153"/>
      <c r="B476" s="229"/>
      <c r="C476" s="230"/>
      <c r="D476" s="231"/>
      <c r="E476" s="157"/>
      <c r="F476" s="12"/>
      <c r="G476" s="158"/>
    </row>
    <row r="477">
      <c r="A477" s="153"/>
      <c r="B477" s="229"/>
      <c r="C477" s="230"/>
      <c r="D477" s="231"/>
      <c r="E477" s="157"/>
      <c r="F477" s="12"/>
      <c r="G477" s="158"/>
    </row>
    <row r="478">
      <c r="A478" s="153"/>
      <c r="B478" s="229"/>
      <c r="C478" s="230"/>
      <c r="D478" s="231"/>
      <c r="E478" s="157"/>
      <c r="F478" s="12"/>
      <c r="G478" s="158"/>
    </row>
    <row r="479">
      <c r="A479" s="153"/>
      <c r="B479" s="229"/>
      <c r="C479" s="230"/>
      <c r="D479" s="231"/>
      <c r="E479" s="157"/>
      <c r="F479" s="12"/>
      <c r="G479" s="158"/>
    </row>
    <row r="480">
      <c r="A480" s="153"/>
      <c r="B480" s="229"/>
      <c r="C480" s="230"/>
      <c r="D480" s="231"/>
      <c r="E480" s="157"/>
      <c r="F480" s="12"/>
      <c r="G480" s="158"/>
    </row>
    <row r="481">
      <c r="A481" s="153"/>
      <c r="B481" s="229"/>
      <c r="C481" s="230"/>
      <c r="D481" s="231"/>
      <c r="E481" s="157"/>
      <c r="F481" s="12"/>
      <c r="G481" s="158"/>
    </row>
    <row r="482">
      <c r="A482" s="153"/>
      <c r="B482" s="229"/>
      <c r="C482" s="230"/>
      <c r="D482" s="231"/>
      <c r="E482" s="157"/>
      <c r="F482" s="12"/>
      <c r="G482" s="158"/>
    </row>
    <row r="483">
      <c r="A483" s="153"/>
      <c r="B483" s="229"/>
      <c r="C483" s="230"/>
      <c r="D483" s="231"/>
      <c r="E483" s="157"/>
      <c r="F483" s="12"/>
      <c r="G483" s="158"/>
    </row>
    <row r="484">
      <c r="A484" s="153"/>
      <c r="B484" s="229"/>
      <c r="C484" s="230"/>
      <c r="D484" s="231"/>
      <c r="E484" s="157"/>
      <c r="F484" s="12"/>
      <c r="G484" s="158"/>
    </row>
    <row r="485">
      <c r="A485" s="153"/>
      <c r="B485" s="229"/>
      <c r="C485" s="230"/>
      <c r="D485" s="231"/>
      <c r="E485" s="157"/>
      <c r="F485" s="12"/>
      <c r="G485" s="158"/>
    </row>
    <row r="486">
      <c r="A486" s="153"/>
      <c r="B486" s="229"/>
      <c r="C486" s="230"/>
      <c r="D486" s="231"/>
      <c r="E486" s="157"/>
      <c r="F486" s="12"/>
      <c r="G486" s="158"/>
    </row>
    <row r="487">
      <c r="A487" s="153"/>
      <c r="B487" s="229"/>
      <c r="C487" s="230"/>
      <c r="D487" s="231"/>
      <c r="E487" s="157"/>
      <c r="F487" s="12"/>
      <c r="G487" s="158"/>
    </row>
    <row r="488">
      <c r="A488" s="153"/>
      <c r="B488" s="229"/>
      <c r="C488" s="230"/>
      <c r="D488" s="231"/>
      <c r="E488" s="157"/>
      <c r="F488" s="12"/>
      <c r="G488" s="158"/>
    </row>
    <row r="489">
      <c r="A489" s="153"/>
      <c r="B489" s="229"/>
      <c r="C489" s="230"/>
      <c r="D489" s="231"/>
      <c r="E489" s="157"/>
      <c r="F489" s="12"/>
      <c r="G489" s="158"/>
    </row>
    <row r="490">
      <c r="A490" s="153"/>
      <c r="B490" s="229"/>
      <c r="C490" s="230"/>
      <c r="D490" s="231"/>
      <c r="E490" s="157"/>
      <c r="F490" s="12"/>
      <c r="G490" s="158"/>
    </row>
    <row r="491">
      <c r="A491" s="153"/>
      <c r="B491" s="229"/>
      <c r="C491" s="230"/>
      <c r="D491" s="231"/>
      <c r="E491" s="157"/>
      <c r="F491" s="12"/>
      <c r="G491" s="158"/>
    </row>
    <row r="492">
      <c r="A492" s="153"/>
      <c r="B492" s="229"/>
      <c r="C492" s="230"/>
      <c r="D492" s="231"/>
      <c r="E492" s="157"/>
      <c r="F492" s="12"/>
      <c r="G492" s="158"/>
    </row>
    <row r="493">
      <c r="A493" s="153"/>
      <c r="B493" s="229"/>
      <c r="C493" s="230"/>
      <c r="D493" s="231"/>
      <c r="E493" s="157"/>
      <c r="F493" s="12"/>
      <c r="G493" s="158"/>
    </row>
    <row r="494">
      <c r="A494" s="153"/>
      <c r="B494" s="229"/>
      <c r="C494" s="230"/>
      <c r="D494" s="231"/>
      <c r="E494" s="157"/>
      <c r="F494" s="12"/>
      <c r="G494" s="158"/>
    </row>
    <row r="495">
      <c r="A495" s="153"/>
      <c r="B495" s="229"/>
      <c r="C495" s="230"/>
      <c r="D495" s="231"/>
      <c r="E495" s="157"/>
      <c r="F495" s="12"/>
      <c r="G495" s="158"/>
    </row>
    <row r="496">
      <c r="A496" s="153"/>
      <c r="B496" s="229"/>
      <c r="C496" s="230"/>
      <c r="D496" s="231"/>
      <c r="E496" s="157"/>
      <c r="F496" s="12"/>
      <c r="G496" s="158"/>
    </row>
    <row r="497">
      <c r="A497" s="153"/>
      <c r="B497" s="229"/>
      <c r="C497" s="230"/>
      <c r="D497" s="231"/>
      <c r="E497" s="157"/>
      <c r="F497" s="12"/>
      <c r="G497" s="158"/>
    </row>
    <row r="498">
      <c r="A498" s="153"/>
      <c r="B498" s="229"/>
      <c r="C498" s="230"/>
      <c r="D498" s="231"/>
      <c r="E498" s="157"/>
      <c r="F498" s="12"/>
      <c r="G498" s="158"/>
    </row>
    <row r="499">
      <c r="A499" s="153"/>
      <c r="B499" s="229"/>
      <c r="C499" s="230"/>
      <c r="D499" s="231"/>
      <c r="E499" s="157"/>
      <c r="F499" s="12"/>
      <c r="G499" s="158"/>
    </row>
    <row r="500">
      <c r="A500" s="153"/>
      <c r="B500" s="229"/>
      <c r="C500" s="230"/>
      <c r="D500" s="231"/>
      <c r="E500" s="157"/>
      <c r="F500" s="12"/>
      <c r="G500" s="158"/>
    </row>
    <row r="501">
      <c r="A501" s="153"/>
      <c r="B501" s="229"/>
      <c r="C501" s="230"/>
      <c r="D501" s="231"/>
      <c r="E501" s="157"/>
      <c r="F501" s="12"/>
      <c r="G501" s="158"/>
    </row>
    <row r="502">
      <c r="A502" s="153"/>
      <c r="B502" s="229"/>
      <c r="C502" s="230"/>
      <c r="D502" s="231"/>
      <c r="E502" s="157"/>
      <c r="F502" s="12"/>
      <c r="G502" s="158"/>
    </row>
    <row r="503">
      <c r="A503" s="153"/>
      <c r="B503" s="229"/>
      <c r="C503" s="230"/>
      <c r="D503" s="231"/>
      <c r="E503" s="157"/>
      <c r="F503" s="12"/>
      <c r="G503" s="158"/>
    </row>
    <row r="504">
      <c r="A504" s="153"/>
      <c r="B504" s="229"/>
      <c r="C504" s="230"/>
      <c r="D504" s="231"/>
      <c r="E504" s="157"/>
      <c r="F504" s="12"/>
      <c r="G504" s="158"/>
    </row>
    <row r="505">
      <c r="A505" s="153"/>
      <c r="B505" s="229"/>
      <c r="C505" s="230"/>
      <c r="D505" s="231"/>
      <c r="E505" s="157"/>
      <c r="F505" s="12"/>
      <c r="G505" s="158"/>
    </row>
    <row r="506">
      <c r="A506" s="153"/>
      <c r="B506" s="229"/>
      <c r="C506" s="230"/>
      <c r="D506" s="231"/>
      <c r="E506" s="157"/>
      <c r="F506" s="12"/>
      <c r="G506" s="158"/>
    </row>
    <row r="507">
      <c r="A507" s="153"/>
      <c r="B507" s="229"/>
      <c r="C507" s="230"/>
      <c r="D507" s="231"/>
      <c r="E507" s="157"/>
      <c r="F507" s="12"/>
      <c r="G507" s="158"/>
    </row>
    <row r="508">
      <c r="A508" s="153"/>
      <c r="B508" s="229"/>
      <c r="C508" s="230"/>
      <c r="D508" s="231"/>
      <c r="E508" s="157"/>
      <c r="F508" s="12"/>
      <c r="G508" s="158"/>
    </row>
    <row r="509">
      <c r="A509" s="153"/>
      <c r="B509" s="229"/>
      <c r="C509" s="230"/>
      <c r="D509" s="231"/>
      <c r="E509" s="157"/>
      <c r="F509" s="12"/>
      <c r="G509" s="158"/>
    </row>
    <row r="510">
      <c r="A510" s="153"/>
      <c r="B510" s="229"/>
      <c r="C510" s="230"/>
      <c r="D510" s="231"/>
      <c r="E510" s="157"/>
      <c r="F510" s="12"/>
      <c r="G510" s="158"/>
    </row>
    <row r="511">
      <c r="A511" s="153"/>
      <c r="B511" s="229"/>
      <c r="C511" s="230"/>
      <c r="D511" s="231"/>
      <c r="E511" s="157"/>
      <c r="F511" s="12"/>
      <c r="G511" s="158"/>
    </row>
    <row r="512">
      <c r="A512" s="153"/>
      <c r="B512" s="229"/>
      <c r="C512" s="230"/>
      <c r="D512" s="231"/>
      <c r="E512" s="157"/>
      <c r="F512" s="12"/>
      <c r="G512" s="158"/>
    </row>
    <row r="513">
      <c r="A513" s="153"/>
      <c r="B513" s="229"/>
      <c r="C513" s="230"/>
      <c r="D513" s="231"/>
      <c r="E513" s="157"/>
      <c r="F513" s="12"/>
      <c r="G513" s="158"/>
    </row>
    <row r="514">
      <c r="A514" s="153"/>
      <c r="B514" s="229"/>
      <c r="C514" s="230"/>
      <c r="D514" s="231"/>
      <c r="E514" s="157"/>
      <c r="F514" s="12"/>
      <c r="G514" s="158"/>
    </row>
    <row r="515">
      <c r="A515" s="153"/>
      <c r="B515" s="229"/>
      <c r="C515" s="230"/>
      <c r="D515" s="231"/>
      <c r="E515" s="157"/>
      <c r="F515" s="12"/>
      <c r="G515" s="158"/>
    </row>
    <row r="516">
      <c r="A516" s="153"/>
      <c r="B516" s="229"/>
      <c r="C516" s="230"/>
      <c r="D516" s="231"/>
      <c r="E516" s="157"/>
      <c r="F516" s="12"/>
      <c r="G516" s="158"/>
    </row>
    <row r="517">
      <c r="A517" s="153"/>
      <c r="B517" s="229"/>
      <c r="C517" s="230"/>
      <c r="D517" s="231"/>
      <c r="E517" s="157"/>
      <c r="F517" s="12"/>
      <c r="G517" s="158"/>
    </row>
    <row r="518">
      <c r="A518" s="153"/>
      <c r="B518" s="229"/>
      <c r="C518" s="230"/>
      <c r="D518" s="231"/>
      <c r="E518" s="157"/>
      <c r="F518" s="12"/>
      <c r="G518" s="158"/>
    </row>
    <row r="519">
      <c r="A519" s="153"/>
      <c r="B519" s="229"/>
      <c r="C519" s="230"/>
      <c r="D519" s="231"/>
      <c r="E519" s="157"/>
      <c r="F519" s="12"/>
      <c r="G519" s="158"/>
    </row>
    <row r="520">
      <c r="A520" s="153"/>
      <c r="B520" s="229"/>
      <c r="C520" s="230"/>
      <c r="D520" s="231"/>
      <c r="E520" s="157"/>
      <c r="F520" s="12"/>
      <c r="G520" s="158"/>
    </row>
    <row r="521">
      <c r="A521" s="153"/>
      <c r="B521" s="229"/>
      <c r="C521" s="230"/>
      <c r="D521" s="231"/>
      <c r="E521" s="157"/>
      <c r="F521" s="12"/>
      <c r="G521" s="158"/>
    </row>
    <row r="522">
      <c r="A522" s="153"/>
      <c r="B522" s="229"/>
      <c r="C522" s="230"/>
      <c r="D522" s="231"/>
      <c r="E522" s="157"/>
      <c r="F522" s="12"/>
      <c r="G522" s="158"/>
    </row>
    <row r="523">
      <c r="A523" s="153"/>
      <c r="B523" s="229"/>
      <c r="C523" s="230"/>
      <c r="D523" s="231"/>
      <c r="E523" s="157"/>
      <c r="F523" s="12"/>
      <c r="G523" s="158"/>
    </row>
    <row r="524">
      <c r="A524" s="153"/>
      <c r="B524" s="229"/>
      <c r="C524" s="230"/>
      <c r="D524" s="231"/>
      <c r="E524" s="157"/>
      <c r="F524" s="12"/>
      <c r="G524" s="158"/>
    </row>
    <row r="525">
      <c r="A525" s="153"/>
      <c r="B525" s="229"/>
      <c r="C525" s="230"/>
      <c r="D525" s="231"/>
      <c r="E525" s="157"/>
      <c r="F525" s="12"/>
      <c r="G525" s="158"/>
    </row>
    <row r="526">
      <c r="A526" s="153"/>
      <c r="B526" s="229"/>
      <c r="C526" s="230"/>
      <c r="D526" s="231"/>
      <c r="E526" s="157"/>
      <c r="F526" s="12"/>
      <c r="G526" s="158"/>
    </row>
    <row r="527">
      <c r="A527" s="153"/>
      <c r="B527" s="229"/>
      <c r="C527" s="230"/>
      <c r="D527" s="231"/>
      <c r="E527" s="157"/>
      <c r="F527" s="12"/>
      <c r="G527" s="158"/>
    </row>
    <row r="528">
      <c r="A528" s="153"/>
      <c r="B528" s="229"/>
      <c r="C528" s="230"/>
      <c r="D528" s="231"/>
      <c r="E528" s="157"/>
      <c r="F528" s="12"/>
      <c r="G528" s="158"/>
    </row>
    <row r="529">
      <c r="A529" s="153"/>
      <c r="B529" s="229"/>
      <c r="C529" s="230"/>
      <c r="D529" s="231"/>
      <c r="E529" s="157"/>
      <c r="F529" s="12"/>
      <c r="G529" s="158"/>
    </row>
    <row r="530">
      <c r="A530" s="153"/>
      <c r="B530" s="229"/>
      <c r="C530" s="230"/>
      <c r="D530" s="231"/>
      <c r="E530" s="157"/>
      <c r="F530" s="12"/>
      <c r="G530" s="158"/>
    </row>
    <row r="531">
      <c r="A531" s="153"/>
      <c r="B531" s="229"/>
      <c r="C531" s="230"/>
      <c r="D531" s="231"/>
      <c r="E531" s="157"/>
      <c r="F531" s="12"/>
      <c r="G531" s="158"/>
    </row>
    <row r="532">
      <c r="A532" s="153"/>
      <c r="B532" s="229"/>
      <c r="C532" s="230"/>
      <c r="D532" s="231"/>
      <c r="E532" s="157"/>
      <c r="F532" s="12"/>
      <c r="G532" s="158"/>
    </row>
    <row r="533">
      <c r="A533" s="153"/>
      <c r="B533" s="229"/>
      <c r="C533" s="230"/>
      <c r="D533" s="231"/>
      <c r="E533" s="157"/>
      <c r="F533" s="12"/>
      <c r="G533" s="158"/>
    </row>
    <row r="534">
      <c r="A534" s="153"/>
      <c r="B534" s="229"/>
      <c r="C534" s="230"/>
      <c r="D534" s="231"/>
      <c r="E534" s="157"/>
      <c r="F534" s="12"/>
      <c r="G534" s="158"/>
    </row>
    <row r="535">
      <c r="A535" s="153"/>
      <c r="B535" s="229"/>
      <c r="C535" s="230"/>
      <c r="D535" s="231"/>
      <c r="E535" s="157"/>
      <c r="F535" s="12"/>
      <c r="G535" s="158"/>
    </row>
    <row r="536">
      <c r="A536" s="153"/>
      <c r="B536" s="229"/>
      <c r="C536" s="230"/>
      <c r="D536" s="231"/>
      <c r="E536" s="157"/>
      <c r="F536" s="12"/>
      <c r="G536" s="158"/>
    </row>
    <row r="537">
      <c r="A537" s="153"/>
      <c r="B537" s="229"/>
      <c r="C537" s="230"/>
      <c r="D537" s="231"/>
      <c r="E537" s="157"/>
      <c r="F537" s="12"/>
      <c r="G537" s="158"/>
    </row>
    <row r="538">
      <c r="A538" s="153"/>
      <c r="B538" s="229"/>
      <c r="C538" s="230"/>
      <c r="D538" s="231"/>
      <c r="E538" s="157"/>
      <c r="F538" s="12"/>
      <c r="G538" s="158"/>
    </row>
    <row r="539">
      <c r="A539" s="153"/>
      <c r="B539" s="229"/>
      <c r="C539" s="230"/>
      <c r="D539" s="231"/>
      <c r="E539" s="157"/>
      <c r="F539" s="12"/>
      <c r="G539" s="158"/>
    </row>
    <row r="540">
      <c r="A540" s="153"/>
      <c r="B540" s="229"/>
      <c r="C540" s="230"/>
      <c r="D540" s="231"/>
      <c r="E540" s="157"/>
      <c r="F540" s="12"/>
      <c r="G540" s="158"/>
    </row>
    <row r="541">
      <c r="A541" s="153"/>
      <c r="B541" s="229"/>
      <c r="C541" s="230"/>
      <c r="D541" s="231"/>
      <c r="E541" s="157"/>
      <c r="F541" s="12"/>
      <c r="G541" s="158"/>
    </row>
    <row r="542">
      <c r="A542" s="153"/>
      <c r="B542" s="229"/>
      <c r="C542" s="230"/>
      <c r="D542" s="231"/>
      <c r="E542" s="157"/>
      <c r="F542" s="12"/>
      <c r="G542" s="158"/>
    </row>
    <row r="543">
      <c r="A543" s="153"/>
      <c r="B543" s="229"/>
      <c r="C543" s="230"/>
      <c r="D543" s="231"/>
      <c r="E543" s="157"/>
      <c r="F543" s="12"/>
      <c r="G543" s="158"/>
    </row>
    <row r="544">
      <c r="A544" s="153"/>
      <c r="B544" s="229"/>
      <c r="C544" s="230"/>
      <c r="D544" s="231"/>
      <c r="E544" s="157"/>
      <c r="F544" s="12"/>
      <c r="G544" s="158"/>
    </row>
    <row r="545">
      <c r="A545" s="153"/>
      <c r="B545" s="229"/>
      <c r="C545" s="230"/>
      <c r="D545" s="231"/>
      <c r="E545" s="157"/>
      <c r="F545" s="12"/>
      <c r="G545" s="158"/>
    </row>
    <row r="546">
      <c r="A546" s="153"/>
      <c r="B546" s="229"/>
      <c r="C546" s="230"/>
      <c r="D546" s="231"/>
      <c r="E546" s="157"/>
      <c r="F546" s="12"/>
      <c r="G546" s="158"/>
    </row>
    <row r="547">
      <c r="A547" s="153"/>
      <c r="B547" s="229"/>
      <c r="C547" s="230"/>
      <c r="D547" s="231"/>
      <c r="E547" s="157"/>
      <c r="F547" s="12"/>
      <c r="G547" s="158"/>
    </row>
    <row r="548">
      <c r="A548" s="153"/>
      <c r="B548" s="229"/>
      <c r="C548" s="230"/>
      <c r="D548" s="231"/>
      <c r="E548" s="157"/>
      <c r="F548" s="12"/>
      <c r="G548" s="158"/>
    </row>
    <row r="549">
      <c r="A549" s="153"/>
      <c r="B549" s="229"/>
      <c r="C549" s="230"/>
      <c r="D549" s="231"/>
      <c r="E549" s="157"/>
      <c r="F549" s="12"/>
      <c r="G549" s="158"/>
    </row>
    <row r="550">
      <c r="A550" s="153"/>
      <c r="B550" s="229"/>
      <c r="C550" s="230"/>
      <c r="D550" s="231"/>
      <c r="E550" s="157"/>
      <c r="F550" s="12"/>
      <c r="G550" s="158"/>
    </row>
    <row r="551">
      <c r="A551" s="153"/>
      <c r="B551" s="229"/>
      <c r="C551" s="230"/>
      <c r="D551" s="231"/>
      <c r="E551" s="157"/>
      <c r="F551" s="12"/>
      <c r="G551" s="158"/>
    </row>
    <row r="552">
      <c r="A552" s="153"/>
      <c r="B552" s="229"/>
      <c r="C552" s="230"/>
      <c r="D552" s="231"/>
      <c r="E552" s="157"/>
      <c r="F552" s="12"/>
      <c r="G552" s="158"/>
    </row>
    <row r="553">
      <c r="A553" s="153"/>
      <c r="B553" s="229"/>
      <c r="C553" s="230"/>
      <c r="D553" s="231"/>
      <c r="E553" s="157"/>
      <c r="F553" s="12"/>
      <c r="G553" s="158"/>
    </row>
    <row r="554">
      <c r="A554" s="153"/>
      <c r="B554" s="229"/>
      <c r="C554" s="230"/>
      <c r="D554" s="231"/>
      <c r="E554" s="157"/>
      <c r="F554" s="12"/>
      <c r="G554" s="158"/>
    </row>
    <row r="555">
      <c r="A555" s="153"/>
      <c r="B555" s="229"/>
      <c r="C555" s="230"/>
      <c r="D555" s="231"/>
      <c r="E555" s="157"/>
      <c r="F555" s="12"/>
      <c r="G555" s="158"/>
    </row>
    <row r="556">
      <c r="A556" s="153"/>
      <c r="B556" s="229"/>
      <c r="C556" s="230"/>
      <c r="D556" s="231"/>
      <c r="E556" s="157"/>
      <c r="F556" s="12"/>
      <c r="G556" s="158"/>
    </row>
    <row r="557">
      <c r="A557" s="153"/>
      <c r="B557" s="229"/>
      <c r="C557" s="230"/>
      <c r="D557" s="231"/>
      <c r="E557" s="157"/>
      <c r="F557" s="12"/>
      <c r="G557" s="158"/>
    </row>
    <row r="558">
      <c r="A558" s="153"/>
      <c r="B558" s="229"/>
      <c r="C558" s="230"/>
      <c r="D558" s="231"/>
      <c r="E558" s="157"/>
      <c r="F558" s="12"/>
      <c r="G558" s="158"/>
    </row>
    <row r="559">
      <c r="A559" s="153"/>
      <c r="B559" s="229"/>
      <c r="C559" s="230"/>
      <c r="D559" s="231"/>
      <c r="E559" s="157"/>
      <c r="F559" s="12"/>
      <c r="G559" s="158"/>
    </row>
    <row r="560">
      <c r="A560" s="153"/>
      <c r="B560" s="229"/>
      <c r="C560" s="230"/>
      <c r="D560" s="231"/>
      <c r="E560" s="157"/>
      <c r="F560" s="12"/>
      <c r="G560" s="158"/>
    </row>
    <row r="561">
      <c r="A561" s="153"/>
      <c r="B561" s="229"/>
      <c r="C561" s="230"/>
      <c r="D561" s="231"/>
      <c r="E561" s="157"/>
      <c r="F561" s="12"/>
      <c r="G561" s="158"/>
    </row>
    <row r="562">
      <c r="A562" s="153"/>
      <c r="B562" s="229"/>
      <c r="C562" s="230"/>
      <c r="D562" s="231"/>
      <c r="E562" s="157"/>
      <c r="F562" s="12"/>
      <c r="G562" s="158"/>
    </row>
    <row r="563">
      <c r="A563" s="153"/>
      <c r="B563" s="229"/>
      <c r="C563" s="230"/>
      <c r="D563" s="231"/>
      <c r="E563" s="157"/>
      <c r="F563" s="12"/>
      <c r="G563" s="158"/>
    </row>
    <row r="564">
      <c r="A564" s="153"/>
      <c r="B564" s="229"/>
      <c r="C564" s="230"/>
      <c r="D564" s="231"/>
      <c r="E564" s="157"/>
      <c r="F564" s="12"/>
      <c r="G564" s="158"/>
    </row>
    <row r="565">
      <c r="A565" s="153"/>
      <c r="B565" s="229"/>
      <c r="C565" s="230"/>
      <c r="D565" s="231"/>
      <c r="E565" s="157"/>
      <c r="F565" s="12"/>
      <c r="G565" s="158"/>
    </row>
    <row r="566">
      <c r="A566" s="153"/>
      <c r="B566" s="229"/>
      <c r="C566" s="230"/>
      <c r="D566" s="231"/>
      <c r="E566" s="157"/>
      <c r="F566" s="12"/>
      <c r="G566" s="158"/>
    </row>
    <row r="567">
      <c r="A567" s="153"/>
      <c r="B567" s="229"/>
      <c r="C567" s="230"/>
      <c r="D567" s="231"/>
      <c r="E567" s="157"/>
      <c r="F567" s="12"/>
      <c r="G567" s="158"/>
    </row>
    <row r="568">
      <c r="A568" s="153"/>
      <c r="B568" s="229"/>
      <c r="C568" s="230"/>
      <c r="D568" s="231"/>
      <c r="E568" s="157"/>
      <c r="F568" s="12"/>
      <c r="G568" s="158"/>
    </row>
    <row r="569">
      <c r="A569" s="153"/>
      <c r="B569" s="229"/>
      <c r="C569" s="230"/>
      <c r="D569" s="231"/>
      <c r="E569" s="157"/>
      <c r="F569" s="12"/>
      <c r="G569" s="158"/>
    </row>
    <row r="570">
      <c r="A570" s="153"/>
      <c r="B570" s="229"/>
      <c r="C570" s="230"/>
      <c r="D570" s="231"/>
      <c r="E570" s="157"/>
      <c r="F570" s="12"/>
      <c r="G570" s="158"/>
    </row>
    <row r="571">
      <c r="A571" s="153"/>
      <c r="B571" s="229"/>
      <c r="C571" s="230"/>
      <c r="D571" s="231"/>
      <c r="E571" s="157"/>
      <c r="F571" s="12"/>
      <c r="G571" s="158"/>
    </row>
    <row r="572">
      <c r="A572" s="153"/>
      <c r="B572" s="229"/>
      <c r="C572" s="230"/>
      <c r="D572" s="231"/>
      <c r="E572" s="157"/>
      <c r="F572" s="12"/>
      <c r="G572" s="158"/>
    </row>
    <row r="573">
      <c r="A573" s="153"/>
      <c r="B573" s="229"/>
      <c r="C573" s="230"/>
      <c r="D573" s="231"/>
      <c r="E573" s="157"/>
      <c r="F573" s="12"/>
      <c r="G573" s="158"/>
    </row>
    <row r="574">
      <c r="A574" s="153"/>
      <c r="B574" s="229"/>
      <c r="C574" s="230"/>
      <c r="D574" s="231"/>
      <c r="E574" s="157"/>
      <c r="F574" s="12"/>
      <c r="G574" s="158"/>
    </row>
    <row r="575">
      <c r="A575" s="153"/>
      <c r="B575" s="229"/>
      <c r="C575" s="230"/>
      <c r="D575" s="231"/>
      <c r="E575" s="157"/>
      <c r="F575" s="12"/>
      <c r="G575" s="158"/>
    </row>
    <row r="576">
      <c r="A576" s="153"/>
      <c r="B576" s="229"/>
      <c r="C576" s="230"/>
      <c r="D576" s="231"/>
      <c r="E576" s="157"/>
      <c r="F576" s="12"/>
      <c r="G576" s="158"/>
    </row>
    <row r="577">
      <c r="A577" s="153"/>
      <c r="B577" s="229"/>
      <c r="C577" s="230"/>
      <c r="D577" s="231"/>
      <c r="E577" s="157"/>
      <c r="F577" s="12"/>
      <c r="G577" s="158"/>
    </row>
    <row r="578">
      <c r="A578" s="153"/>
      <c r="B578" s="229"/>
      <c r="C578" s="230"/>
      <c r="D578" s="231"/>
      <c r="E578" s="157"/>
      <c r="F578" s="12"/>
      <c r="G578" s="158"/>
    </row>
    <row r="579">
      <c r="A579" s="153"/>
      <c r="B579" s="229"/>
      <c r="C579" s="230"/>
      <c r="D579" s="231"/>
      <c r="E579" s="157"/>
      <c r="F579" s="12"/>
      <c r="G579" s="158"/>
    </row>
    <row r="580">
      <c r="A580" s="153"/>
      <c r="B580" s="229"/>
      <c r="C580" s="230"/>
      <c r="D580" s="231"/>
      <c r="E580" s="157"/>
      <c r="F580" s="12"/>
      <c r="G580" s="158"/>
    </row>
    <row r="581">
      <c r="A581" s="153"/>
      <c r="B581" s="229"/>
      <c r="C581" s="230"/>
      <c r="D581" s="231"/>
      <c r="E581" s="157"/>
      <c r="F581" s="12"/>
      <c r="G581" s="158"/>
    </row>
    <row r="582">
      <c r="A582" s="153"/>
      <c r="B582" s="229"/>
      <c r="C582" s="230"/>
      <c r="D582" s="231"/>
      <c r="E582" s="157"/>
      <c r="F582" s="12"/>
      <c r="G582" s="158"/>
    </row>
    <row r="583">
      <c r="A583" s="153"/>
      <c r="B583" s="229"/>
      <c r="C583" s="230"/>
      <c r="D583" s="231"/>
      <c r="E583" s="157"/>
      <c r="F583" s="12"/>
      <c r="G583" s="158"/>
    </row>
    <row r="584">
      <c r="A584" s="153"/>
      <c r="B584" s="229"/>
      <c r="C584" s="230"/>
      <c r="D584" s="231"/>
      <c r="E584" s="157"/>
      <c r="F584" s="12"/>
      <c r="G584" s="158"/>
    </row>
    <row r="585">
      <c r="A585" s="153"/>
      <c r="B585" s="229"/>
      <c r="C585" s="230"/>
      <c r="D585" s="231"/>
      <c r="E585" s="157"/>
      <c r="F585" s="12"/>
      <c r="G585" s="158"/>
    </row>
    <row r="586">
      <c r="A586" s="153"/>
      <c r="B586" s="229"/>
      <c r="C586" s="230"/>
      <c r="D586" s="231"/>
      <c r="E586" s="157"/>
      <c r="F586" s="12"/>
      <c r="G586" s="158"/>
    </row>
    <row r="587">
      <c r="A587" s="153"/>
      <c r="B587" s="229"/>
      <c r="C587" s="230"/>
      <c r="D587" s="231"/>
      <c r="E587" s="157"/>
      <c r="F587" s="12"/>
      <c r="G587" s="158"/>
    </row>
    <row r="588">
      <c r="A588" s="153"/>
      <c r="B588" s="229"/>
      <c r="C588" s="230"/>
      <c r="D588" s="231"/>
      <c r="E588" s="157"/>
      <c r="F588" s="12"/>
      <c r="G588" s="158"/>
    </row>
    <row r="589">
      <c r="A589" s="153"/>
      <c r="B589" s="229"/>
      <c r="C589" s="230"/>
      <c r="D589" s="231"/>
      <c r="E589" s="157"/>
      <c r="F589" s="12"/>
      <c r="G589" s="158"/>
    </row>
    <row r="590">
      <c r="A590" s="153"/>
      <c r="B590" s="229"/>
      <c r="C590" s="230"/>
      <c r="D590" s="231"/>
      <c r="E590" s="157"/>
      <c r="F590" s="12"/>
      <c r="G590" s="158"/>
    </row>
    <row r="591">
      <c r="A591" s="153"/>
      <c r="B591" s="229"/>
      <c r="C591" s="230"/>
      <c r="D591" s="231"/>
      <c r="E591" s="157"/>
      <c r="F591" s="12"/>
      <c r="G591" s="158"/>
    </row>
    <row r="592">
      <c r="A592" s="153"/>
      <c r="B592" s="229"/>
      <c r="C592" s="230"/>
      <c r="D592" s="231"/>
      <c r="E592" s="157"/>
      <c r="F592" s="12"/>
      <c r="G592" s="158"/>
    </row>
    <row r="593">
      <c r="A593" s="153"/>
      <c r="B593" s="229"/>
      <c r="C593" s="230"/>
      <c r="D593" s="231"/>
      <c r="E593" s="157"/>
      <c r="F593" s="12"/>
      <c r="G593" s="158"/>
    </row>
    <row r="594">
      <c r="A594" s="153"/>
      <c r="B594" s="229"/>
      <c r="C594" s="230"/>
      <c r="D594" s="231"/>
      <c r="E594" s="157"/>
      <c r="F594" s="12"/>
      <c r="G594" s="158"/>
    </row>
    <row r="595">
      <c r="A595" s="153"/>
      <c r="B595" s="229"/>
      <c r="C595" s="230"/>
      <c r="D595" s="231"/>
      <c r="E595" s="157"/>
      <c r="F595" s="12"/>
      <c r="G595" s="158"/>
    </row>
    <row r="596">
      <c r="A596" s="153"/>
      <c r="B596" s="229"/>
      <c r="C596" s="230"/>
      <c r="D596" s="231"/>
      <c r="E596" s="157"/>
      <c r="F596" s="12"/>
      <c r="G596" s="158"/>
    </row>
    <row r="597">
      <c r="A597" s="153"/>
      <c r="B597" s="229"/>
      <c r="C597" s="230"/>
      <c r="D597" s="231"/>
      <c r="E597" s="157"/>
      <c r="F597" s="12"/>
      <c r="G597" s="158"/>
    </row>
    <row r="598">
      <c r="A598" s="153"/>
      <c r="B598" s="229"/>
      <c r="C598" s="230"/>
      <c r="D598" s="231"/>
      <c r="E598" s="157"/>
      <c r="F598" s="12"/>
      <c r="G598" s="158"/>
    </row>
    <row r="599">
      <c r="A599" s="153"/>
      <c r="B599" s="229"/>
      <c r="C599" s="230"/>
      <c r="D599" s="231"/>
      <c r="E599" s="157"/>
      <c r="F599" s="12"/>
      <c r="G599" s="158"/>
    </row>
    <row r="600">
      <c r="A600" s="153"/>
      <c r="B600" s="229"/>
      <c r="C600" s="230"/>
      <c r="D600" s="231"/>
      <c r="E600" s="157"/>
      <c r="F600" s="12"/>
      <c r="G600" s="158"/>
    </row>
    <row r="601">
      <c r="A601" s="153"/>
      <c r="B601" s="229"/>
      <c r="C601" s="230"/>
      <c r="D601" s="231"/>
      <c r="E601" s="157"/>
      <c r="F601" s="12"/>
      <c r="G601" s="158"/>
    </row>
    <row r="602">
      <c r="A602" s="153"/>
      <c r="B602" s="229"/>
      <c r="C602" s="230"/>
      <c r="D602" s="231"/>
      <c r="E602" s="157"/>
      <c r="F602" s="12"/>
      <c r="G602" s="158"/>
    </row>
    <row r="603">
      <c r="A603" s="153"/>
      <c r="B603" s="229"/>
      <c r="C603" s="230"/>
      <c r="D603" s="231"/>
      <c r="E603" s="157"/>
      <c r="F603" s="12"/>
      <c r="G603" s="158"/>
    </row>
    <row r="604">
      <c r="A604" s="153"/>
      <c r="B604" s="229"/>
      <c r="C604" s="230"/>
      <c r="D604" s="231"/>
      <c r="E604" s="157"/>
      <c r="F604" s="12"/>
      <c r="G604" s="158"/>
    </row>
    <row r="605">
      <c r="A605" s="153"/>
      <c r="B605" s="229"/>
      <c r="C605" s="230"/>
      <c r="D605" s="231"/>
      <c r="E605" s="157"/>
      <c r="F605" s="12"/>
      <c r="G605" s="158"/>
    </row>
    <row r="606">
      <c r="A606" s="153"/>
      <c r="B606" s="229"/>
      <c r="C606" s="230"/>
      <c r="D606" s="231"/>
      <c r="E606" s="157"/>
      <c r="F606" s="12"/>
      <c r="G606" s="158"/>
    </row>
    <row r="607">
      <c r="A607" s="153"/>
      <c r="B607" s="229"/>
      <c r="C607" s="230"/>
      <c r="D607" s="231"/>
      <c r="E607" s="157"/>
      <c r="F607" s="12"/>
      <c r="G607" s="158"/>
    </row>
    <row r="608">
      <c r="A608" s="153"/>
      <c r="B608" s="229"/>
      <c r="C608" s="230"/>
      <c r="D608" s="231"/>
      <c r="E608" s="157"/>
      <c r="F608" s="12"/>
      <c r="G608" s="158"/>
    </row>
    <row r="609">
      <c r="A609" s="153"/>
      <c r="B609" s="229"/>
      <c r="C609" s="230"/>
      <c r="D609" s="231"/>
      <c r="E609" s="157"/>
      <c r="F609" s="12"/>
      <c r="G609" s="158"/>
    </row>
    <row r="610">
      <c r="A610" s="153"/>
      <c r="B610" s="229"/>
      <c r="C610" s="230"/>
      <c r="D610" s="231"/>
      <c r="E610" s="157"/>
      <c r="F610" s="12"/>
      <c r="G610" s="158"/>
    </row>
    <row r="611">
      <c r="A611" s="153"/>
      <c r="B611" s="229"/>
      <c r="C611" s="230"/>
      <c r="D611" s="231"/>
      <c r="E611" s="157"/>
      <c r="F611" s="12"/>
      <c r="G611" s="158"/>
    </row>
    <row r="612">
      <c r="A612" s="153"/>
      <c r="B612" s="229"/>
      <c r="C612" s="230"/>
      <c r="D612" s="231"/>
      <c r="E612" s="157"/>
      <c r="F612" s="12"/>
      <c r="G612" s="158"/>
    </row>
    <row r="613">
      <c r="A613" s="153"/>
      <c r="B613" s="229"/>
      <c r="C613" s="230"/>
      <c r="D613" s="231"/>
      <c r="E613" s="157"/>
      <c r="F613" s="12"/>
      <c r="G613" s="158"/>
    </row>
    <row r="614">
      <c r="A614" s="153"/>
      <c r="B614" s="229"/>
      <c r="C614" s="230"/>
      <c r="D614" s="231"/>
      <c r="E614" s="157"/>
      <c r="F614" s="12"/>
      <c r="G614" s="158"/>
    </row>
    <row r="615">
      <c r="A615" s="153"/>
      <c r="B615" s="229"/>
      <c r="C615" s="230"/>
      <c r="D615" s="231"/>
      <c r="E615" s="157"/>
      <c r="F615" s="12"/>
      <c r="G615" s="158"/>
    </row>
    <row r="616">
      <c r="A616" s="153"/>
      <c r="B616" s="229"/>
      <c r="C616" s="230"/>
      <c r="D616" s="231"/>
      <c r="E616" s="157"/>
      <c r="F616" s="12"/>
      <c r="G616" s="158"/>
    </row>
    <row r="617">
      <c r="A617" s="153"/>
      <c r="B617" s="229"/>
      <c r="C617" s="230"/>
      <c r="D617" s="231"/>
      <c r="E617" s="157"/>
      <c r="F617" s="12"/>
      <c r="G617" s="158"/>
    </row>
    <row r="618">
      <c r="A618" s="153"/>
      <c r="B618" s="229"/>
      <c r="C618" s="230"/>
      <c r="D618" s="231"/>
      <c r="E618" s="157"/>
      <c r="F618" s="12"/>
      <c r="G618" s="158"/>
    </row>
    <row r="619">
      <c r="A619" s="153"/>
      <c r="B619" s="229"/>
      <c r="C619" s="230"/>
      <c r="D619" s="231"/>
      <c r="E619" s="157"/>
      <c r="F619" s="12"/>
      <c r="G619" s="158"/>
    </row>
    <row r="620">
      <c r="A620" s="153"/>
      <c r="B620" s="229"/>
      <c r="C620" s="230"/>
      <c r="D620" s="231"/>
      <c r="E620" s="157"/>
      <c r="F620" s="12"/>
      <c r="G620" s="158"/>
    </row>
    <row r="621">
      <c r="A621" s="153"/>
      <c r="B621" s="229"/>
      <c r="C621" s="230"/>
      <c r="D621" s="231"/>
      <c r="E621" s="157"/>
      <c r="F621" s="12"/>
      <c r="G621" s="158"/>
    </row>
    <row r="622">
      <c r="A622" s="153"/>
      <c r="B622" s="229"/>
      <c r="C622" s="230"/>
      <c r="D622" s="231"/>
      <c r="E622" s="157"/>
      <c r="F622" s="12"/>
      <c r="G622" s="158"/>
    </row>
    <row r="623">
      <c r="A623" s="153"/>
      <c r="B623" s="229"/>
      <c r="C623" s="230"/>
      <c r="D623" s="231"/>
      <c r="E623" s="157"/>
      <c r="F623" s="12"/>
      <c r="G623" s="158"/>
    </row>
    <row r="624">
      <c r="A624" s="153"/>
      <c r="B624" s="229"/>
      <c r="C624" s="230"/>
      <c r="D624" s="231"/>
      <c r="E624" s="157"/>
      <c r="F624" s="12"/>
      <c r="G624" s="158"/>
    </row>
    <row r="625">
      <c r="A625" s="153"/>
      <c r="B625" s="229"/>
      <c r="C625" s="230"/>
      <c r="D625" s="231"/>
      <c r="E625" s="157"/>
      <c r="F625" s="12"/>
      <c r="G625" s="158"/>
    </row>
    <row r="626">
      <c r="A626" s="153"/>
      <c r="B626" s="229"/>
      <c r="C626" s="230"/>
      <c r="D626" s="231"/>
      <c r="E626" s="157"/>
      <c r="F626" s="12"/>
      <c r="G626" s="158"/>
    </row>
    <row r="627">
      <c r="A627" s="153"/>
      <c r="B627" s="229"/>
      <c r="C627" s="230"/>
      <c r="D627" s="231"/>
      <c r="E627" s="157"/>
      <c r="F627" s="12"/>
      <c r="G627" s="158"/>
    </row>
    <row r="628">
      <c r="A628" s="153"/>
      <c r="B628" s="229"/>
      <c r="C628" s="230"/>
      <c r="D628" s="231"/>
      <c r="E628" s="157"/>
      <c r="F628" s="12"/>
      <c r="G628" s="158"/>
    </row>
    <row r="629">
      <c r="A629" s="153"/>
      <c r="B629" s="229"/>
      <c r="C629" s="230"/>
      <c r="D629" s="231"/>
      <c r="E629" s="157"/>
      <c r="F629" s="12"/>
      <c r="G629" s="158"/>
    </row>
    <row r="630">
      <c r="A630" s="153"/>
      <c r="B630" s="229"/>
      <c r="C630" s="230"/>
      <c r="D630" s="231"/>
      <c r="E630" s="157"/>
      <c r="F630" s="12"/>
      <c r="G630" s="158"/>
    </row>
    <row r="631">
      <c r="A631" s="153"/>
      <c r="B631" s="229"/>
      <c r="C631" s="230"/>
      <c r="D631" s="231"/>
      <c r="E631" s="157"/>
      <c r="F631" s="12"/>
      <c r="G631" s="158"/>
    </row>
    <row r="632">
      <c r="A632" s="153"/>
      <c r="B632" s="229"/>
      <c r="C632" s="230"/>
      <c r="D632" s="231"/>
      <c r="E632" s="157"/>
      <c r="F632" s="12"/>
      <c r="G632" s="158"/>
    </row>
    <row r="633">
      <c r="A633" s="153"/>
      <c r="B633" s="229"/>
      <c r="C633" s="230"/>
      <c r="D633" s="231"/>
      <c r="E633" s="157"/>
      <c r="F633" s="12"/>
      <c r="G633" s="158"/>
    </row>
    <row r="634">
      <c r="A634" s="153"/>
      <c r="B634" s="229"/>
      <c r="C634" s="230"/>
      <c r="D634" s="231"/>
      <c r="E634" s="157"/>
      <c r="F634" s="12"/>
      <c r="G634" s="158"/>
    </row>
    <row r="635">
      <c r="A635" s="153"/>
      <c r="B635" s="229"/>
      <c r="C635" s="230"/>
      <c r="D635" s="231"/>
      <c r="E635" s="157"/>
      <c r="F635" s="12"/>
      <c r="G635" s="158"/>
    </row>
    <row r="636">
      <c r="A636" s="153"/>
      <c r="B636" s="229"/>
      <c r="C636" s="230"/>
      <c r="D636" s="231"/>
      <c r="E636" s="157"/>
      <c r="F636" s="12"/>
      <c r="G636" s="158"/>
    </row>
    <row r="637">
      <c r="A637" s="153"/>
      <c r="B637" s="229"/>
      <c r="C637" s="230"/>
      <c r="D637" s="231"/>
      <c r="E637" s="157"/>
      <c r="F637" s="12"/>
      <c r="G637" s="158"/>
    </row>
    <row r="638">
      <c r="A638" s="153"/>
      <c r="B638" s="229"/>
      <c r="C638" s="230"/>
      <c r="D638" s="231"/>
      <c r="E638" s="157"/>
      <c r="F638" s="12"/>
      <c r="G638" s="158"/>
    </row>
    <row r="639">
      <c r="A639" s="153"/>
      <c r="B639" s="229"/>
      <c r="C639" s="230"/>
      <c r="D639" s="231"/>
      <c r="E639" s="157"/>
      <c r="F639" s="12"/>
      <c r="G639" s="158"/>
    </row>
    <row r="640">
      <c r="A640" s="153"/>
      <c r="B640" s="229"/>
      <c r="C640" s="230"/>
      <c r="D640" s="231"/>
      <c r="E640" s="157"/>
      <c r="F640" s="12"/>
      <c r="G640" s="158"/>
    </row>
    <row r="641">
      <c r="A641" s="153"/>
      <c r="B641" s="229"/>
      <c r="C641" s="230"/>
      <c r="D641" s="231"/>
      <c r="E641" s="157"/>
      <c r="F641" s="12"/>
      <c r="G641" s="158"/>
    </row>
    <row r="642">
      <c r="A642" s="153"/>
      <c r="B642" s="229"/>
      <c r="C642" s="230"/>
      <c r="D642" s="231"/>
      <c r="E642" s="157"/>
      <c r="F642" s="12"/>
      <c r="G642" s="158"/>
    </row>
    <row r="643">
      <c r="A643" s="153"/>
      <c r="B643" s="229"/>
      <c r="C643" s="230"/>
      <c r="D643" s="231"/>
      <c r="E643" s="157"/>
      <c r="F643" s="12"/>
      <c r="G643" s="158"/>
    </row>
    <row r="644">
      <c r="A644" s="153"/>
      <c r="B644" s="229"/>
      <c r="C644" s="230"/>
      <c r="D644" s="231"/>
      <c r="E644" s="157"/>
      <c r="F644" s="12"/>
      <c r="G644" s="158"/>
    </row>
    <row r="645">
      <c r="A645" s="153"/>
      <c r="B645" s="229"/>
      <c r="C645" s="230"/>
      <c r="D645" s="231"/>
      <c r="E645" s="157"/>
      <c r="F645" s="12"/>
      <c r="G645" s="158"/>
    </row>
    <row r="646">
      <c r="A646" s="153"/>
      <c r="B646" s="229"/>
      <c r="C646" s="230"/>
      <c r="D646" s="231"/>
      <c r="E646" s="157"/>
      <c r="F646" s="12"/>
      <c r="G646" s="158"/>
    </row>
    <row r="647">
      <c r="A647" s="153"/>
      <c r="B647" s="229"/>
      <c r="C647" s="230"/>
      <c r="D647" s="231"/>
      <c r="E647" s="157"/>
      <c r="F647" s="12"/>
      <c r="G647" s="158"/>
    </row>
    <row r="648">
      <c r="A648" s="153"/>
      <c r="B648" s="229"/>
      <c r="C648" s="230"/>
      <c r="D648" s="231"/>
      <c r="E648" s="157"/>
      <c r="F648" s="12"/>
      <c r="G648" s="158"/>
    </row>
    <row r="649">
      <c r="A649" s="153"/>
      <c r="B649" s="229"/>
      <c r="C649" s="230"/>
      <c r="D649" s="231"/>
      <c r="E649" s="157"/>
      <c r="F649" s="12"/>
      <c r="G649" s="158"/>
    </row>
    <row r="650">
      <c r="A650" s="153"/>
      <c r="B650" s="229"/>
      <c r="C650" s="230"/>
      <c r="D650" s="231"/>
      <c r="E650" s="157"/>
      <c r="F650" s="12"/>
      <c r="G650" s="158"/>
    </row>
    <row r="651">
      <c r="A651" s="153"/>
      <c r="B651" s="229"/>
      <c r="C651" s="230"/>
      <c r="D651" s="231"/>
      <c r="E651" s="157"/>
      <c r="F651" s="12"/>
      <c r="G651" s="158"/>
    </row>
    <row r="652">
      <c r="A652" s="153"/>
      <c r="B652" s="229"/>
      <c r="C652" s="230"/>
      <c r="D652" s="231"/>
      <c r="E652" s="157"/>
      <c r="F652" s="12"/>
      <c r="G652" s="158"/>
    </row>
    <row r="653">
      <c r="A653" s="153"/>
      <c r="B653" s="229"/>
      <c r="C653" s="230"/>
      <c r="D653" s="231"/>
      <c r="E653" s="157"/>
      <c r="F653" s="12"/>
      <c r="G653" s="158"/>
    </row>
    <row r="654">
      <c r="A654" s="153"/>
      <c r="B654" s="229"/>
      <c r="C654" s="230"/>
      <c r="D654" s="231"/>
      <c r="E654" s="157"/>
      <c r="F654" s="12"/>
      <c r="G654" s="158"/>
    </row>
    <row r="655">
      <c r="A655" s="153"/>
      <c r="B655" s="229"/>
      <c r="C655" s="230"/>
      <c r="D655" s="231"/>
      <c r="E655" s="157"/>
      <c r="F655" s="12"/>
      <c r="G655" s="158"/>
    </row>
    <row r="656">
      <c r="A656" s="153"/>
      <c r="B656" s="229"/>
      <c r="C656" s="230"/>
      <c r="D656" s="231"/>
      <c r="E656" s="157"/>
      <c r="F656" s="12"/>
      <c r="G656" s="158"/>
    </row>
    <row r="657">
      <c r="A657" s="153"/>
      <c r="B657" s="229"/>
      <c r="C657" s="230"/>
      <c r="D657" s="231"/>
      <c r="E657" s="157"/>
      <c r="F657" s="12"/>
      <c r="G657" s="158"/>
    </row>
    <row r="658">
      <c r="A658" s="153"/>
      <c r="B658" s="229"/>
      <c r="C658" s="230"/>
      <c r="D658" s="231"/>
      <c r="E658" s="157"/>
      <c r="F658" s="12"/>
      <c r="G658" s="158"/>
    </row>
    <row r="659">
      <c r="A659" s="153"/>
      <c r="B659" s="229"/>
      <c r="C659" s="230"/>
      <c r="D659" s="231"/>
      <c r="E659" s="157"/>
      <c r="F659" s="12"/>
      <c r="G659" s="158"/>
    </row>
    <row r="660">
      <c r="A660" s="153"/>
      <c r="B660" s="229"/>
      <c r="C660" s="230"/>
      <c r="D660" s="231"/>
      <c r="E660" s="157"/>
      <c r="F660" s="12"/>
      <c r="G660" s="158"/>
    </row>
    <row r="661">
      <c r="A661" s="153"/>
      <c r="B661" s="229"/>
      <c r="C661" s="230"/>
      <c r="D661" s="231"/>
      <c r="E661" s="157"/>
      <c r="F661" s="12"/>
      <c r="G661" s="158"/>
    </row>
    <row r="662">
      <c r="A662" s="153"/>
      <c r="B662" s="229"/>
      <c r="C662" s="230"/>
      <c r="D662" s="231"/>
      <c r="E662" s="157"/>
      <c r="F662" s="12"/>
      <c r="G662" s="158"/>
    </row>
    <row r="663">
      <c r="A663" s="153"/>
      <c r="B663" s="229"/>
      <c r="C663" s="230"/>
      <c r="D663" s="231"/>
      <c r="E663" s="157"/>
      <c r="F663" s="12"/>
      <c r="G663" s="158"/>
    </row>
    <row r="664">
      <c r="A664" s="153"/>
      <c r="B664" s="229"/>
      <c r="C664" s="230"/>
      <c r="D664" s="231"/>
      <c r="E664" s="157"/>
      <c r="F664" s="12"/>
      <c r="G664" s="158"/>
    </row>
    <row r="665">
      <c r="A665" s="153"/>
      <c r="B665" s="229"/>
      <c r="C665" s="230"/>
      <c r="D665" s="231"/>
      <c r="E665" s="157"/>
      <c r="F665" s="12"/>
      <c r="G665" s="158"/>
    </row>
    <row r="666">
      <c r="A666" s="153"/>
      <c r="B666" s="229"/>
      <c r="C666" s="230"/>
      <c r="D666" s="231"/>
      <c r="E666" s="157"/>
      <c r="F666" s="12"/>
      <c r="G666" s="158"/>
    </row>
    <row r="667">
      <c r="A667" s="153"/>
      <c r="B667" s="229"/>
      <c r="C667" s="230"/>
      <c r="D667" s="231"/>
      <c r="E667" s="157"/>
      <c r="F667" s="12"/>
      <c r="G667" s="158"/>
    </row>
    <row r="668">
      <c r="A668" s="153"/>
      <c r="B668" s="229"/>
      <c r="C668" s="230"/>
      <c r="D668" s="231"/>
      <c r="E668" s="157"/>
      <c r="F668" s="12"/>
      <c r="G668" s="158"/>
    </row>
    <row r="669">
      <c r="A669" s="153"/>
      <c r="B669" s="229"/>
      <c r="C669" s="230"/>
      <c r="D669" s="231"/>
      <c r="E669" s="157"/>
      <c r="F669" s="12"/>
      <c r="G669" s="158"/>
    </row>
    <row r="670">
      <c r="A670" s="153"/>
      <c r="B670" s="229"/>
      <c r="C670" s="230"/>
      <c r="D670" s="231"/>
      <c r="E670" s="157"/>
      <c r="F670" s="12"/>
      <c r="G670" s="158"/>
    </row>
    <row r="671">
      <c r="A671" s="153"/>
      <c r="B671" s="229"/>
      <c r="C671" s="230"/>
      <c r="D671" s="231"/>
      <c r="E671" s="157"/>
      <c r="F671" s="12"/>
      <c r="G671" s="158"/>
    </row>
    <row r="672">
      <c r="A672" s="153"/>
      <c r="B672" s="229"/>
      <c r="C672" s="230"/>
      <c r="D672" s="231"/>
      <c r="E672" s="157"/>
      <c r="F672" s="12"/>
      <c r="G672" s="158"/>
    </row>
    <row r="673">
      <c r="A673" s="153"/>
      <c r="B673" s="229"/>
      <c r="C673" s="230"/>
      <c r="D673" s="231"/>
      <c r="E673" s="157"/>
      <c r="F673" s="12"/>
      <c r="G673" s="158"/>
    </row>
    <row r="674">
      <c r="A674" s="153"/>
      <c r="B674" s="229"/>
      <c r="C674" s="230"/>
      <c r="D674" s="231"/>
      <c r="E674" s="157"/>
      <c r="F674" s="12"/>
      <c r="G674" s="158"/>
    </row>
    <row r="675">
      <c r="A675" s="153"/>
      <c r="B675" s="229"/>
      <c r="C675" s="230"/>
      <c r="D675" s="231"/>
      <c r="E675" s="157"/>
      <c r="F675" s="12"/>
      <c r="G675" s="158"/>
    </row>
    <row r="676">
      <c r="A676" s="153"/>
      <c r="B676" s="229"/>
      <c r="C676" s="230"/>
      <c r="D676" s="231"/>
      <c r="E676" s="157"/>
      <c r="F676" s="12"/>
      <c r="G676" s="158"/>
    </row>
    <row r="677">
      <c r="A677" s="153"/>
      <c r="B677" s="229"/>
      <c r="C677" s="230"/>
      <c r="D677" s="231"/>
      <c r="E677" s="157"/>
      <c r="F677" s="12"/>
      <c r="G677" s="158"/>
    </row>
    <row r="678">
      <c r="A678" s="153"/>
      <c r="B678" s="229"/>
      <c r="C678" s="230"/>
      <c r="D678" s="231"/>
      <c r="E678" s="157"/>
      <c r="F678" s="12"/>
      <c r="G678" s="158"/>
    </row>
    <row r="679">
      <c r="A679" s="153"/>
      <c r="B679" s="229"/>
      <c r="C679" s="230"/>
      <c r="D679" s="231"/>
      <c r="E679" s="157"/>
      <c r="F679" s="12"/>
      <c r="G679" s="158"/>
    </row>
    <row r="680">
      <c r="A680" s="153"/>
      <c r="B680" s="229"/>
      <c r="C680" s="230"/>
      <c r="D680" s="231"/>
      <c r="E680" s="157"/>
      <c r="F680" s="12"/>
      <c r="G680" s="158"/>
    </row>
    <row r="681">
      <c r="A681" s="153"/>
      <c r="B681" s="229"/>
      <c r="C681" s="230"/>
      <c r="D681" s="231"/>
      <c r="E681" s="157"/>
      <c r="F681" s="12"/>
      <c r="G681" s="158"/>
    </row>
    <row r="682">
      <c r="A682" s="153"/>
      <c r="B682" s="229"/>
      <c r="C682" s="230"/>
      <c r="D682" s="231"/>
      <c r="E682" s="157"/>
      <c r="F682" s="12"/>
      <c r="G682" s="158"/>
    </row>
    <row r="683">
      <c r="A683" s="153"/>
      <c r="B683" s="229"/>
      <c r="C683" s="230"/>
      <c r="D683" s="231"/>
      <c r="E683" s="157"/>
      <c r="F683" s="12"/>
      <c r="G683" s="158"/>
    </row>
    <row r="684">
      <c r="A684" s="153"/>
      <c r="B684" s="229"/>
      <c r="C684" s="230"/>
      <c r="D684" s="231"/>
      <c r="E684" s="157"/>
      <c r="F684" s="12"/>
      <c r="G684" s="158"/>
    </row>
    <row r="685">
      <c r="A685" s="153"/>
      <c r="B685" s="229"/>
      <c r="C685" s="230"/>
      <c r="D685" s="231"/>
      <c r="E685" s="157"/>
      <c r="F685" s="12"/>
      <c r="G685" s="158"/>
    </row>
    <row r="686">
      <c r="A686" s="153"/>
      <c r="B686" s="229"/>
      <c r="C686" s="230"/>
      <c r="D686" s="231"/>
      <c r="E686" s="157"/>
      <c r="F686" s="12"/>
      <c r="G686" s="158"/>
    </row>
    <row r="687">
      <c r="A687" s="153"/>
      <c r="B687" s="229"/>
      <c r="C687" s="230"/>
      <c r="D687" s="231"/>
      <c r="E687" s="157"/>
      <c r="F687" s="12"/>
      <c r="G687" s="158"/>
    </row>
    <row r="688">
      <c r="A688" s="153"/>
      <c r="B688" s="229"/>
      <c r="C688" s="230"/>
      <c r="D688" s="231"/>
      <c r="E688" s="157"/>
      <c r="F688" s="12"/>
      <c r="G688" s="158"/>
    </row>
    <row r="689">
      <c r="A689" s="153"/>
      <c r="B689" s="229"/>
      <c r="C689" s="230"/>
      <c r="D689" s="231"/>
      <c r="E689" s="157"/>
      <c r="F689" s="12"/>
      <c r="G689" s="158"/>
    </row>
    <row r="690">
      <c r="A690" s="153"/>
      <c r="B690" s="229"/>
      <c r="C690" s="230"/>
      <c r="D690" s="231"/>
      <c r="E690" s="157"/>
      <c r="F690" s="12"/>
      <c r="G690" s="158"/>
    </row>
    <row r="691">
      <c r="A691" s="153"/>
      <c r="B691" s="229"/>
      <c r="C691" s="230"/>
      <c r="D691" s="231"/>
      <c r="E691" s="157"/>
      <c r="F691" s="12"/>
      <c r="G691" s="158"/>
    </row>
    <row r="692">
      <c r="A692" s="153"/>
      <c r="B692" s="229"/>
      <c r="C692" s="230"/>
      <c r="D692" s="231"/>
      <c r="E692" s="157"/>
      <c r="F692" s="12"/>
      <c r="G692" s="158"/>
    </row>
    <row r="693">
      <c r="A693" s="153"/>
      <c r="B693" s="229"/>
      <c r="C693" s="230"/>
      <c r="D693" s="231"/>
      <c r="E693" s="157"/>
      <c r="F693" s="12"/>
      <c r="G693" s="158"/>
    </row>
    <row r="694">
      <c r="A694" s="153"/>
      <c r="B694" s="229"/>
      <c r="C694" s="230"/>
      <c r="D694" s="231"/>
      <c r="E694" s="157"/>
      <c r="F694" s="12"/>
      <c r="G694" s="158"/>
    </row>
    <row r="695">
      <c r="A695" s="153"/>
      <c r="B695" s="229"/>
      <c r="C695" s="230"/>
      <c r="D695" s="231"/>
      <c r="E695" s="157"/>
      <c r="F695" s="12"/>
      <c r="G695" s="158"/>
    </row>
    <row r="696">
      <c r="A696" s="153"/>
      <c r="B696" s="229"/>
      <c r="C696" s="230"/>
      <c r="D696" s="231"/>
      <c r="E696" s="157"/>
      <c r="F696" s="12"/>
      <c r="G696" s="158"/>
    </row>
    <row r="697">
      <c r="A697" s="153"/>
      <c r="B697" s="229"/>
      <c r="C697" s="230"/>
      <c r="D697" s="231"/>
      <c r="E697" s="157"/>
      <c r="F697" s="12"/>
      <c r="G697" s="158"/>
    </row>
    <row r="698">
      <c r="A698" s="153"/>
      <c r="B698" s="229"/>
      <c r="C698" s="230"/>
      <c r="D698" s="231"/>
      <c r="E698" s="157"/>
      <c r="F698" s="12"/>
      <c r="G698" s="158"/>
    </row>
    <row r="699">
      <c r="A699" s="153"/>
      <c r="B699" s="229"/>
      <c r="C699" s="230"/>
      <c r="D699" s="231"/>
      <c r="E699" s="157"/>
      <c r="F699" s="12"/>
      <c r="G699" s="158"/>
    </row>
    <row r="700">
      <c r="A700" s="153"/>
      <c r="B700" s="229"/>
      <c r="C700" s="230"/>
      <c r="D700" s="231"/>
      <c r="E700" s="157"/>
      <c r="F700" s="12"/>
      <c r="G700" s="158"/>
    </row>
    <row r="701">
      <c r="A701" s="153"/>
      <c r="B701" s="229"/>
      <c r="C701" s="230"/>
      <c r="D701" s="231"/>
      <c r="E701" s="157"/>
      <c r="F701" s="12"/>
      <c r="G701" s="158"/>
    </row>
    <row r="702">
      <c r="A702" s="153"/>
      <c r="B702" s="229"/>
      <c r="C702" s="230"/>
      <c r="D702" s="231"/>
      <c r="E702" s="157"/>
      <c r="F702" s="12"/>
      <c r="G702" s="158"/>
    </row>
    <row r="703">
      <c r="A703" s="153"/>
      <c r="B703" s="229"/>
      <c r="C703" s="230"/>
      <c r="D703" s="231"/>
      <c r="E703" s="157"/>
      <c r="F703" s="12"/>
      <c r="G703" s="158"/>
    </row>
    <row r="704">
      <c r="A704" s="153"/>
      <c r="B704" s="229"/>
      <c r="C704" s="230"/>
      <c r="D704" s="231"/>
      <c r="E704" s="157"/>
      <c r="F704" s="12"/>
      <c r="G704" s="158"/>
    </row>
    <row r="705">
      <c r="A705" s="153"/>
      <c r="B705" s="229"/>
      <c r="C705" s="230"/>
      <c r="D705" s="231"/>
      <c r="E705" s="157"/>
      <c r="F705" s="12"/>
      <c r="G705" s="158"/>
    </row>
    <row r="706">
      <c r="A706" s="153"/>
      <c r="B706" s="229"/>
      <c r="C706" s="230"/>
      <c r="D706" s="231"/>
      <c r="E706" s="157"/>
      <c r="F706" s="12"/>
      <c r="G706" s="158"/>
    </row>
    <row r="707">
      <c r="A707" s="153"/>
      <c r="B707" s="229"/>
      <c r="C707" s="230"/>
      <c r="D707" s="231"/>
      <c r="E707" s="157"/>
      <c r="F707" s="12"/>
      <c r="G707" s="158"/>
    </row>
    <row r="708">
      <c r="A708" s="153"/>
      <c r="B708" s="229"/>
      <c r="C708" s="230"/>
      <c r="D708" s="231"/>
      <c r="E708" s="157"/>
      <c r="F708" s="12"/>
      <c r="G708" s="158"/>
    </row>
    <row r="709">
      <c r="A709" s="153"/>
      <c r="B709" s="229"/>
      <c r="C709" s="230"/>
      <c r="D709" s="231"/>
      <c r="E709" s="157"/>
      <c r="F709" s="12"/>
      <c r="G709" s="158"/>
    </row>
    <row r="710">
      <c r="A710" s="153"/>
      <c r="B710" s="229"/>
      <c r="C710" s="230"/>
      <c r="D710" s="231"/>
      <c r="E710" s="157"/>
      <c r="F710" s="12"/>
      <c r="G710" s="158"/>
    </row>
    <row r="711">
      <c r="A711" s="153"/>
      <c r="B711" s="229"/>
      <c r="C711" s="230"/>
      <c r="D711" s="231"/>
      <c r="E711" s="157"/>
      <c r="F711" s="12"/>
      <c r="G711" s="158"/>
    </row>
    <row r="712">
      <c r="A712" s="153"/>
      <c r="B712" s="229"/>
      <c r="C712" s="230"/>
      <c r="D712" s="231"/>
      <c r="E712" s="157"/>
      <c r="F712" s="12"/>
      <c r="G712" s="158"/>
    </row>
    <row r="713">
      <c r="A713" s="153"/>
      <c r="B713" s="229"/>
      <c r="C713" s="230"/>
      <c r="D713" s="231"/>
      <c r="E713" s="157"/>
      <c r="F713" s="12"/>
      <c r="G713" s="158"/>
    </row>
    <row r="714">
      <c r="A714" s="153"/>
      <c r="B714" s="229"/>
      <c r="C714" s="230"/>
      <c r="D714" s="231"/>
      <c r="E714" s="157"/>
      <c r="F714" s="12"/>
      <c r="G714" s="158"/>
    </row>
    <row r="715">
      <c r="A715" s="153"/>
      <c r="B715" s="229"/>
      <c r="C715" s="230"/>
      <c r="D715" s="231"/>
      <c r="E715" s="157"/>
      <c r="F715" s="12"/>
      <c r="G715" s="158"/>
    </row>
    <row r="716">
      <c r="A716" s="153"/>
      <c r="B716" s="229"/>
      <c r="C716" s="230"/>
      <c r="D716" s="231"/>
      <c r="E716" s="157"/>
      <c r="F716" s="12"/>
      <c r="G716" s="158"/>
    </row>
    <row r="717">
      <c r="A717" s="153"/>
      <c r="B717" s="229"/>
      <c r="C717" s="230"/>
      <c r="D717" s="231"/>
      <c r="E717" s="157"/>
      <c r="F717" s="12"/>
      <c r="G717" s="158"/>
    </row>
    <row r="718">
      <c r="A718" s="153"/>
      <c r="B718" s="229"/>
      <c r="C718" s="230"/>
      <c r="D718" s="231"/>
      <c r="E718" s="157"/>
      <c r="F718" s="12"/>
      <c r="G718" s="158"/>
    </row>
    <row r="719">
      <c r="A719" s="153"/>
      <c r="B719" s="229"/>
      <c r="C719" s="230"/>
      <c r="D719" s="231"/>
      <c r="E719" s="157"/>
      <c r="F719" s="12"/>
      <c r="G719" s="158"/>
    </row>
    <row r="720">
      <c r="A720" s="153"/>
      <c r="B720" s="229"/>
      <c r="C720" s="230"/>
      <c r="D720" s="231"/>
      <c r="E720" s="157"/>
      <c r="F720" s="12"/>
      <c r="G720" s="158"/>
    </row>
    <row r="721">
      <c r="A721" s="153"/>
      <c r="B721" s="229"/>
      <c r="C721" s="230"/>
      <c r="D721" s="231"/>
      <c r="E721" s="157"/>
      <c r="F721" s="12"/>
      <c r="G721" s="158"/>
    </row>
    <row r="722">
      <c r="A722" s="153"/>
      <c r="B722" s="229"/>
      <c r="C722" s="230"/>
      <c r="D722" s="231"/>
      <c r="E722" s="157"/>
      <c r="F722" s="12"/>
      <c r="G722" s="158"/>
    </row>
    <row r="723">
      <c r="A723" s="153"/>
      <c r="B723" s="229"/>
      <c r="C723" s="230"/>
      <c r="D723" s="231"/>
      <c r="E723" s="157"/>
      <c r="F723" s="12"/>
      <c r="G723" s="158"/>
    </row>
    <row r="724">
      <c r="A724" s="153"/>
      <c r="B724" s="229"/>
      <c r="C724" s="230"/>
      <c r="D724" s="231"/>
      <c r="E724" s="157"/>
      <c r="F724" s="12"/>
      <c r="G724" s="158"/>
    </row>
    <row r="725">
      <c r="A725" s="153"/>
      <c r="B725" s="229"/>
      <c r="C725" s="230"/>
      <c r="D725" s="231"/>
      <c r="E725" s="157"/>
      <c r="F725" s="12"/>
      <c r="G725" s="158"/>
    </row>
    <row r="726">
      <c r="A726" s="153"/>
      <c r="B726" s="229"/>
      <c r="C726" s="230"/>
      <c r="D726" s="231"/>
      <c r="E726" s="157"/>
      <c r="F726" s="12"/>
      <c r="G726" s="158"/>
    </row>
    <row r="727">
      <c r="A727" s="153"/>
      <c r="B727" s="229"/>
      <c r="C727" s="230"/>
      <c r="D727" s="231"/>
      <c r="E727" s="157"/>
      <c r="F727" s="12"/>
      <c r="G727" s="158"/>
    </row>
    <row r="728">
      <c r="A728" s="153"/>
      <c r="B728" s="229"/>
      <c r="C728" s="230"/>
      <c r="D728" s="231"/>
      <c r="E728" s="157"/>
      <c r="F728" s="12"/>
      <c r="G728" s="158"/>
    </row>
    <row r="729">
      <c r="A729" s="153"/>
      <c r="B729" s="229"/>
      <c r="C729" s="230"/>
      <c r="D729" s="231"/>
      <c r="E729" s="157"/>
      <c r="F729" s="12"/>
      <c r="G729" s="158"/>
    </row>
    <row r="730">
      <c r="A730" s="153"/>
      <c r="B730" s="229"/>
      <c r="C730" s="230"/>
      <c r="D730" s="231"/>
      <c r="E730" s="157"/>
      <c r="F730" s="12"/>
      <c r="G730" s="158"/>
    </row>
    <row r="731">
      <c r="A731" s="153"/>
      <c r="B731" s="229"/>
      <c r="C731" s="230"/>
      <c r="D731" s="231"/>
      <c r="E731" s="157"/>
      <c r="F731" s="12"/>
      <c r="G731" s="158"/>
    </row>
    <row r="732">
      <c r="A732" s="153"/>
      <c r="B732" s="229"/>
      <c r="C732" s="230"/>
      <c r="D732" s="231"/>
      <c r="E732" s="157"/>
      <c r="F732" s="12"/>
      <c r="G732" s="158"/>
    </row>
    <row r="733">
      <c r="A733" s="153"/>
      <c r="B733" s="229"/>
      <c r="C733" s="230"/>
      <c r="D733" s="231"/>
      <c r="E733" s="157"/>
      <c r="F733" s="12"/>
      <c r="G733" s="158"/>
    </row>
    <row r="734">
      <c r="A734" s="153"/>
      <c r="B734" s="229"/>
      <c r="C734" s="230"/>
      <c r="D734" s="231"/>
      <c r="E734" s="157"/>
      <c r="F734" s="12"/>
      <c r="G734" s="158"/>
    </row>
    <row r="735">
      <c r="A735" s="153"/>
      <c r="B735" s="229"/>
      <c r="C735" s="230"/>
      <c r="D735" s="231"/>
      <c r="E735" s="157"/>
      <c r="F735" s="12"/>
      <c r="G735" s="158"/>
    </row>
    <row r="736">
      <c r="A736" s="153"/>
      <c r="B736" s="229"/>
      <c r="C736" s="230"/>
      <c r="D736" s="231"/>
      <c r="E736" s="157"/>
      <c r="F736" s="12"/>
      <c r="G736" s="158"/>
    </row>
    <row r="737">
      <c r="A737" s="153"/>
      <c r="B737" s="229"/>
      <c r="C737" s="230"/>
      <c r="D737" s="231"/>
      <c r="E737" s="157"/>
      <c r="F737" s="12"/>
      <c r="G737" s="158"/>
    </row>
    <row r="738">
      <c r="A738" s="153"/>
      <c r="B738" s="229"/>
      <c r="C738" s="230"/>
      <c r="D738" s="231"/>
      <c r="E738" s="157"/>
      <c r="F738" s="12"/>
      <c r="G738" s="158"/>
    </row>
    <row r="739">
      <c r="A739" s="153"/>
      <c r="B739" s="229"/>
      <c r="C739" s="230"/>
      <c r="D739" s="231"/>
      <c r="E739" s="157"/>
      <c r="F739" s="12"/>
      <c r="G739" s="158"/>
    </row>
    <row r="740">
      <c r="A740" s="153"/>
      <c r="B740" s="229"/>
      <c r="C740" s="230"/>
      <c r="D740" s="231"/>
      <c r="E740" s="157"/>
      <c r="F740" s="12"/>
      <c r="G740" s="158"/>
    </row>
    <row r="741">
      <c r="A741" s="153"/>
      <c r="B741" s="229"/>
      <c r="C741" s="230"/>
      <c r="D741" s="231"/>
      <c r="E741" s="157"/>
      <c r="F741" s="12"/>
      <c r="G741" s="158"/>
    </row>
    <row r="742">
      <c r="A742" s="153"/>
      <c r="B742" s="229"/>
      <c r="C742" s="230"/>
      <c r="D742" s="231"/>
      <c r="E742" s="157"/>
      <c r="F742" s="12"/>
      <c r="G742" s="158"/>
    </row>
    <row r="743">
      <c r="A743" s="153"/>
      <c r="B743" s="229"/>
      <c r="C743" s="230"/>
      <c r="D743" s="231"/>
      <c r="E743" s="157"/>
      <c r="F743" s="12"/>
      <c r="G743" s="158"/>
    </row>
    <row r="744">
      <c r="A744" s="153"/>
      <c r="B744" s="229"/>
      <c r="C744" s="230"/>
      <c r="D744" s="231"/>
      <c r="E744" s="157"/>
      <c r="F744" s="12"/>
      <c r="G744" s="158"/>
    </row>
    <row r="745">
      <c r="A745" s="153"/>
      <c r="B745" s="229"/>
      <c r="C745" s="230"/>
      <c r="D745" s="231"/>
      <c r="E745" s="157"/>
      <c r="F745" s="12"/>
      <c r="G745" s="158"/>
    </row>
    <row r="746">
      <c r="A746" s="153"/>
      <c r="B746" s="229"/>
      <c r="C746" s="230"/>
      <c r="D746" s="231"/>
      <c r="E746" s="157"/>
      <c r="F746" s="12"/>
      <c r="G746" s="158"/>
    </row>
    <row r="747">
      <c r="A747" s="153"/>
      <c r="B747" s="229"/>
      <c r="C747" s="230"/>
      <c r="D747" s="231"/>
      <c r="E747" s="157"/>
      <c r="F747" s="12"/>
      <c r="G747" s="158"/>
    </row>
    <row r="748">
      <c r="A748" s="153"/>
      <c r="B748" s="229"/>
      <c r="C748" s="230"/>
      <c r="D748" s="231"/>
      <c r="E748" s="157"/>
      <c r="F748" s="12"/>
      <c r="G748" s="158"/>
    </row>
    <row r="749">
      <c r="A749" s="153"/>
      <c r="B749" s="229"/>
      <c r="C749" s="230"/>
      <c r="D749" s="231"/>
      <c r="E749" s="157"/>
      <c r="F749" s="12"/>
      <c r="G749" s="158"/>
    </row>
    <row r="750">
      <c r="A750" s="153"/>
      <c r="B750" s="229"/>
      <c r="C750" s="230"/>
      <c r="D750" s="231"/>
      <c r="E750" s="157"/>
      <c r="F750" s="12"/>
      <c r="G750" s="158"/>
    </row>
    <row r="751">
      <c r="A751" s="153"/>
      <c r="B751" s="229"/>
      <c r="C751" s="230"/>
      <c r="D751" s="231"/>
      <c r="E751" s="157"/>
      <c r="F751" s="12"/>
      <c r="G751" s="158"/>
    </row>
    <row r="752">
      <c r="A752" s="153"/>
      <c r="B752" s="229"/>
      <c r="C752" s="230"/>
      <c r="D752" s="231"/>
      <c r="E752" s="157"/>
      <c r="F752" s="12"/>
      <c r="G752" s="158"/>
    </row>
    <row r="753">
      <c r="A753" s="153"/>
      <c r="B753" s="229"/>
      <c r="C753" s="230"/>
      <c r="D753" s="231"/>
      <c r="E753" s="157"/>
      <c r="F753" s="12"/>
      <c r="G753" s="158"/>
    </row>
    <row r="754">
      <c r="A754" s="153"/>
      <c r="B754" s="229"/>
      <c r="C754" s="230"/>
      <c r="D754" s="231"/>
      <c r="E754" s="157"/>
      <c r="F754" s="12"/>
      <c r="G754" s="158"/>
    </row>
    <row r="755">
      <c r="A755" s="153"/>
      <c r="B755" s="229"/>
      <c r="C755" s="230"/>
      <c r="D755" s="231"/>
      <c r="E755" s="157"/>
      <c r="F755" s="12"/>
      <c r="G755" s="158"/>
    </row>
    <row r="756">
      <c r="A756" s="153"/>
      <c r="B756" s="229"/>
      <c r="C756" s="230"/>
      <c r="D756" s="231"/>
      <c r="E756" s="157"/>
      <c r="F756" s="12"/>
      <c r="G756" s="158"/>
    </row>
    <row r="757">
      <c r="A757" s="153"/>
      <c r="B757" s="229"/>
      <c r="C757" s="230"/>
      <c r="D757" s="231"/>
      <c r="E757" s="157"/>
      <c r="F757" s="12"/>
      <c r="G757" s="158"/>
    </row>
    <row r="758">
      <c r="A758" s="153"/>
      <c r="B758" s="229"/>
      <c r="C758" s="230"/>
      <c r="D758" s="231"/>
      <c r="E758" s="157"/>
      <c r="F758" s="12"/>
      <c r="G758" s="158"/>
    </row>
    <row r="759">
      <c r="A759" s="153"/>
      <c r="B759" s="229"/>
      <c r="C759" s="230"/>
      <c r="D759" s="231"/>
      <c r="E759" s="157"/>
      <c r="F759" s="12"/>
      <c r="G759" s="158"/>
    </row>
    <row r="760">
      <c r="A760" s="153"/>
      <c r="B760" s="229"/>
      <c r="C760" s="230"/>
      <c r="D760" s="231"/>
      <c r="E760" s="157"/>
      <c r="F760" s="12"/>
      <c r="G760" s="158"/>
    </row>
    <row r="761">
      <c r="A761" s="153"/>
      <c r="B761" s="229"/>
      <c r="C761" s="230"/>
      <c r="D761" s="231"/>
      <c r="E761" s="157"/>
      <c r="F761" s="12"/>
      <c r="G761" s="158"/>
    </row>
    <row r="762">
      <c r="A762" s="153"/>
      <c r="B762" s="229"/>
      <c r="C762" s="230"/>
      <c r="D762" s="231"/>
      <c r="E762" s="157"/>
      <c r="F762" s="12"/>
      <c r="G762" s="158"/>
    </row>
    <row r="763">
      <c r="A763" s="153"/>
      <c r="B763" s="229"/>
      <c r="C763" s="230"/>
      <c r="D763" s="231"/>
      <c r="E763" s="157"/>
      <c r="F763" s="12"/>
      <c r="G763" s="158"/>
    </row>
    <row r="764">
      <c r="A764" s="153"/>
      <c r="B764" s="229"/>
      <c r="C764" s="230"/>
      <c r="D764" s="231"/>
      <c r="E764" s="157"/>
      <c r="F764" s="12"/>
      <c r="G764" s="158"/>
    </row>
    <row r="765">
      <c r="A765" s="153"/>
      <c r="B765" s="229"/>
      <c r="C765" s="230"/>
      <c r="D765" s="231"/>
      <c r="E765" s="157"/>
      <c r="F765" s="12"/>
      <c r="G765" s="158"/>
    </row>
    <row r="766">
      <c r="A766" s="153"/>
      <c r="B766" s="229"/>
      <c r="C766" s="230"/>
      <c r="D766" s="231"/>
      <c r="E766" s="157"/>
      <c r="F766" s="12"/>
      <c r="G766" s="158"/>
    </row>
    <row r="767">
      <c r="A767" s="153"/>
      <c r="B767" s="229"/>
      <c r="C767" s="230"/>
      <c r="D767" s="231"/>
      <c r="E767" s="157"/>
      <c r="F767" s="12"/>
      <c r="G767" s="158"/>
    </row>
    <row r="768">
      <c r="A768" s="153"/>
      <c r="B768" s="229"/>
      <c r="C768" s="230"/>
      <c r="D768" s="231"/>
      <c r="E768" s="157"/>
      <c r="F768" s="12"/>
      <c r="G768" s="158"/>
    </row>
    <row r="769">
      <c r="A769" s="153"/>
      <c r="B769" s="229"/>
      <c r="C769" s="230"/>
      <c r="D769" s="231"/>
      <c r="E769" s="157"/>
      <c r="F769" s="12"/>
      <c r="G769" s="158"/>
    </row>
    <row r="770">
      <c r="A770" s="153"/>
      <c r="B770" s="229"/>
      <c r="C770" s="230"/>
      <c r="D770" s="231"/>
      <c r="E770" s="157"/>
      <c r="F770" s="12"/>
      <c r="G770" s="158"/>
    </row>
    <row r="771">
      <c r="A771" s="153"/>
      <c r="B771" s="229"/>
      <c r="C771" s="230"/>
      <c r="D771" s="231"/>
      <c r="E771" s="157"/>
      <c r="F771" s="12"/>
      <c r="G771" s="158"/>
    </row>
    <row r="772">
      <c r="A772" s="153"/>
      <c r="B772" s="229"/>
      <c r="C772" s="230"/>
      <c r="D772" s="231"/>
      <c r="E772" s="157"/>
      <c r="F772" s="12"/>
      <c r="G772" s="158"/>
    </row>
    <row r="773">
      <c r="A773" s="153"/>
      <c r="B773" s="229"/>
      <c r="C773" s="230"/>
      <c r="D773" s="231"/>
      <c r="E773" s="157"/>
      <c r="F773" s="12"/>
      <c r="G773" s="158"/>
    </row>
    <row r="774">
      <c r="A774" s="153"/>
      <c r="B774" s="229"/>
      <c r="C774" s="230"/>
      <c r="D774" s="231"/>
      <c r="E774" s="157"/>
      <c r="F774" s="12"/>
      <c r="G774" s="158"/>
    </row>
    <row r="775">
      <c r="A775" s="153"/>
      <c r="B775" s="229"/>
      <c r="C775" s="230"/>
      <c r="D775" s="231"/>
      <c r="E775" s="157"/>
      <c r="F775" s="12"/>
      <c r="G775" s="158"/>
    </row>
    <row r="776">
      <c r="A776" s="153"/>
      <c r="B776" s="229"/>
      <c r="C776" s="230"/>
      <c r="D776" s="231"/>
      <c r="E776" s="157"/>
      <c r="F776" s="12"/>
      <c r="G776" s="158"/>
    </row>
    <row r="777">
      <c r="A777" s="153"/>
      <c r="B777" s="229"/>
      <c r="C777" s="230"/>
      <c r="D777" s="231"/>
      <c r="E777" s="157"/>
      <c r="F777" s="12"/>
      <c r="G777" s="158"/>
    </row>
    <row r="778">
      <c r="A778" s="153"/>
      <c r="B778" s="229"/>
      <c r="C778" s="230"/>
      <c r="D778" s="231"/>
      <c r="E778" s="157"/>
      <c r="F778" s="12"/>
      <c r="G778" s="158"/>
    </row>
    <row r="779">
      <c r="A779" s="153"/>
      <c r="B779" s="229"/>
      <c r="C779" s="230"/>
      <c r="D779" s="231"/>
      <c r="E779" s="157"/>
      <c r="F779" s="12"/>
      <c r="G779" s="158"/>
    </row>
    <row r="780">
      <c r="A780" s="153"/>
      <c r="B780" s="229"/>
      <c r="C780" s="230"/>
      <c r="D780" s="231"/>
      <c r="E780" s="157"/>
      <c r="F780" s="12"/>
      <c r="G780" s="158"/>
    </row>
    <row r="781">
      <c r="A781" s="153"/>
      <c r="B781" s="229"/>
      <c r="C781" s="230"/>
      <c r="D781" s="231"/>
      <c r="E781" s="157"/>
      <c r="F781" s="12"/>
      <c r="G781" s="158"/>
    </row>
    <row r="782">
      <c r="A782" s="153"/>
      <c r="B782" s="229"/>
      <c r="C782" s="230"/>
      <c r="D782" s="231"/>
      <c r="E782" s="157"/>
      <c r="F782" s="12"/>
      <c r="G782" s="158"/>
    </row>
    <row r="783">
      <c r="A783" s="153"/>
      <c r="B783" s="229"/>
      <c r="C783" s="230"/>
      <c r="D783" s="231"/>
      <c r="E783" s="157"/>
      <c r="F783" s="12"/>
      <c r="G783" s="158"/>
    </row>
    <row r="784">
      <c r="A784" s="153"/>
      <c r="B784" s="229"/>
      <c r="C784" s="230"/>
      <c r="D784" s="231"/>
      <c r="E784" s="157"/>
      <c r="F784" s="12"/>
      <c r="G784" s="158"/>
    </row>
    <row r="785">
      <c r="A785" s="153"/>
      <c r="B785" s="229"/>
      <c r="C785" s="230"/>
      <c r="D785" s="231"/>
      <c r="E785" s="157"/>
      <c r="F785" s="12"/>
      <c r="G785" s="158"/>
    </row>
    <row r="786">
      <c r="A786" s="153"/>
      <c r="B786" s="229"/>
      <c r="C786" s="230"/>
      <c r="D786" s="231"/>
      <c r="E786" s="157"/>
      <c r="F786" s="12"/>
      <c r="G786" s="158"/>
    </row>
    <row r="787">
      <c r="A787" s="153"/>
      <c r="B787" s="229"/>
      <c r="C787" s="230"/>
      <c r="D787" s="231"/>
      <c r="E787" s="157"/>
      <c r="F787" s="12"/>
      <c r="G787" s="158"/>
    </row>
    <row r="788">
      <c r="A788" s="153"/>
      <c r="B788" s="229"/>
      <c r="C788" s="230"/>
      <c r="D788" s="231"/>
      <c r="E788" s="157"/>
      <c r="F788" s="12"/>
      <c r="G788" s="158"/>
    </row>
    <row r="789">
      <c r="A789" s="153"/>
      <c r="B789" s="229"/>
      <c r="C789" s="230"/>
      <c r="D789" s="231"/>
      <c r="E789" s="157"/>
      <c r="F789" s="12"/>
      <c r="G789" s="158"/>
    </row>
    <row r="790">
      <c r="A790" s="153"/>
      <c r="B790" s="229"/>
      <c r="C790" s="230"/>
      <c r="D790" s="231"/>
      <c r="E790" s="157"/>
      <c r="F790" s="12"/>
      <c r="G790" s="158"/>
    </row>
    <row r="791">
      <c r="A791" s="153"/>
      <c r="B791" s="229"/>
      <c r="C791" s="230"/>
      <c r="D791" s="231"/>
      <c r="E791" s="157"/>
      <c r="F791" s="12"/>
      <c r="G791" s="158"/>
    </row>
    <row r="792">
      <c r="A792" s="153"/>
      <c r="B792" s="229"/>
      <c r="C792" s="230"/>
      <c r="D792" s="231"/>
      <c r="E792" s="157"/>
      <c r="F792" s="12"/>
      <c r="G792" s="158"/>
    </row>
    <row r="793">
      <c r="A793" s="153"/>
      <c r="B793" s="229"/>
      <c r="C793" s="230"/>
      <c r="D793" s="231"/>
      <c r="E793" s="157"/>
      <c r="F793" s="12"/>
      <c r="G793" s="158"/>
    </row>
    <row r="794">
      <c r="A794" s="153"/>
      <c r="B794" s="229"/>
      <c r="C794" s="230"/>
      <c r="D794" s="231"/>
      <c r="E794" s="157"/>
      <c r="F794" s="12"/>
      <c r="G794" s="158"/>
    </row>
    <row r="795">
      <c r="A795" s="153"/>
      <c r="B795" s="229"/>
      <c r="C795" s="230"/>
      <c r="D795" s="231"/>
      <c r="E795" s="157"/>
      <c r="F795" s="12"/>
      <c r="G795" s="158"/>
    </row>
    <row r="796">
      <c r="A796" s="153"/>
      <c r="B796" s="229"/>
      <c r="C796" s="230"/>
      <c r="D796" s="231"/>
      <c r="E796" s="157"/>
      <c r="F796" s="12"/>
      <c r="G796" s="158"/>
    </row>
    <row r="797">
      <c r="A797" s="153"/>
      <c r="B797" s="229"/>
      <c r="C797" s="230"/>
      <c r="D797" s="231"/>
      <c r="E797" s="157"/>
      <c r="F797" s="12"/>
      <c r="G797" s="158"/>
    </row>
    <row r="798">
      <c r="A798" s="153"/>
      <c r="B798" s="229"/>
      <c r="C798" s="230"/>
      <c r="D798" s="231"/>
      <c r="E798" s="157"/>
      <c r="F798" s="12"/>
      <c r="G798" s="158"/>
    </row>
    <row r="799">
      <c r="A799" s="153"/>
      <c r="B799" s="229"/>
      <c r="C799" s="230"/>
      <c r="D799" s="231"/>
      <c r="E799" s="157"/>
      <c r="F799" s="12"/>
      <c r="G799" s="158"/>
    </row>
    <row r="800">
      <c r="A800" s="153"/>
      <c r="B800" s="229"/>
      <c r="C800" s="230"/>
      <c r="D800" s="231"/>
      <c r="E800" s="157"/>
      <c r="F800" s="12"/>
      <c r="G800" s="158"/>
    </row>
    <row r="801">
      <c r="A801" s="153"/>
      <c r="B801" s="229"/>
      <c r="C801" s="230"/>
      <c r="D801" s="231"/>
      <c r="E801" s="157"/>
      <c r="F801" s="12"/>
      <c r="G801" s="158"/>
    </row>
    <row r="802">
      <c r="A802" s="153"/>
      <c r="B802" s="229"/>
      <c r="C802" s="230"/>
      <c r="D802" s="231"/>
      <c r="E802" s="157"/>
      <c r="F802" s="12"/>
      <c r="G802" s="158"/>
    </row>
    <row r="803">
      <c r="A803" s="153"/>
      <c r="B803" s="229"/>
      <c r="C803" s="230"/>
      <c r="D803" s="231"/>
      <c r="E803" s="157"/>
      <c r="F803" s="12"/>
      <c r="G803" s="158"/>
    </row>
    <row r="804">
      <c r="A804" s="153"/>
      <c r="B804" s="229"/>
      <c r="C804" s="230"/>
      <c r="D804" s="231"/>
      <c r="E804" s="157"/>
      <c r="F804" s="12"/>
      <c r="G804" s="158"/>
    </row>
    <row r="805">
      <c r="A805" s="153"/>
      <c r="B805" s="229"/>
      <c r="C805" s="230"/>
      <c r="D805" s="231"/>
      <c r="E805" s="157"/>
      <c r="F805" s="12"/>
      <c r="G805" s="158"/>
    </row>
    <row r="806">
      <c r="A806" s="153"/>
      <c r="B806" s="229"/>
      <c r="C806" s="230"/>
      <c r="D806" s="231"/>
      <c r="E806" s="157"/>
      <c r="F806" s="12"/>
      <c r="G806" s="158"/>
    </row>
    <row r="807">
      <c r="A807" s="153"/>
      <c r="B807" s="229"/>
      <c r="C807" s="230"/>
      <c r="D807" s="231"/>
      <c r="E807" s="157"/>
      <c r="F807" s="12"/>
      <c r="G807" s="158"/>
    </row>
    <row r="808">
      <c r="A808" s="153"/>
      <c r="B808" s="229"/>
      <c r="C808" s="230"/>
      <c r="D808" s="231"/>
      <c r="E808" s="157"/>
      <c r="F808" s="12"/>
      <c r="G808" s="158"/>
    </row>
    <row r="809">
      <c r="A809" s="153"/>
      <c r="B809" s="229"/>
      <c r="C809" s="230"/>
      <c r="D809" s="231"/>
      <c r="E809" s="157"/>
      <c r="F809" s="12"/>
      <c r="G809" s="158"/>
    </row>
    <row r="810">
      <c r="A810" s="153"/>
      <c r="B810" s="229"/>
      <c r="C810" s="230"/>
      <c r="D810" s="231"/>
      <c r="E810" s="157"/>
      <c r="F810" s="12"/>
      <c r="G810" s="158"/>
    </row>
    <row r="811">
      <c r="A811" s="153"/>
      <c r="B811" s="229"/>
      <c r="C811" s="230"/>
      <c r="D811" s="231"/>
      <c r="E811" s="157"/>
      <c r="F811" s="12"/>
      <c r="G811" s="158"/>
    </row>
    <row r="812">
      <c r="A812" s="153"/>
      <c r="B812" s="229"/>
      <c r="C812" s="230"/>
      <c r="D812" s="231"/>
      <c r="E812" s="157"/>
      <c r="F812" s="12"/>
      <c r="G812" s="158"/>
    </row>
    <row r="813">
      <c r="A813" s="153"/>
      <c r="B813" s="229"/>
      <c r="C813" s="230"/>
      <c r="D813" s="231"/>
      <c r="E813" s="157"/>
      <c r="F813" s="12"/>
      <c r="G813" s="158"/>
    </row>
    <row r="814">
      <c r="A814" s="153"/>
      <c r="B814" s="229"/>
      <c r="C814" s="230"/>
      <c r="D814" s="231"/>
      <c r="E814" s="157"/>
      <c r="F814" s="12"/>
      <c r="G814" s="158"/>
    </row>
    <row r="815">
      <c r="A815" s="153"/>
      <c r="B815" s="229"/>
      <c r="C815" s="230"/>
      <c r="D815" s="231"/>
      <c r="E815" s="157"/>
      <c r="F815" s="12"/>
      <c r="G815" s="158"/>
    </row>
    <row r="816">
      <c r="A816" s="153"/>
      <c r="B816" s="229"/>
      <c r="C816" s="230"/>
      <c r="D816" s="231"/>
      <c r="E816" s="157"/>
      <c r="F816" s="12"/>
      <c r="G816" s="158"/>
    </row>
    <row r="817">
      <c r="A817" s="153"/>
      <c r="B817" s="229"/>
      <c r="C817" s="230"/>
      <c r="D817" s="231"/>
      <c r="E817" s="157"/>
      <c r="F817" s="12"/>
      <c r="G817" s="158"/>
    </row>
    <row r="818">
      <c r="A818" s="153"/>
      <c r="B818" s="229"/>
      <c r="C818" s="230"/>
      <c r="D818" s="231"/>
      <c r="E818" s="157"/>
      <c r="F818" s="12"/>
      <c r="G818" s="158"/>
    </row>
    <row r="819">
      <c r="A819" s="153"/>
      <c r="B819" s="229"/>
      <c r="C819" s="230"/>
      <c r="D819" s="231"/>
      <c r="E819" s="157"/>
      <c r="F819" s="12"/>
      <c r="G819" s="158"/>
    </row>
    <row r="820">
      <c r="A820" s="153"/>
      <c r="B820" s="229"/>
      <c r="C820" s="230"/>
      <c r="D820" s="231"/>
      <c r="E820" s="157"/>
      <c r="F820" s="12"/>
      <c r="G820" s="158"/>
    </row>
    <row r="821">
      <c r="A821" s="153"/>
      <c r="B821" s="229"/>
      <c r="C821" s="230"/>
      <c r="D821" s="231"/>
      <c r="E821" s="157"/>
      <c r="F821" s="12"/>
      <c r="G821" s="158"/>
    </row>
    <row r="822">
      <c r="A822" s="153"/>
      <c r="B822" s="229"/>
      <c r="C822" s="230"/>
      <c r="D822" s="231"/>
      <c r="E822" s="157"/>
      <c r="F822" s="12"/>
      <c r="G822" s="158"/>
    </row>
    <row r="823">
      <c r="A823" s="153"/>
      <c r="B823" s="229"/>
      <c r="C823" s="230"/>
      <c r="D823" s="231"/>
      <c r="E823" s="157"/>
      <c r="F823" s="12"/>
      <c r="G823" s="158"/>
    </row>
    <row r="824">
      <c r="A824" s="153"/>
      <c r="B824" s="229"/>
      <c r="C824" s="230"/>
      <c r="D824" s="231"/>
      <c r="E824" s="157"/>
      <c r="F824" s="12"/>
      <c r="G824" s="158"/>
    </row>
    <row r="825">
      <c r="A825" s="153"/>
      <c r="B825" s="229"/>
      <c r="C825" s="230"/>
      <c r="D825" s="231"/>
      <c r="E825" s="157"/>
      <c r="F825" s="12"/>
      <c r="G825" s="158"/>
    </row>
    <row r="826">
      <c r="A826" s="153"/>
      <c r="B826" s="229"/>
      <c r="C826" s="230"/>
      <c r="D826" s="231"/>
      <c r="E826" s="157"/>
      <c r="F826" s="12"/>
      <c r="G826" s="158"/>
    </row>
    <row r="827">
      <c r="A827" s="153"/>
      <c r="B827" s="229"/>
      <c r="C827" s="230"/>
      <c r="D827" s="231"/>
      <c r="E827" s="157"/>
      <c r="F827" s="12"/>
      <c r="G827" s="158"/>
    </row>
    <row r="828">
      <c r="A828" s="153"/>
      <c r="B828" s="229"/>
      <c r="C828" s="230"/>
      <c r="D828" s="231"/>
      <c r="E828" s="157"/>
      <c r="F828" s="12"/>
      <c r="G828" s="158"/>
    </row>
    <row r="829">
      <c r="A829" s="153"/>
      <c r="B829" s="229"/>
      <c r="C829" s="230"/>
      <c r="D829" s="231"/>
      <c r="E829" s="157"/>
      <c r="F829" s="12"/>
      <c r="G829" s="158"/>
    </row>
    <row r="830">
      <c r="A830" s="153"/>
      <c r="B830" s="229"/>
      <c r="C830" s="230"/>
      <c r="D830" s="231"/>
      <c r="E830" s="157"/>
      <c r="F830" s="12"/>
      <c r="G830" s="158"/>
    </row>
    <row r="831">
      <c r="A831" s="153"/>
      <c r="B831" s="229"/>
      <c r="C831" s="230"/>
      <c r="D831" s="231"/>
      <c r="E831" s="157"/>
      <c r="F831" s="12"/>
      <c r="G831" s="158"/>
    </row>
    <row r="832">
      <c r="A832" s="153"/>
      <c r="B832" s="229"/>
      <c r="C832" s="230"/>
      <c r="D832" s="231"/>
      <c r="E832" s="157"/>
      <c r="F832" s="12"/>
      <c r="G832" s="158"/>
    </row>
    <row r="833">
      <c r="A833" s="153"/>
      <c r="B833" s="229"/>
      <c r="C833" s="230"/>
      <c r="D833" s="231"/>
      <c r="E833" s="157"/>
      <c r="F833" s="12"/>
      <c r="G833" s="158"/>
    </row>
    <row r="834">
      <c r="A834" s="153"/>
      <c r="B834" s="229"/>
      <c r="C834" s="230"/>
      <c r="D834" s="231"/>
      <c r="E834" s="157"/>
      <c r="F834" s="12"/>
      <c r="G834" s="158"/>
    </row>
    <row r="835">
      <c r="A835" s="153"/>
      <c r="B835" s="229"/>
      <c r="C835" s="230"/>
      <c r="D835" s="231"/>
      <c r="E835" s="157"/>
      <c r="F835" s="12"/>
      <c r="G835" s="158"/>
    </row>
    <row r="836">
      <c r="A836" s="153"/>
      <c r="B836" s="229"/>
      <c r="C836" s="230"/>
      <c r="D836" s="231"/>
      <c r="E836" s="157"/>
      <c r="F836" s="12"/>
      <c r="G836" s="158"/>
    </row>
    <row r="837">
      <c r="A837" s="153"/>
      <c r="B837" s="229"/>
      <c r="C837" s="230"/>
      <c r="D837" s="231"/>
      <c r="E837" s="157"/>
      <c r="F837" s="12"/>
      <c r="G837" s="158"/>
    </row>
    <row r="838">
      <c r="A838" s="153"/>
      <c r="B838" s="229"/>
      <c r="C838" s="230"/>
      <c r="D838" s="231"/>
      <c r="E838" s="157"/>
      <c r="F838" s="12"/>
      <c r="G838" s="158"/>
    </row>
    <row r="839">
      <c r="A839" s="153"/>
      <c r="B839" s="229"/>
      <c r="C839" s="230"/>
      <c r="D839" s="231"/>
      <c r="E839" s="157"/>
      <c r="F839" s="12"/>
      <c r="G839" s="158"/>
    </row>
    <row r="840">
      <c r="A840" s="153"/>
      <c r="B840" s="229"/>
      <c r="C840" s="230"/>
      <c r="D840" s="231"/>
      <c r="E840" s="157"/>
      <c r="F840" s="12"/>
      <c r="G840" s="158"/>
    </row>
    <row r="841">
      <c r="A841" s="153"/>
      <c r="B841" s="229"/>
      <c r="C841" s="230"/>
      <c r="D841" s="231"/>
      <c r="E841" s="157"/>
      <c r="F841" s="12"/>
      <c r="G841" s="158"/>
    </row>
    <row r="842">
      <c r="A842" s="153"/>
      <c r="B842" s="229"/>
      <c r="C842" s="230"/>
      <c r="D842" s="231"/>
      <c r="E842" s="157"/>
      <c r="F842" s="12"/>
      <c r="G842" s="158"/>
    </row>
    <row r="843">
      <c r="A843" s="153"/>
      <c r="B843" s="229"/>
      <c r="C843" s="230"/>
      <c r="D843" s="231"/>
      <c r="E843" s="157"/>
      <c r="F843" s="12"/>
      <c r="G843" s="158"/>
    </row>
    <row r="844">
      <c r="A844" s="153"/>
      <c r="B844" s="229"/>
      <c r="C844" s="230"/>
      <c r="D844" s="231"/>
      <c r="E844" s="157"/>
      <c r="F844" s="12"/>
      <c r="G844" s="158"/>
    </row>
    <row r="845">
      <c r="A845" s="153"/>
      <c r="B845" s="229"/>
      <c r="C845" s="230"/>
      <c r="D845" s="231"/>
      <c r="E845" s="157"/>
      <c r="F845" s="12"/>
      <c r="G845" s="158"/>
    </row>
    <row r="846">
      <c r="A846" s="153"/>
      <c r="B846" s="229"/>
      <c r="C846" s="230"/>
      <c r="D846" s="231"/>
      <c r="E846" s="157"/>
      <c r="F846" s="12"/>
      <c r="G846" s="158"/>
    </row>
    <row r="847">
      <c r="A847" s="153"/>
      <c r="B847" s="229"/>
      <c r="C847" s="230"/>
      <c r="D847" s="231"/>
      <c r="E847" s="157"/>
      <c r="F847" s="12"/>
      <c r="G847" s="158"/>
    </row>
    <row r="848">
      <c r="A848" s="153"/>
      <c r="B848" s="229"/>
      <c r="C848" s="230"/>
      <c r="D848" s="231"/>
      <c r="E848" s="157"/>
      <c r="F848" s="12"/>
      <c r="G848" s="158"/>
    </row>
    <row r="849">
      <c r="A849" s="153"/>
      <c r="B849" s="229"/>
      <c r="C849" s="230"/>
      <c r="D849" s="231"/>
      <c r="E849" s="157"/>
      <c r="F849" s="12"/>
      <c r="G849" s="158"/>
    </row>
    <row r="850">
      <c r="A850" s="153"/>
      <c r="B850" s="229"/>
      <c r="C850" s="230"/>
      <c r="D850" s="231"/>
      <c r="E850" s="157"/>
      <c r="F850" s="12"/>
      <c r="G850" s="158"/>
    </row>
    <row r="851">
      <c r="A851" s="153"/>
      <c r="B851" s="229"/>
      <c r="C851" s="230"/>
      <c r="D851" s="231"/>
      <c r="E851" s="157"/>
      <c r="F851" s="12"/>
      <c r="G851" s="158"/>
    </row>
    <row r="852">
      <c r="A852" s="153"/>
      <c r="B852" s="229"/>
      <c r="C852" s="230"/>
      <c r="D852" s="231"/>
      <c r="E852" s="157"/>
      <c r="F852" s="12"/>
      <c r="G852" s="158"/>
    </row>
    <row r="853">
      <c r="A853" s="153"/>
      <c r="B853" s="229"/>
      <c r="C853" s="230"/>
      <c r="D853" s="231"/>
      <c r="E853" s="157"/>
      <c r="F853" s="12"/>
      <c r="G853" s="158"/>
    </row>
    <row r="854">
      <c r="A854" s="153"/>
      <c r="B854" s="229"/>
      <c r="C854" s="230"/>
      <c r="D854" s="231"/>
      <c r="E854" s="157"/>
      <c r="F854" s="12"/>
      <c r="G854" s="158"/>
    </row>
    <row r="855">
      <c r="A855" s="153"/>
      <c r="B855" s="229"/>
      <c r="C855" s="230"/>
      <c r="D855" s="231"/>
      <c r="E855" s="157"/>
      <c r="F855" s="12"/>
      <c r="G855" s="158"/>
    </row>
    <row r="856">
      <c r="A856" s="153"/>
      <c r="B856" s="229"/>
      <c r="C856" s="230"/>
      <c r="D856" s="231"/>
      <c r="E856" s="157"/>
      <c r="F856" s="12"/>
      <c r="G856" s="158"/>
    </row>
    <row r="857">
      <c r="A857" s="153"/>
      <c r="B857" s="229"/>
      <c r="C857" s="230"/>
      <c r="D857" s="231"/>
      <c r="E857" s="157"/>
      <c r="F857" s="12"/>
      <c r="G857" s="158"/>
    </row>
    <row r="858">
      <c r="A858" s="153"/>
      <c r="B858" s="229"/>
      <c r="C858" s="230"/>
      <c r="D858" s="231"/>
      <c r="E858" s="157"/>
      <c r="F858" s="12"/>
      <c r="G858" s="158"/>
    </row>
    <row r="859">
      <c r="A859" s="153"/>
      <c r="B859" s="229"/>
      <c r="C859" s="230"/>
      <c r="D859" s="231"/>
      <c r="E859" s="157"/>
      <c r="F859" s="12"/>
      <c r="G859" s="158"/>
    </row>
    <row r="860">
      <c r="A860" s="153"/>
      <c r="B860" s="229"/>
      <c r="C860" s="230"/>
      <c r="D860" s="231"/>
      <c r="E860" s="157"/>
      <c r="F860" s="12"/>
      <c r="G860" s="158"/>
    </row>
    <row r="861">
      <c r="A861" s="153"/>
      <c r="B861" s="229"/>
      <c r="C861" s="230"/>
      <c r="D861" s="231"/>
      <c r="E861" s="157"/>
      <c r="F861" s="12"/>
      <c r="G861" s="158"/>
    </row>
    <row r="862">
      <c r="A862" s="153"/>
      <c r="B862" s="229"/>
      <c r="C862" s="230"/>
      <c r="D862" s="231"/>
      <c r="E862" s="157"/>
      <c r="F862" s="12"/>
      <c r="G862" s="158"/>
    </row>
    <row r="863">
      <c r="A863" s="153"/>
      <c r="B863" s="229"/>
      <c r="C863" s="230"/>
      <c r="D863" s="231"/>
      <c r="E863" s="157"/>
      <c r="F863" s="12"/>
      <c r="G863" s="158"/>
    </row>
    <row r="864">
      <c r="A864" s="153"/>
      <c r="B864" s="229"/>
      <c r="C864" s="230"/>
      <c r="D864" s="231"/>
      <c r="E864" s="157"/>
      <c r="F864" s="12"/>
      <c r="G864" s="158"/>
    </row>
    <row r="865">
      <c r="A865" s="153"/>
      <c r="B865" s="229"/>
      <c r="C865" s="230"/>
      <c r="D865" s="231"/>
      <c r="E865" s="157"/>
      <c r="F865" s="12"/>
      <c r="G865" s="158"/>
    </row>
    <row r="866">
      <c r="A866" s="153"/>
      <c r="B866" s="229"/>
      <c r="C866" s="230"/>
      <c r="D866" s="231"/>
      <c r="E866" s="157"/>
      <c r="F866" s="12"/>
      <c r="G866" s="158"/>
    </row>
    <row r="867">
      <c r="A867" s="153"/>
      <c r="B867" s="229"/>
      <c r="C867" s="230"/>
      <c r="D867" s="231"/>
      <c r="E867" s="157"/>
      <c r="F867" s="12"/>
      <c r="G867" s="158"/>
    </row>
    <row r="868">
      <c r="A868" s="153"/>
      <c r="B868" s="229"/>
      <c r="C868" s="230"/>
      <c r="D868" s="231"/>
      <c r="E868" s="157"/>
      <c r="F868" s="12"/>
      <c r="G868" s="158"/>
    </row>
    <row r="869">
      <c r="A869" s="153"/>
      <c r="B869" s="229"/>
      <c r="C869" s="230"/>
      <c r="D869" s="231"/>
      <c r="E869" s="157"/>
      <c r="F869" s="12"/>
      <c r="G869" s="158"/>
    </row>
    <row r="870">
      <c r="A870" s="153"/>
      <c r="B870" s="229"/>
      <c r="C870" s="230"/>
      <c r="D870" s="231"/>
      <c r="E870" s="157"/>
      <c r="F870" s="12"/>
      <c r="G870" s="158"/>
    </row>
    <row r="871">
      <c r="A871" s="153"/>
      <c r="B871" s="229"/>
      <c r="C871" s="230"/>
      <c r="D871" s="231"/>
      <c r="E871" s="157"/>
      <c r="F871" s="12"/>
      <c r="G871" s="158"/>
    </row>
    <row r="872">
      <c r="A872" s="153"/>
      <c r="B872" s="229"/>
      <c r="C872" s="230"/>
      <c r="D872" s="231"/>
      <c r="E872" s="157"/>
      <c r="F872" s="12"/>
      <c r="G872" s="158"/>
    </row>
    <row r="873">
      <c r="A873" s="153"/>
      <c r="B873" s="229"/>
      <c r="C873" s="230"/>
      <c r="D873" s="231"/>
      <c r="E873" s="157"/>
      <c r="F873" s="12"/>
      <c r="G873" s="158"/>
    </row>
    <row r="874">
      <c r="A874" s="153"/>
      <c r="B874" s="229"/>
      <c r="C874" s="230"/>
      <c r="D874" s="231"/>
      <c r="E874" s="157"/>
      <c r="F874" s="12"/>
      <c r="G874" s="158"/>
    </row>
    <row r="875">
      <c r="A875" s="153"/>
      <c r="B875" s="229"/>
      <c r="C875" s="230"/>
      <c r="D875" s="231"/>
      <c r="E875" s="157"/>
      <c r="F875" s="12"/>
      <c r="G875" s="158"/>
    </row>
    <row r="876">
      <c r="A876" s="153"/>
      <c r="B876" s="229"/>
      <c r="C876" s="230"/>
      <c r="D876" s="231"/>
      <c r="E876" s="157"/>
      <c r="F876" s="12"/>
      <c r="G876" s="158"/>
    </row>
    <row r="877">
      <c r="A877" s="153"/>
      <c r="B877" s="229"/>
      <c r="C877" s="230"/>
      <c r="D877" s="231"/>
      <c r="E877" s="157"/>
      <c r="F877" s="12"/>
      <c r="G877" s="158"/>
    </row>
    <row r="878">
      <c r="A878" s="153"/>
      <c r="B878" s="229"/>
      <c r="C878" s="230"/>
      <c r="D878" s="231"/>
      <c r="E878" s="157"/>
      <c r="F878" s="12"/>
      <c r="G878" s="158"/>
    </row>
    <row r="879">
      <c r="A879" s="153"/>
      <c r="B879" s="229"/>
      <c r="C879" s="230"/>
      <c r="D879" s="231"/>
      <c r="E879" s="157"/>
      <c r="F879" s="12"/>
      <c r="G879" s="158"/>
    </row>
    <row r="880">
      <c r="A880" s="153"/>
      <c r="B880" s="229"/>
      <c r="C880" s="230"/>
      <c r="D880" s="231"/>
      <c r="E880" s="157"/>
      <c r="F880" s="12"/>
      <c r="G880" s="158"/>
    </row>
    <row r="881">
      <c r="A881" s="153"/>
      <c r="B881" s="229"/>
      <c r="C881" s="230"/>
      <c r="D881" s="231"/>
      <c r="E881" s="157"/>
      <c r="F881" s="12"/>
      <c r="G881" s="158"/>
    </row>
    <row r="882">
      <c r="A882" s="153"/>
      <c r="B882" s="229"/>
      <c r="C882" s="230"/>
      <c r="D882" s="231"/>
      <c r="E882" s="157"/>
      <c r="F882" s="12"/>
      <c r="G882" s="158"/>
    </row>
    <row r="883">
      <c r="A883" s="153"/>
      <c r="B883" s="229"/>
      <c r="C883" s="230"/>
      <c r="D883" s="231"/>
      <c r="E883" s="157"/>
      <c r="F883" s="12"/>
      <c r="G883" s="158"/>
    </row>
    <row r="884">
      <c r="A884" s="153"/>
      <c r="B884" s="229"/>
      <c r="C884" s="230"/>
      <c r="D884" s="231"/>
      <c r="E884" s="157"/>
      <c r="F884" s="12"/>
      <c r="G884" s="158"/>
    </row>
    <row r="885">
      <c r="A885" s="153"/>
      <c r="B885" s="229"/>
      <c r="C885" s="230"/>
      <c r="D885" s="231"/>
      <c r="E885" s="157"/>
      <c r="F885" s="12"/>
      <c r="G885" s="158"/>
    </row>
    <row r="886">
      <c r="A886" s="153"/>
      <c r="B886" s="229"/>
      <c r="C886" s="230"/>
      <c r="D886" s="231"/>
      <c r="E886" s="157"/>
      <c r="F886" s="12"/>
      <c r="G886" s="158"/>
    </row>
    <row r="887">
      <c r="A887" s="153"/>
      <c r="B887" s="229"/>
      <c r="C887" s="230"/>
      <c r="D887" s="231"/>
      <c r="E887" s="157"/>
      <c r="F887" s="12"/>
      <c r="G887" s="158"/>
    </row>
    <row r="888">
      <c r="A888" s="153"/>
      <c r="B888" s="229"/>
      <c r="C888" s="230"/>
      <c r="D888" s="231"/>
      <c r="E888" s="157"/>
      <c r="F888" s="12"/>
      <c r="G888" s="158"/>
    </row>
    <row r="889">
      <c r="A889" s="153"/>
      <c r="B889" s="229"/>
      <c r="C889" s="230"/>
      <c r="D889" s="231"/>
      <c r="E889" s="157"/>
      <c r="F889" s="12"/>
      <c r="G889" s="158"/>
    </row>
    <row r="890">
      <c r="A890" s="153"/>
      <c r="B890" s="229"/>
      <c r="C890" s="230"/>
      <c r="D890" s="231"/>
      <c r="E890" s="157"/>
      <c r="F890" s="12"/>
      <c r="G890" s="158"/>
    </row>
    <row r="891">
      <c r="A891" s="153"/>
      <c r="B891" s="229"/>
      <c r="C891" s="230"/>
      <c r="D891" s="231"/>
      <c r="E891" s="157"/>
      <c r="F891" s="12"/>
      <c r="G891" s="158"/>
    </row>
    <row r="892">
      <c r="A892" s="153"/>
      <c r="B892" s="229"/>
      <c r="C892" s="230"/>
      <c r="D892" s="231"/>
      <c r="E892" s="157"/>
      <c r="F892" s="12"/>
      <c r="G892" s="158"/>
    </row>
    <row r="893">
      <c r="A893" s="153"/>
      <c r="B893" s="229"/>
      <c r="C893" s="230"/>
      <c r="D893" s="231"/>
      <c r="E893" s="157"/>
      <c r="F893" s="12"/>
      <c r="G893" s="158"/>
    </row>
    <row r="894">
      <c r="A894" s="153"/>
      <c r="B894" s="229"/>
      <c r="C894" s="230"/>
      <c r="D894" s="231"/>
      <c r="E894" s="157"/>
      <c r="F894" s="12"/>
      <c r="G894" s="158"/>
    </row>
    <row r="895">
      <c r="A895" s="153"/>
      <c r="B895" s="229"/>
      <c r="C895" s="230"/>
      <c r="D895" s="231"/>
      <c r="E895" s="157"/>
      <c r="F895" s="12"/>
      <c r="G895" s="158"/>
    </row>
    <row r="896">
      <c r="A896" s="153"/>
      <c r="B896" s="229"/>
      <c r="C896" s="230"/>
      <c r="D896" s="231"/>
      <c r="E896" s="157"/>
      <c r="F896" s="12"/>
      <c r="G896" s="158"/>
    </row>
    <row r="897">
      <c r="A897" s="153"/>
      <c r="B897" s="229"/>
      <c r="C897" s="230"/>
      <c r="D897" s="231"/>
      <c r="E897" s="157"/>
      <c r="F897" s="12"/>
      <c r="G897" s="158"/>
    </row>
    <row r="898">
      <c r="A898" s="153"/>
      <c r="B898" s="229"/>
      <c r="C898" s="230"/>
      <c r="D898" s="231"/>
      <c r="E898" s="157"/>
      <c r="F898" s="12"/>
      <c r="G898" s="158"/>
    </row>
    <row r="899">
      <c r="A899" s="153"/>
      <c r="B899" s="229"/>
      <c r="C899" s="230"/>
      <c r="D899" s="231"/>
      <c r="E899" s="157"/>
      <c r="F899" s="12"/>
      <c r="G899" s="158"/>
    </row>
    <row r="900">
      <c r="A900" s="153"/>
      <c r="B900" s="229"/>
      <c r="C900" s="230"/>
      <c r="D900" s="231"/>
      <c r="E900" s="157"/>
      <c r="F900" s="12"/>
      <c r="G900" s="158"/>
    </row>
    <row r="901">
      <c r="A901" s="153"/>
      <c r="B901" s="229"/>
      <c r="C901" s="230"/>
      <c r="D901" s="231"/>
      <c r="E901" s="157"/>
      <c r="F901" s="12"/>
      <c r="G901" s="158"/>
    </row>
    <row r="902">
      <c r="A902" s="153"/>
      <c r="B902" s="229"/>
      <c r="C902" s="230"/>
      <c r="D902" s="231"/>
      <c r="E902" s="157"/>
      <c r="F902" s="12"/>
      <c r="G902" s="158"/>
    </row>
    <row r="903">
      <c r="A903" s="153"/>
      <c r="B903" s="229"/>
      <c r="C903" s="230"/>
      <c r="D903" s="231"/>
      <c r="E903" s="157"/>
      <c r="F903" s="12"/>
      <c r="G903" s="158"/>
    </row>
    <row r="904">
      <c r="A904" s="153"/>
      <c r="B904" s="229"/>
      <c r="C904" s="230"/>
      <c r="D904" s="231"/>
      <c r="E904" s="157"/>
      <c r="F904" s="12"/>
      <c r="G904" s="158"/>
    </row>
    <row r="905">
      <c r="A905" s="153"/>
      <c r="B905" s="229"/>
      <c r="C905" s="230"/>
      <c r="D905" s="231"/>
      <c r="E905" s="157"/>
      <c r="F905" s="12"/>
      <c r="G905" s="158"/>
    </row>
    <row r="906">
      <c r="A906" s="153"/>
      <c r="B906" s="229"/>
      <c r="C906" s="230"/>
      <c r="D906" s="231"/>
      <c r="E906" s="157"/>
      <c r="F906" s="12"/>
      <c r="G906" s="158"/>
    </row>
    <row r="907">
      <c r="A907" s="153"/>
      <c r="B907" s="229"/>
      <c r="C907" s="230"/>
      <c r="D907" s="231"/>
      <c r="E907" s="157"/>
      <c r="F907" s="12"/>
      <c r="G907" s="158"/>
    </row>
    <row r="908">
      <c r="A908" s="153"/>
      <c r="B908" s="229"/>
      <c r="C908" s="230"/>
      <c r="D908" s="231"/>
      <c r="E908" s="157"/>
      <c r="F908" s="12"/>
      <c r="G908" s="158"/>
    </row>
    <row r="909">
      <c r="A909" s="153"/>
      <c r="B909" s="229"/>
      <c r="C909" s="230"/>
      <c r="D909" s="231"/>
      <c r="E909" s="157"/>
      <c r="F909" s="12"/>
      <c r="G909" s="158"/>
    </row>
    <row r="910">
      <c r="A910" s="153"/>
      <c r="B910" s="229"/>
      <c r="C910" s="230"/>
      <c r="D910" s="231"/>
      <c r="E910" s="157"/>
      <c r="F910" s="12"/>
      <c r="G910" s="158"/>
    </row>
    <row r="911">
      <c r="A911" s="153"/>
      <c r="B911" s="229"/>
      <c r="C911" s="230"/>
      <c r="D911" s="231"/>
      <c r="E911" s="157"/>
      <c r="F911" s="12"/>
      <c r="G911" s="158"/>
    </row>
    <row r="912">
      <c r="A912" s="153"/>
      <c r="B912" s="229"/>
      <c r="C912" s="230"/>
      <c r="D912" s="231"/>
      <c r="E912" s="157"/>
      <c r="F912" s="12"/>
      <c r="G912" s="158"/>
    </row>
    <row r="913">
      <c r="A913" s="153"/>
      <c r="B913" s="229"/>
      <c r="C913" s="230"/>
      <c r="D913" s="231"/>
      <c r="E913" s="157"/>
      <c r="F913" s="12"/>
      <c r="G913" s="158"/>
    </row>
    <row r="914">
      <c r="A914" s="153"/>
      <c r="B914" s="229"/>
      <c r="C914" s="230"/>
      <c r="D914" s="231"/>
      <c r="E914" s="157"/>
      <c r="F914" s="12"/>
      <c r="G914" s="158"/>
    </row>
    <row r="915">
      <c r="A915" s="153"/>
      <c r="B915" s="229"/>
      <c r="C915" s="230"/>
      <c r="D915" s="231"/>
      <c r="E915" s="157"/>
      <c r="F915" s="12"/>
      <c r="G915" s="158"/>
    </row>
    <row r="916">
      <c r="A916" s="153"/>
      <c r="B916" s="229"/>
      <c r="C916" s="230"/>
      <c r="D916" s="231"/>
      <c r="E916" s="157"/>
      <c r="F916" s="12"/>
      <c r="G916" s="158"/>
    </row>
    <row r="917">
      <c r="A917" s="153"/>
      <c r="B917" s="229"/>
      <c r="C917" s="230"/>
      <c r="D917" s="231"/>
      <c r="E917" s="157"/>
      <c r="F917" s="12"/>
      <c r="G917" s="158"/>
    </row>
    <row r="918">
      <c r="A918" s="153"/>
      <c r="B918" s="229"/>
      <c r="C918" s="230"/>
      <c r="D918" s="231"/>
      <c r="E918" s="157"/>
      <c r="F918" s="12"/>
      <c r="G918" s="158"/>
    </row>
    <row r="919">
      <c r="A919" s="153"/>
      <c r="B919" s="229"/>
      <c r="C919" s="230"/>
      <c r="D919" s="231"/>
      <c r="E919" s="157"/>
      <c r="F919" s="12"/>
      <c r="G919" s="158"/>
    </row>
    <row r="920">
      <c r="A920" s="153"/>
      <c r="B920" s="229"/>
      <c r="C920" s="230"/>
      <c r="D920" s="231"/>
      <c r="E920" s="157"/>
      <c r="F920" s="12"/>
      <c r="G920" s="158"/>
    </row>
    <row r="921">
      <c r="A921" s="153"/>
      <c r="B921" s="229"/>
      <c r="C921" s="230"/>
      <c r="D921" s="231"/>
      <c r="E921" s="157"/>
      <c r="F921" s="12"/>
      <c r="G921" s="158"/>
    </row>
    <row r="922">
      <c r="A922" s="153"/>
      <c r="B922" s="229"/>
      <c r="C922" s="230"/>
      <c r="D922" s="231"/>
      <c r="E922" s="157"/>
      <c r="F922" s="12"/>
      <c r="G922" s="158"/>
    </row>
    <row r="923">
      <c r="A923" s="153"/>
      <c r="B923" s="229"/>
      <c r="C923" s="230"/>
      <c r="D923" s="231"/>
      <c r="E923" s="157"/>
      <c r="F923" s="12"/>
      <c r="G923" s="158"/>
    </row>
    <row r="924">
      <c r="A924" s="153"/>
      <c r="B924" s="229"/>
      <c r="C924" s="230"/>
      <c r="D924" s="231"/>
      <c r="E924" s="157"/>
      <c r="F924" s="12"/>
      <c r="G924" s="158"/>
    </row>
    <row r="925">
      <c r="A925" s="153"/>
      <c r="B925" s="229"/>
      <c r="C925" s="230"/>
      <c r="D925" s="231"/>
      <c r="E925" s="157"/>
      <c r="F925" s="12"/>
      <c r="G925" s="158"/>
    </row>
    <row r="926">
      <c r="A926" s="153"/>
      <c r="B926" s="229"/>
      <c r="C926" s="230"/>
      <c r="D926" s="231"/>
      <c r="E926" s="157"/>
      <c r="F926" s="12"/>
      <c r="G926" s="158"/>
    </row>
    <row r="927">
      <c r="A927" s="153"/>
      <c r="B927" s="229"/>
      <c r="C927" s="230"/>
      <c r="D927" s="231"/>
      <c r="E927" s="157"/>
      <c r="F927" s="12"/>
      <c r="G927" s="158"/>
    </row>
    <row r="928">
      <c r="A928" s="153"/>
      <c r="B928" s="229"/>
      <c r="C928" s="230"/>
      <c r="D928" s="231"/>
      <c r="E928" s="157"/>
      <c r="F928" s="12"/>
      <c r="G928" s="158"/>
    </row>
    <row r="929">
      <c r="A929" s="153"/>
      <c r="B929" s="229"/>
      <c r="C929" s="230"/>
      <c r="D929" s="231"/>
      <c r="E929" s="157"/>
      <c r="F929" s="12"/>
      <c r="G929" s="158"/>
    </row>
    <row r="930">
      <c r="A930" s="153"/>
      <c r="B930" s="229"/>
      <c r="C930" s="230"/>
      <c r="D930" s="231"/>
      <c r="E930" s="157"/>
      <c r="F930" s="12"/>
      <c r="G930" s="158"/>
    </row>
    <row r="931">
      <c r="A931" s="153"/>
      <c r="B931" s="229"/>
      <c r="C931" s="230"/>
      <c r="D931" s="231"/>
      <c r="E931" s="157"/>
      <c r="F931" s="12"/>
      <c r="G931" s="158"/>
    </row>
    <row r="932">
      <c r="A932" s="153"/>
      <c r="B932" s="229"/>
      <c r="C932" s="230"/>
      <c r="D932" s="231"/>
      <c r="E932" s="157"/>
      <c r="F932" s="12"/>
      <c r="G932" s="158"/>
    </row>
    <row r="933">
      <c r="A933" s="153"/>
      <c r="B933" s="229"/>
      <c r="C933" s="230"/>
      <c r="D933" s="231"/>
      <c r="E933" s="157"/>
      <c r="F933" s="12"/>
      <c r="G933" s="158"/>
    </row>
    <row r="934">
      <c r="A934" s="153"/>
      <c r="B934" s="229"/>
      <c r="C934" s="230"/>
      <c r="D934" s="231"/>
      <c r="E934" s="157"/>
      <c r="F934" s="12"/>
      <c r="G934" s="158"/>
    </row>
    <row r="935">
      <c r="A935" s="153"/>
      <c r="B935" s="229"/>
      <c r="C935" s="230"/>
      <c r="D935" s="231"/>
      <c r="E935" s="157"/>
      <c r="F935" s="12"/>
      <c r="G935" s="158"/>
    </row>
    <row r="936">
      <c r="A936" s="153"/>
      <c r="B936" s="229"/>
      <c r="C936" s="230"/>
      <c r="D936" s="231"/>
      <c r="E936" s="157"/>
      <c r="F936" s="12"/>
      <c r="G936" s="158"/>
    </row>
    <row r="937">
      <c r="A937" s="153"/>
      <c r="B937" s="229"/>
      <c r="C937" s="230"/>
      <c r="D937" s="231"/>
      <c r="E937" s="157"/>
      <c r="F937" s="12"/>
      <c r="G937" s="158"/>
    </row>
    <row r="938">
      <c r="A938" s="153"/>
      <c r="B938" s="229"/>
      <c r="C938" s="230"/>
      <c r="D938" s="231"/>
      <c r="E938" s="157"/>
      <c r="F938" s="12"/>
      <c r="G938" s="158"/>
    </row>
    <row r="939">
      <c r="A939" s="153"/>
      <c r="B939" s="229"/>
      <c r="C939" s="230"/>
      <c r="D939" s="231"/>
      <c r="E939" s="157"/>
      <c r="F939" s="12"/>
      <c r="G939" s="158"/>
    </row>
    <row r="940">
      <c r="A940" s="153"/>
      <c r="B940" s="229"/>
      <c r="C940" s="230"/>
      <c r="D940" s="231"/>
      <c r="E940" s="157"/>
      <c r="F940" s="12"/>
      <c r="G940" s="158"/>
    </row>
    <row r="941">
      <c r="A941" s="153"/>
      <c r="B941" s="229"/>
      <c r="C941" s="230"/>
      <c r="D941" s="231"/>
      <c r="E941" s="157"/>
      <c r="F941" s="12"/>
      <c r="G941" s="158"/>
    </row>
    <row r="942">
      <c r="A942" s="153"/>
      <c r="B942" s="229"/>
      <c r="C942" s="230"/>
      <c r="D942" s="231"/>
      <c r="E942" s="157"/>
      <c r="F942" s="12"/>
      <c r="G942" s="158"/>
    </row>
    <row r="943">
      <c r="A943" s="153"/>
      <c r="B943" s="229"/>
      <c r="C943" s="230"/>
      <c r="D943" s="231"/>
      <c r="E943" s="157"/>
      <c r="F943" s="12"/>
      <c r="G943" s="158"/>
    </row>
    <row r="944">
      <c r="A944" s="153"/>
      <c r="B944" s="229"/>
      <c r="C944" s="230"/>
      <c r="D944" s="231"/>
      <c r="E944" s="157"/>
      <c r="F944" s="12"/>
      <c r="G944" s="158"/>
    </row>
    <row r="945">
      <c r="A945" s="153"/>
      <c r="B945" s="229"/>
      <c r="C945" s="230"/>
      <c r="D945" s="231"/>
      <c r="E945" s="157"/>
      <c r="F945" s="12"/>
      <c r="G945" s="158"/>
    </row>
    <row r="946">
      <c r="A946" s="153"/>
      <c r="B946" s="229"/>
      <c r="C946" s="230"/>
      <c r="D946" s="231"/>
      <c r="E946" s="157"/>
      <c r="F946" s="12"/>
      <c r="G946" s="158"/>
    </row>
    <row r="947">
      <c r="A947" s="153"/>
      <c r="B947" s="229"/>
      <c r="C947" s="230"/>
      <c r="D947" s="231"/>
      <c r="E947" s="157"/>
      <c r="F947" s="12"/>
      <c r="G947" s="158"/>
    </row>
    <row r="948">
      <c r="A948" s="153"/>
      <c r="B948" s="229"/>
      <c r="C948" s="230"/>
      <c r="D948" s="231"/>
      <c r="E948" s="157"/>
      <c r="F948" s="12"/>
      <c r="G948" s="158"/>
    </row>
    <row r="949">
      <c r="A949" s="153"/>
      <c r="B949" s="229"/>
      <c r="C949" s="230"/>
      <c r="D949" s="231"/>
      <c r="E949" s="157"/>
      <c r="F949" s="12"/>
      <c r="G949" s="158"/>
    </row>
    <row r="950">
      <c r="A950" s="153"/>
      <c r="B950" s="229"/>
      <c r="C950" s="230"/>
      <c r="D950" s="231"/>
      <c r="E950" s="157"/>
      <c r="F950" s="12"/>
      <c r="G950" s="158"/>
    </row>
    <row r="951">
      <c r="A951" s="153"/>
      <c r="B951" s="229"/>
      <c r="C951" s="230"/>
      <c r="D951" s="231"/>
      <c r="E951" s="157"/>
      <c r="F951" s="12"/>
      <c r="G951" s="158"/>
    </row>
    <row r="952">
      <c r="A952" s="153"/>
      <c r="B952" s="229"/>
      <c r="C952" s="230"/>
      <c r="D952" s="231"/>
      <c r="E952" s="157"/>
      <c r="F952" s="12"/>
      <c r="G952" s="158"/>
    </row>
    <row r="953">
      <c r="A953" s="153"/>
      <c r="B953" s="229"/>
      <c r="C953" s="230"/>
      <c r="D953" s="231"/>
      <c r="E953" s="157"/>
      <c r="F953" s="12"/>
      <c r="G953" s="158"/>
    </row>
    <row r="954">
      <c r="A954" s="153"/>
      <c r="B954" s="229"/>
      <c r="C954" s="230"/>
      <c r="D954" s="231"/>
      <c r="E954" s="157"/>
      <c r="F954" s="12"/>
      <c r="G954" s="158"/>
    </row>
    <row r="955">
      <c r="A955" s="153"/>
      <c r="B955" s="229"/>
      <c r="C955" s="230"/>
      <c r="D955" s="231"/>
      <c r="E955" s="157"/>
      <c r="F955" s="12"/>
      <c r="G955" s="158"/>
    </row>
    <row r="956">
      <c r="A956" s="153"/>
      <c r="B956" s="229"/>
      <c r="C956" s="230"/>
      <c r="D956" s="231"/>
      <c r="E956" s="157"/>
      <c r="F956" s="12"/>
      <c r="G956" s="158"/>
    </row>
    <row r="957">
      <c r="A957" s="153"/>
      <c r="B957" s="229"/>
      <c r="C957" s="230"/>
      <c r="D957" s="231"/>
      <c r="E957" s="157"/>
      <c r="F957" s="12"/>
      <c r="G957" s="158"/>
    </row>
    <row r="958">
      <c r="A958" s="153"/>
      <c r="B958" s="229"/>
      <c r="C958" s="230"/>
      <c r="D958" s="231"/>
      <c r="E958" s="157"/>
      <c r="F958" s="12"/>
      <c r="G958" s="158"/>
    </row>
    <row r="959">
      <c r="A959" s="153"/>
      <c r="B959" s="229"/>
      <c r="C959" s="230"/>
      <c r="D959" s="231"/>
      <c r="E959" s="157"/>
      <c r="F959" s="12"/>
      <c r="G959" s="158"/>
    </row>
    <row r="960">
      <c r="A960" s="153"/>
      <c r="B960" s="229"/>
      <c r="C960" s="230"/>
      <c r="D960" s="231"/>
      <c r="E960" s="157"/>
      <c r="F960" s="12"/>
      <c r="G960" s="158"/>
    </row>
    <row r="961">
      <c r="A961" s="153"/>
      <c r="B961" s="229"/>
      <c r="C961" s="230"/>
      <c r="D961" s="231"/>
      <c r="E961" s="157"/>
      <c r="F961" s="12"/>
      <c r="G961" s="158"/>
    </row>
    <row r="962">
      <c r="A962" s="153"/>
      <c r="B962" s="229"/>
      <c r="C962" s="230"/>
      <c r="D962" s="231"/>
      <c r="E962" s="157"/>
      <c r="F962" s="12"/>
      <c r="G962" s="158"/>
    </row>
    <row r="963">
      <c r="A963" s="153"/>
      <c r="B963" s="229"/>
      <c r="C963" s="230"/>
      <c r="D963" s="231"/>
      <c r="E963" s="157"/>
      <c r="F963" s="12"/>
      <c r="G963" s="158"/>
    </row>
    <row r="964">
      <c r="A964" s="153"/>
      <c r="B964" s="229"/>
      <c r="C964" s="230"/>
      <c r="D964" s="231"/>
      <c r="E964" s="157"/>
      <c r="F964" s="12"/>
      <c r="G964" s="158"/>
    </row>
    <row r="965">
      <c r="A965" s="153"/>
      <c r="B965" s="229"/>
      <c r="C965" s="230"/>
      <c r="D965" s="231"/>
      <c r="E965" s="157"/>
      <c r="F965" s="12"/>
      <c r="G965" s="158"/>
    </row>
    <row r="966">
      <c r="A966" s="153"/>
      <c r="B966" s="229"/>
      <c r="C966" s="230"/>
      <c r="D966" s="231"/>
      <c r="E966" s="157"/>
      <c r="F966" s="12"/>
      <c r="G966" s="158"/>
    </row>
    <row r="967">
      <c r="A967" s="153"/>
      <c r="B967" s="229"/>
      <c r="C967" s="230"/>
      <c r="D967" s="231"/>
      <c r="E967" s="157"/>
      <c r="F967" s="12"/>
      <c r="G967" s="158"/>
    </row>
    <row r="968">
      <c r="A968" s="153"/>
      <c r="B968" s="229"/>
      <c r="C968" s="230"/>
      <c r="D968" s="231"/>
      <c r="E968" s="157"/>
      <c r="F968" s="12"/>
      <c r="G968" s="158"/>
    </row>
    <row r="969">
      <c r="A969" s="153"/>
      <c r="B969" s="229"/>
      <c r="C969" s="230"/>
      <c r="D969" s="231"/>
      <c r="E969" s="157"/>
      <c r="F969" s="12"/>
      <c r="G969" s="158"/>
    </row>
    <row r="970">
      <c r="A970" s="153"/>
      <c r="B970" s="229"/>
      <c r="C970" s="230"/>
      <c r="D970" s="231"/>
      <c r="E970" s="157"/>
      <c r="F970" s="12"/>
      <c r="G970" s="158"/>
    </row>
    <row r="971">
      <c r="A971" s="153"/>
      <c r="B971" s="229"/>
      <c r="C971" s="230"/>
      <c r="D971" s="231"/>
      <c r="E971" s="157"/>
      <c r="F971" s="12"/>
      <c r="G971" s="158"/>
    </row>
    <row r="972">
      <c r="A972" s="153"/>
      <c r="B972" s="229"/>
      <c r="C972" s="230"/>
      <c r="D972" s="231"/>
      <c r="E972" s="157"/>
      <c r="F972" s="12"/>
      <c r="G972" s="158"/>
    </row>
    <row r="973">
      <c r="A973" s="153"/>
      <c r="B973" s="229"/>
      <c r="C973" s="230"/>
      <c r="D973" s="231"/>
      <c r="E973" s="157"/>
      <c r="F973" s="12"/>
      <c r="G973" s="158"/>
    </row>
    <row r="974">
      <c r="A974" s="153"/>
      <c r="B974" s="229"/>
      <c r="C974" s="230"/>
      <c r="D974" s="231"/>
      <c r="E974" s="157"/>
      <c r="F974" s="12"/>
      <c r="G974" s="158"/>
    </row>
    <row r="975">
      <c r="A975" s="153"/>
      <c r="B975" s="229"/>
      <c r="C975" s="230"/>
      <c r="D975" s="231"/>
      <c r="E975" s="157"/>
      <c r="F975" s="12"/>
      <c r="G975" s="158"/>
    </row>
    <row r="976">
      <c r="A976" s="153"/>
      <c r="B976" s="229"/>
      <c r="C976" s="230"/>
      <c r="D976" s="231"/>
      <c r="E976" s="157"/>
      <c r="F976" s="12"/>
      <c r="G976" s="158"/>
    </row>
    <row r="977">
      <c r="A977" s="153"/>
      <c r="B977" s="229"/>
      <c r="C977" s="230"/>
      <c r="D977" s="231"/>
      <c r="E977" s="157"/>
      <c r="F977" s="12"/>
      <c r="G977" s="158"/>
    </row>
    <row r="978">
      <c r="A978" s="153"/>
      <c r="B978" s="229"/>
      <c r="C978" s="230"/>
      <c r="D978" s="231"/>
      <c r="E978" s="157"/>
      <c r="F978" s="12"/>
      <c r="G978" s="158"/>
    </row>
    <row r="979">
      <c r="A979" s="153"/>
      <c r="B979" s="229"/>
      <c r="C979" s="230"/>
      <c r="D979" s="231"/>
      <c r="E979" s="157"/>
      <c r="F979" s="12"/>
      <c r="G979" s="158"/>
    </row>
    <row r="980">
      <c r="A980" s="153"/>
      <c r="B980" s="229"/>
      <c r="C980" s="230"/>
      <c r="D980" s="231"/>
      <c r="E980" s="157"/>
      <c r="F980" s="12"/>
      <c r="G980" s="158"/>
    </row>
    <row r="981">
      <c r="A981" s="153"/>
      <c r="B981" s="229"/>
      <c r="C981" s="230"/>
      <c r="D981" s="231"/>
      <c r="E981" s="157"/>
      <c r="F981" s="12"/>
      <c r="G981" s="158"/>
    </row>
    <row r="982">
      <c r="A982" s="153"/>
      <c r="B982" s="229"/>
      <c r="C982" s="230"/>
      <c r="D982" s="231"/>
      <c r="E982" s="157"/>
      <c r="F982" s="12"/>
      <c r="G982" s="158"/>
    </row>
    <row r="983">
      <c r="A983" s="153"/>
      <c r="B983" s="229"/>
      <c r="C983" s="230"/>
      <c r="D983" s="231"/>
      <c r="E983" s="157"/>
      <c r="F983" s="12"/>
      <c r="G983" s="158"/>
    </row>
    <row r="984">
      <c r="A984" s="153"/>
      <c r="B984" s="229"/>
      <c r="C984" s="230"/>
      <c r="D984" s="231"/>
      <c r="E984" s="157"/>
      <c r="F984" s="12"/>
      <c r="G984" s="158"/>
    </row>
    <row r="985">
      <c r="A985" s="153"/>
      <c r="B985" s="229"/>
      <c r="C985" s="230"/>
      <c r="D985" s="231"/>
      <c r="E985" s="157"/>
      <c r="F985" s="12"/>
      <c r="G985" s="158"/>
    </row>
    <row r="986">
      <c r="A986" s="153"/>
      <c r="B986" s="229"/>
      <c r="C986" s="230"/>
      <c r="D986" s="231"/>
      <c r="E986" s="157"/>
      <c r="F986" s="12"/>
      <c r="G986" s="158"/>
    </row>
    <row r="987">
      <c r="A987" s="153"/>
      <c r="B987" s="229"/>
      <c r="C987" s="230"/>
      <c r="D987" s="231"/>
      <c r="E987" s="157"/>
      <c r="F987" s="12"/>
      <c r="G987" s="158"/>
    </row>
    <row r="988">
      <c r="A988" s="153"/>
      <c r="B988" s="229"/>
      <c r="C988" s="230"/>
      <c r="D988" s="231"/>
      <c r="E988" s="157"/>
      <c r="F988" s="12"/>
      <c r="G988" s="158"/>
    </row>
    <row r="989">
      <c r="A989" s="153"/>
      <c r="B989" s="229"/>
      <c r="C989" s="230"/>
      <c r="D989" s="231"/>
      <c r="E989" s="157"/>
      <c r="F989" s="12"/>
      <c r="G989" s="158"/>
    </row>
    <row r="990">
      <c r="A990" s="153"/>
      <c r="B990" s="229"/>
      <c r="C990" s="230"/>
      <c r="D990" s="231"/>
      <c r="E990" s="157"/>
      <c r="F990" s="12"/>
      <c r="G990" s="158"/>
    </row>
    <row r="991">
      <c r="A991" s="153"/>
      <c r="B991" s="229"/>
      <c r="C991" s="230"/>
      <c r="D991" s="231"/>
      <c r="E991" s="157"/>
      <c r="F991" s="12"/>
      <c r="G991" s="158"/>
    </row>
    <row r="992">
      <c r="A992" s="153"/>
      <c r="B992" s="229"/>
      <c r="C992" s="230"/>
      <c r="D992" s="231"/>
      <c r="E992" s="157"/>
      <c r="F992" s="12"/>
      <c r="G992" s="158"/>
    </row>
    <row r="993">
      <c r="A993" s="153"/>
      <c r="B993" s="229"/>
      <c r="C993" s="230"/>
      <c r="D993" s="231"/>
      <c r="E993" s="157"/>
      <c r="F993" s="12"/>
      <c r="G993" s="158"/>
    </row>
    <row r="994">
      <c r="A994" s="153"/>
      <c r="B994" s="229"/>
      <c r="C994" s="230"/>
      <c r="D994" s="231"/>
      <c r="E994" s="157"/>
      <c r="F994" s="12"/>
      <c r="G994" s="158"/>
    </row>
    <row r="995">
      <c r="A995" s="153"/>
      <c r="B995" s="229"/>
      <c r="C995" s="230"/>
      <c r="D995" s="231"/>
      <c r="E995" s="157"/>
      <c r="F995" s="12"/>
      <c r="G995" s="158"/>
    </row>
    <row r="996">
      <c r="A996" s="153"/>
      <c r="B996" s="229"/>
      <c r="C996" s="230"/>
      <c r="D996" s="231"/>
      <c r="E996" s="157"/>
      <c r="F996" s="12"/>
      <c r="G996" s="158"/>
    </row>
    <row r="997">
      <c r="A997" s="153"/>
      <c r="B997" s="229"/>
      <c r="C997" s="230"/>
      <c r="D997" s="231"/>
      <c r="E997" s="157"/>
      <c r="F997" s="12"/>
      <c r="G997" s="158"/>
    </row>
    <row r="998">
      <c r="A998" s="153"/>
      <c r="B998" s="229"/>
      <c r="C998" s="230"/>
      <c r="D998" s="231"/>
      <c r="E998" s="157"/>
      <c r="F998" s="12"/>
      <c r="G998" s="158"/>
    </row>
    <row r="999">
      <c r="A999" s="153"/>
      <c r="B999" s="229"/>
      <c r="C999" s="230"/>
      <c r="D999" s="231"/>
      <c r="E999" s="157"/>
      <c r="F999" s="12"/>
      <c r="G999" s="158"/>
    </row>
    <row r="1000">
      <c r="A1000" s="153"/>
      <c r="B1000" s="229"/>
      <c r="C1000" s="230"/>
      <c r="D1000" s="231"/>
      <c r="E1000" s="157"/>
      <c r="F1000" s="12"/>
      <c r="G1000" s="158"/>
    </row>
    <row r="1001">
      <c r="A1001" s="153"/>
      <c r="B1001" s="229"/>
      <c r="C1001" s="230"/>
      <c r="D1001" s="231"/>
      <c r="E1001" s="157"/>
      <c r="F1001" s="12"/>
      <c r="G1001" s="158"/>
    </row>
    <row r="1002">
      <c r="A1002" s="153"/>
      <c r="B1002" s="229"/>
      <c r="C1002" s="230"/>
      <c r="D1002" s="231"/>
      <c r="E1002" s="157"/>
      <c r="F1002" s="12"/>
      <c r="G1002" s="158"/>
    </row>
    <row r="1003">
      <c r="A1003" s="153"/>
      <c r="B1003" s="229"/>
      <c r="C1003" s="230"/>
      <c r="D1003" s="231"/>
      <c r="E1003" s="157"/>
      <c r="F1003" s="12"/>
      <c r="G1003" s="158"/>
    </row>
    <row r="1004">
      <c r="A1004" s="153"/>
      <c r="B1004" s="229"/>
      <c r="C1004" s="230"/>
      <c r="D1004" s="231"/>
      <c r="E1004" s="157"/>
      <c r="F1004" s="12"/>
      <c r="G1004" s="158"/>
    </row>
    <row r="1005">
      <c r="A1005" s="153"/>
      <c r="B1005" s="229"/>
      <c r="C1005" s="230"/>
      <c r="D1005" s="231"/>
      <c r="E1005" s="157"/>
      <c r="F1005" s="12"/>
      <c r="G1005" s="158"/>
    </row>
    <row r="1006">
      <c r="A1006" s="153"/>
      <c r="B1006" s="229"/>
      <c r="C1006" s="230"/>
      <c r="D1006" s="231"/>
      <c r="E1006" s="157"/>
      <c r="F1006" s="12"/>
      <c r="G1006" s="158"/>
    </row>
    <row r="1007">
      <c r="A1007" s="153"/>
      <c r="B1007" s="229"/>
      <c r="C1007" s="230"/>
      <c r="D1007" s="231"/>
      <c r="E1007" s="157"/>
      <c r="F1007" s="12"/>
      <c r="G1007" s="158"/>
    </row>
    <row r="1008">
      <c r="A1008" s="153"/>
      <c r="B1008" s="229"/>
      <c r="C1008" s="230"/>
      <c r="D1008" s="231"/>
      <c r="E1008" s="157"/>
      <c r="F1008" s="12"/>
      <c r="G1008" s="158"/>
    </row>
  </sheetData>
  <mergeCells count="45">
    <mergeCell ref="A2:H2"/>
    <mergeCell ref="A3:H3"/>
    <mergeCell ref="A4:H4"/>
    <mergeCell ref="A5:H5"/>
    <mergeCell ref="A6:H6"/>
    <mergeCell ref="I15:I20"/>
    <mergeCell ref="I21:I24"/>
    <mergeCell ref="I26:I27"/>
    <mergeCell ref="A27:D27"/>
    <mergeCell ref="A28:D28"/>
    <mergeCell ref="I28:I30"/>
    <mergeCell ref="A29:D29"/>
    <mergeCell ref="A30:D30"/>
    <mergeCell ref="I31:I32"/>
    <mergeCell ref="A31:D31"/>
    <mergeCell ref="A32:D32"/>
    <mergeCell ref="A33:D33"/>
    <mergeCell ref="A34:D34"/>
    <mergeCell ref="A35:D35"/>
    <mergeCell ref="A36:D36"/>
    <mergeCell ref="A37:D37"/>
    <mergeCell ref="A38:D38"/>
    <mergeCell ref="A39:D39"/>
    <mergeCell ref="A40:D40"/>
    <mergeCell ref="A41:D41"/>
    <mergeCell ref="A42:D42"/>
    <mergeCell ref="A43:D43"/>
    <mergeCell ref="A44:D44"/>
    <mergeCell ref="A45:D45"/>
    <mergeCell ref="A46:D46"/>
    <mergeCell ref="A47:D47"/>
    <mergeCell ref="A48:D48"/>
    <mergeCell ref="A49:D49"/>
    <mergeCell ref="A50:D50"/>
    <mergeCell ref="A51:D51"/>
    <mergeCell ref="A59:D59"/>
    <mergeCell ref="A60:D60"/>
    <mergeCell ref="A61:D61"/>
    <mergeCell ref="A52:D52"/>
    <mergeCell ref="A53:D53"/>
    <mergeCell ref="A54:D54"/>
    <mergeCell ref="A55:D55"/>
    <mergeCell ref="A56:D56"/>
    <mergeCell ref="A57:D57"/>
    <mergeCell ref="A58:D58"/>
  </mergeCells>
  <conditionalFormatting sqref="B9:D24">
    <cfRule type="expression" dxfId="13" priority="1">
      <formula>$A9="Yes!"</formula>
    </cfRule>
  </conditionalFormatting>
  <conditionalFormatting sqref="A9:A24">
    <cfRule type="containsText" dxfId="15" priority="2" operator="containsText" text="Yes">
      <formula>NOT(ISERROR(SEARCH(("Yes"),(A9))))</formula>
    </cfRule>
  </conditionalFormatting>
  <conditionalFormatting sqref="A9:A24">
    <cfRule type="containsText" dxfId="14" priority="3" operator="containsText" text="No">
      <formula>NOT(ISERROR(SEARCH(("No"),(A9))))</formula>
    </cfRule>
  </conditionalFormatting>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DAF8"/>
    <outlinePr summaryBelow="0" summaryRight="0"/>
  </sheetPr>
  <sheetViews>
    <sheetView workbookViewId="0"/>
  </sheetViews>
  <sheetFormatPr customHeight="1" defaultColWidth="12.63" defaultRowHeight="15.75"/>
  <cols>
    <col customWidth="1" min="1" max="1" width="21.38"/>
    <col customWidth="1" min="2" max="2" width="15.13"/>
    <col customWidth="1" min="3" max="3" width="68.75"/>
    <col customWidth="1" min="4" max="4" width="9.0"/>
    <col customWidth="1" min="10" max="10" width="11.0"/>
  </cols>
  <sheetData>
    <row r="1">
      <c r="A1" s="331" t="str">
        <f>IFERROR(__xludf.DUMMYFUNCTION("IMPORTRANGE(""https://docs.google.com/spreadsheets/d/1PPFix0KE5FV0_ekB8X93l4fBTTlhI3_4FnP7klgfg_Y/edit?gid=0#gid=0"", ""Keer!a1:f100"")"),"KEER")</f>
        <v>KEER</v>
      </c>
      <c r="B1" s="332"/>
      <c r="C1" s="333" t="str">
        <f>IFERROR(__xludf.DUMMYFUNCTION("""COMPUTED_VALUE"""),"Keifer (Bob Marriott)")</f>
        <v>Keifer (Bob Marriott)</v>
      </c>
      <c r="D1" s="334"/>
      <c r="E1" s="334"/>
      <c r="F1" s="335"/>
      <c r="G1" s="335"/>
      <c r="H1" s="335"/>
      <c r="I1" s="335"/>
      <c r="J1" s="335"/>
      <c r="K1" s="334"/>
      <c r="L1" s="334"/>
      <c r="M1" s="334"/>
      <c r="N1" s="334"/>
      <c r="O1" s="334"/>
      <c r="P1" s="334"/>
      <c r="Q1" s="334"/>
      <c r="R1" s="334"/>
      <c r="S1" s="334"/>
      <c r="T1" s="334"/>
      <c r="U1" s="334"/>
      <c r="V1" s="334"/>
      <c r="W1" s="334"/>
      <c r="X1" s="334"/>
      <c r="Y1" s="334"/>
    </row>
    <row r="2">
      <c r="A2" s="214"/>
      <c r="B2" s="12"/>
      <c r="C2" s="137"/>
      <c r="D2" s="214"/>
      <c r="E2" s="260" t="str">
        <f>IFERROR(__xludf.DUMMYFUNCTION("""COMPUTED_VALUE"""),"Caster")</f>
        <v>Caster</v>
      </c>
      <c r="F2" s="214" t="str">
        <f>IFERROR(__xludf.DUMMYFUNCTION("""COMPUTED_VALUE"""),"Mourlin; black pants, navy tunic")</f>
        <v>Mourlin; black pants, navy tunic</v>
      </c>
    </row>
    <row r="3">
      <c r="A3" s="262" t="str">
        <f>IFERROR(__xludf.DUMMYFUNCTION("""COMPUTED_VALUE"""),"PARTY PATH")</f>
        <v>PARTY PATH</v>
      </c>
      <c r="B3" s="12"/>
      <c r="C3" s="137"/>
      <c r="D3" s="214"/>
      <c r="E3" s="260" t="str">
        <f>IFERROR(__xludf.DUMMYFUNCTION("""COMPUTED_VALUE"""),"Keeper")</f>
        <v>Keeper</v>
      </c>
      <c r="F3" s="214" t="str">
        <f>IFERROR(__xludf.DUMMYFUNCTION("""COMPUTED_VALUE"""),"Kite; black cloak w/ blue fish")</f>
        <v>Kite; black cloak w/ blue fish</v>
      </c>
    </row>
    <row r="4">
      <c r="A4" s="8" t="str">
        <f>IFERROR(__xludf.DUMMYFUNCTION("""COMPUTED_VALUE"""),"Character")</f>
        <v>Character</v>
      </c>
      <c r="B4" s="86" t="str">
        <f>IFERROR(__xludf.DUMMYFUNCTION("""COMPUTED_VALUE"""),"Gave Item/Info")</f>
        <v>Gave Item/Info</v>
      </c>
      <c r="C4" s="263" t="str">
        <f>IFERROR(__xludf.DUMMYFUNCTION("""COMPUTED_VALUE"""),"Notes")</f>
        <v>Notes</v>
      </c>
      <c r="D4" s="214"/>
      <c r="E4" s="260" t="str">
        <f>IFERROR(__xludf.DUMMYFUNCTION("""COMPUTED_VALUE"""),"Maker")</f>
        <v>Maker</v>
      </c>
      <c r="F4" s="214" t="str">
        <f>IFERROR(__xludf.DUMMYFUNCTION("""COMPUTED_VALUE"""),"Birdie; blue hooded dress")</f>
        <v>Birdie; blue hooded dress</v>
      </c>
    </row>
    <row r="5">
      <c r="A5" s="32" t="str">
        <f>IFERROR(__xludf.DUMMYFUNCTION("""COMPUTED_VALUE"""),"Belle Bishop")</f>
        <v>Belle Bishop</v>
      </c>
      <c r="B5" s="48" t="b">
        <f>IFERROR(__xludf.DUMMYFUNCTION("""COMPUTED_VALUE"""),TRUE)</f>
        <v>1</v>
      </c>
      <c r="C5" s="138" t="str">
        <f>IFERROR(__xludf.DUMMYFUNCTION("""COMPUTED_VALUE"""),"They were very engaged and asked great questions")</f>
        <v>They were very engaged and asked great questions</v>
      </c>
      <c r="D5" s="214"/>
      <c r="E5" s="260" t="str">
        <f>IFERROR(__xludf.DUMMYFUNCTION("""COMPUTED_VALUE"""),"Ranger")</f>
        <v>Ranger</v>
      </c>
      <c r="F5" s="214" t="str">
        <f>IFERROR(__xludf.DUMMYFUNCTION("""COMPUTED_VALUE"""),"Nietz; blue tabard")</f>
        <v>Nietz; blue tabard</v>
      </c>
    </row>
    <row r="6">
      <c r="A6" s="32" t="str">
        <f>IFERROR(__xludf.DUMMYFUNCTION("""COMPUTED_VALUE"""),"Kyli Talespinner")</f>
        <v>Kyli Talespinner</v>
      </c>
      <c r="B6" s="48" t="b">
        <f>IFERROR(__xludf.DUMMYFUNCTION("""COMPUTED_VALUE"""),TRUE)</f>
        <v>1</v>
      </c>
      <c r="C6" s="222" t="str">
        <f>IFERROR(__xludf.DUMMYFUNCTION("""COMPUTED_VALUE"""),"Party was super interested! MG")</f>
        <v>Party was super interested! MG</v>
      </c>
      <c r="D6" s="214"/>
      <c r="E6" s="260" t="str">
        <f>IFERROR(__xludf.DUMMYFUNCTION("""COMPUTED_VALUE"""),"Seeker")</f>
        <v>Seeker</v>
      </c>
      <c r="F6" s="214" t="str">
        <f>IFERROR(__xludf.DUMMYFUNCTION("""COMPUTED_VALUE"""),"Shrike; scale sleeve, dark blue cloak")</f>
        <v>Shrike; scale sleeve, dark blue cloak</v>
      </c>
    </row>
    <row r="7">
      <c r="A7" s="32" t="str">
        <f>IFERROR(__xludf.DUMMYFUNCTION("""COMPUTED_VALUE"""),"Elly Peacock")</f>
        <v>Elly Peacock</v>
      </c>
      <c r="B7" s="12" t="b">
        <f>IFERROR(__xludf.DUMMYFUNCTION("""COMPUTED_VALUE"""),TRUE)</f>
        <v>1</v>
      </c>
      <c r="C7" s="138" t="str">
        <f>IFERROR(__xludf.DUMMYFUNCTION("""COMPUTED_VALUE"""),"Party asked follow up questions about who else lost memory (MR)")</f>
        <v>Party asked follow up questions about who else lost memory (MR)</v>
      </c>
      <c r="D7" s="214"/>
      <c r="E7" s="260" t="str">
        <f>IFERROR(__xludf.DUMMYFUNCTION("""COMPUTED_VALUE"""),"Traveler")</f>
        <v>Traveler</v>
      </c>
      <c r="F7" s="214" t="str">
        <f>IFERROR(__xludf.DUMMYFUNCTION("""COMPUTED_VALUE"""),"Fig; tan pants; breastplate")</f>
        <v>Fig; tan pants; breastplate</v>
      </c>
    </row>
    <row r="8">
      <c r="A8" s="32" t="str">
        <f>IFERROR(__xludf.DUMMYFUNCTION("""COMPUTED_VALUE"""),"Shaun Peacock")</f>
        <v>Shaun Peacock</v>
      </c>
      <c r="B8" s="48" t="b">
        <f>IFERROR(__xludf.DUMMYFUNCTION("""COMPUTED_VALUE"""),TRUE)</f>
        <v>1</v>
      </c>
      <c r="C8" s="138" t="str">
        <f>IFERROR(__xludf.DUMMYFUNCTION("""COMPUTED_VALUE"""),"Strong interactions for list, pitch pipe challenge, and singing. Seemed well engaged all around.")</f>
        <v>Strong interactions for list, pitch pipe challenge, and singing. Seemed well engaged all around.</v>
      </c>
      <c r="D8" s="214"/>
      <c r="E8" s="214"/>
      <c r="F8" s="214"/>
    </row>
    <row r="9">
      <c r="A9" s="32" t="str">
        <f>IFERROR(__xludf.DUMMYFUNCTION("""COMPUTED_VALUE"""),"Jpeg")</f>
        <v>Jpeg</v>
      </c>
      <c r="B9" s="48" t="b">
        <f>IFERROR(__xludf.DUMMYFUNCTION("""COMPUTED_VALUE"""),TRUE)</f>
        <v>1</v>
      </c>
      <c r="C9" s="222"/>
      <c r="D9" s="214"/>
      <c r="E9" s="214"/>
      <c r="F9" s="214"/>
    </row>
    <row r="10">
      <c r="A10" s="32" t="str">
        <f>IFERROR(__xludf.DUMMYFUNCTION("""COMPUTED_VALUE"""),"Al Bishop (Do not give item)")</f>
        <v>Al Bishop (Do not give item)</v>
      </c>
      <c r="B10" s="48" t="b">
        <f>IFERROR(__xludf.DUMMYFUNCTION("""COMPUTED_VALUE"""),TRUE)</f>
        <v>1</v>
      </c>
      <c r="C10" s="138" t="str">
        <f>IFERROR(__xludf.DUMMYFUNCTION("""COMPUTED_VALUE"""),"Understand their partypath and items. Meeting me tomorrow morning for Horn. Fun, engaged. ""Get it"" (thanked the cabin for their magic items).")</f>
        <v>Understand their partypath and items. Meeting me tomorrow morning for Horn. Fun, engaged. "Get it" (thanked the cabin for their magic items).</v>
      </c>
      <c r="D10" s="214"/>
      <c r="E10" s="214"/>
      <c r="F10" s="214"/>
    </row>
    <row r="11">
      <c r="A11" s="32" t="str">
        <f>IFERROR(__xludf.DUMMYFUNCTION("""COMPUTED_VALUE"""),"Sylvie Valerius")</f>
        <v>Sylvie Valerius</v>
      </c>
      <c r="B11" s="48" t="b">
        <f>IFERROR(__xludf.DUMMYFUNCTION("""COMPUTED_VALUE"""),TRUE)</f>
        <v>1</v>
      </c>
      <c r="C11" s="138" t="str">
        <f>IFERROR(__xludf.DUMMYFUNCTION("""COMPUTED_VALUE"""),"Donezo 3pm Sat!")</f>
        <v>Donezo 3pm Sat!</v>
      </c>
      <c r="D11" s="214"/>
      <c r="E11" s="214"/>
      <c r="F11" s="214"/>
    </row>
    <row r="12">
      <c r="A12" s="214" t="str">
        <f>IFERROR(__xludf.DUMMYFUNCTION("""COMPUTED_VALUE"""),"Kovi Woundtender")</f>
        <v>Kovi Woundtender</v>
      </c>
      <c r="B12" s="48" t="b">
        <f>IFERROR(__xludf.DUMMYFUNCTION("""COMPUTED_VALUE"""),TRUE)</f>
        <v>1</v>
      </c>
      <c r="C12" s="138"/>
      <c r="D12" s="214"/>
      <c r="E12" s="214"/>
      <c r="F12" s="214"/>
    </row>
    <row r="13">
      <c r="A13" s="214" t="str">
        <f>IFERROR(__xludf.DUMMYFUNCTION("""COMPUTED_VALUE"""),"Nina Bliss")</f>
        <v>Nina Bliss</v>
      </c>
      <c r="B13" s="12" t="b">
        <f>IFERROR(__xludf.DUMMYFUNCTION("""COMPUTED_VALUE"""),TRUE)</f>
        <v>1</v>
      </c>
      <c r="C13" s="138" t="str">
        <f>IFERROR(__xludf.DUMMYFUNCTION("""COMPUTED_VALUE"""),"Did well.  Saw them do the time shift from down the path. - PO Sat 3:45")</f>
        <v>Did well.  Saw them do the time shift from down the path. - PO Sat 3:45</v>
      </c>
      <c r="D13" s="214"/>
      <c r="E13" s="214"/>
      <c r="F13" s="214"/>
    </row>
    <row r="14">
      <c r="A14" s="214" t="str">
        <f>IFERROR(__xludf.DUMMYFUNCTION("""COMPUTED_VALUE"""),"Electra")</f>
        <v>Electra</v>
      </c>
      <c r="B14" s="12" t="b">
        <f>IFERROR(__xludf.DUMMYFUNCTION("""COMPUTED_VALUE"""),FALSE)</f>
        <v>0</v>
      </c>
      <c r="C14" s="138" t="str">
        <f>IFERROR(__xludf.DUMMYFUNCTION("""COMPUTED_VALUE"""),"From Bracken's side — definitely struggled with the philnathropy — took multiple tries, a lot of internal inconsistency and finally Nietz (Ranger) did a nice job talking to me about it so I took the money")</f>
        <v>From Bracken's side — definitely struggled with the philnathropy — took multiple tries, a lot of internal inconsistency and finally Nietz (Ranger) did a nice job talking to me about it so I took the money</v>
      </c>
      <c r="D14" s="214"/>
      <c r="E14" s="214"/>
      <c r="F14" s="214"/>
    </row>
    <row r="15">
      <c r="A15" s="32" t="str">
        <f>IFERROR(__xludf.DUMMYFUNCTION("""COMPUTED_VALUE"""),"Brimstone")</f>
        <v>Brimstone</v>
      </c>
      <c r="B15" s="12" t="b">
        <f>IFERROR(__xludf.DUMMYFUNCTION("""COMPUTED_VALUE"""),TRUE)</f>
        <v>1</v>
      </c>
      <c r="C15" s="138" t="str">
        <f>IFERROR(__xludf.DUMMYFUNCTION("""COMPUTED_VALUE"""),"The whole party was involved in one good sock, they did well! I want to get some googly eyes to make a distraction head from a sock. - ZT")</f>
        <v>The whole party was involved in one good sock, they did well! I want to get some googly eyes to make a distraction head from a sock. - ZT</v>
      </c>
      <c r="D15" s="214"/>
      <c r="E15" s="214"/>
      <c r="F15" s="214"/>
    </row>
    <row r="16">
      <c r="A16" s="214" t="str">
        <f>IFERROR(__xludf.DUMMYFUNCTION("""COMPUTED_VALUE"""),"Huxley")</f>
        <v>Huxley</v>
      </c>
      <c r="B16" s="12" t="b">
        <f>IFERROR(__xludf.DUMMYFUNCTION("""COMPUTED_VALUE"""),TRUE)</f>
        <v>1</v>
      </c>
      <c r="C16" s="137" t="str">
        <f>IFERROR(__xludf.DUMMYFUNCTION("""COMPUTED_VALUE"""),"They completed their challenge (Managers &amp; peons) at camp while Huxley was in tavern, took a moment to warm up but did very well! - ESD
Gave them their riddle. They seemed excited to solve it. -EF
Shrike seems to be doing most of the quest item questing ("&amp;"asking people for info, getting items, solving the riddle) - EF")</f>
        <v>They completed their challenge (Managers &amp; peons) at camp while Huxley was in tavern, took a moment to warm up but did very well! - ESD
Gave them their riddle. They seemed excited to solve it. -EF
Shrike seems to be doing most of the quest item questing (asking people for info, getting items, solving the riddle) - EF</v>
      </c>
      <c r="D16" s="214"/>
      <c r="E16" s="214"/>
      <c r="F16" s="214"/>
    </row>
    <row r="17">
      <c r="A17" s="216" t="str">
        <f>IFERROR(__xludf.DUMMYFUNCTION("""COMPUTED_VALUE"""),"Ghost Theater")</f>
        <v>Ghost Theater</v>
      </c>
      <c r="B17" s="216" t="b">
        <f>IFERROR(__xludf.DUMMYFUNCTION("""COMPUTED_VALUE"""),TRUE)</f>
        <v>1</v>
      </c>
      <c r="C17" s="137" t="str">
        <f>IFERROR(__xludf.DUMMYFUNCTION("""COMPUTED_VALUE"""),"First one through.  Did very well, takign hard paths.  Excellent ocmmunicaiotn.")</f>
        <v>First one through.  Did very well, takign hard paths.  Excellent ocmmunicaiotn.</v>
      </c>
      <c r="D17" s="214" t="str">
        <f>IFERROR(__xludf.DUMMYFUNCTION("""COMPUTED_VALUE"""),"Sat AM- Aria showed them Golden Page, and explained ""theater belongs to the ghosts now"" DG")</f>
        <v>Sat AM- Aria showed them Golden Page, and explained "theater belongs to the ghosts now" DG</v>
      </c>
      <c r="E17" s="214"/>
      <c r="F17" s="214"/>
    </row>
    <row r="18">
      <c r="A18" s="216" t="str">
        <f>IFERROR(__xludf.DUMMYFUNCTION("""COMPUTED_VALUE"""),"Al Bishop (Sunday)")</f>
        <v>Al Bishop (Sunday)</v>
      </c>
      <c r="B18" s="232" t="b">
        <f>IFERROR(__xludf.DUMMYFUNCTION("""COMPUTED_VALUE"""),FALSE)</f>
        <v>0</v>
      </c>
      <c r="C18" s="263"/>
      <c r="D18" s="86"/>
      <c r="E18" s="214"/>
      <c r="F18" s="214"/>
    </row>
    <row r="19">
      <c r="A19" s="32" t="str">
        <f>IFERROR(__xludf.DUMMYFUNCTION("""COMPUTED_VALUE"""),"Knights of the Golden Circle")</f>
        <v>Knights of the Golden Circle</v>
      </c>
      <c r="B19" s="48" t="b">
        <f>IFERROR(__xludf.DUMMYFUNCTION("""COMPUTED_VALUE"""),FALSE)</f>
        <v>0</v>
      </c>
      <c r="C19" s="138"/>
      <c r="D19" s="12"/>
      <c r="E19" s="214"/>
      <c r="F19" s="214"/>
    </row>
    <row r="20">
      <c r="A20" s="32"/>
      <c r="B20" s="48"/>
      <c r="C20" s="138"/>
      <c r="D20" s="12"/>
      <c r="E20" s="214"/>
      <c r="F20" s="214"/>
    </row>
    <row r="21">
      <c r="A21" s="32"/>
      <c r="B21" s="48"/>
      <c r="C21" s="222"/>
      <c r="D21" s="12"/>
      <c r="E21" s="214"/>
      <c r="F21" s="214"/>
    </row>
    <row r="22">
      <c r="A22" s="32" t="str">
        <f>IFERROR(__xludf.DUMMYFUNCTION("""COMPUTED_VALUE"""),"CHARGE INFO")</f>
        <v>CHARGE INFO</v>
      </c>
      <c r="B22" s="48" t="str">
        <f>IFERROR(__xludf.DUMMYFUNCTION("""COMPUTED_VALUE"""),"(Dorito)")</f>
        <v>(Dorito)</v>
      </c>
      <c r="C22" s="138"/>
      <c r="D22" s="12"/>
      <c r="E22" s="214"/>
      <c r="F22" s="214"/>
    </row>
    <row r="23">
      <c r="A23" s="32" t="str">
        <f>IFERROR(__xludf.DUMMYFUNCTION("""COMPUTED_VALUE"""),"Character")</f>
        <v>Character</v>
      </c>
      <c r="B23" s="48" t="str">
        <f>IFERROR(__xludf.DUMMYFUNCTION("""COMPUTED_VALUE"""),"Gave Info")</f>
        <v>Gave Info</v>
      </c>
      <c r="C23" s="222" t="str">
        <f>IFERROR(__xludf.DUMMYFUNCTION("""COMPUTED_VALUE"""),"Notes")</f>
        <v>Notes</v>
      </c>
      <c r="D23" s="12"/>
      <c r="E23" s="214"/>
      <c r="F23" s="214"/>
    </row>
    <row r="24">
      <c r="A24" s="32" t="str">
        <f>IFERROR(__xludf.DUMMYFUNCTION("""COMPUTED_VALUE"""),"Diesel")</f>
        <v>Diesel</v>
      </c>
      <c r="B24" s="48" t="b">
        <f>IFERROR(__xludf.DUMMYFUNCTION("""COMPUTED_VALUE"""),FALSE)</f>
        <v>0</v>
      </c>
      <c r="C24" s="138" t="str">
        <f>IFERROR(__xludf.DUMMYFUNCTION("""COMPUTED_VALUE"""),"Took a moment to bond with the traveler Friday night.  --LN")</f>
        <v>Took a moment to bond with the traveler Friday night.  --LN</v>
      </c>
      <c r="D24" s="12"/>
      <c r="E24" s="214"/>
      <c r="F24" s="214"/>
    </row>
    <row r="25">
      <c r="A25" s="32" t="str">
        <f>IFERROR(__xludf.DUMMYFUNCTION("""COMPUTED_VALUE"""),"Jpeg")</f>
        <v>Jpeg</v>
      </c>
      <c r="B25" s="48" t="b">
        <f>IFERROR(__xludf.DUMMYFUNCTION("""COMPUTED_VALUE"""),TRUE)</f>
        <v>1</v>
      </c>
      <c r="C25" s="138"/>
      <c r="D25" s="12"/>
      <c r="E25" s="214"/>
      <c r="F25" s="214"/>
    </row>
    <row r="26">
      <c r="A26" s="32" t="str">
        <f>IFERROR(__xludf.DUMMYFUNCTION("""COMPUTED_VALUE"""),"Dorito")</f>
        <v>Dorito</v>
      </c>
      <c r="B26" s="48" t="b">
        <f>IFERROR(__xludf.DUMMYFUNCTION("""COMPUTED_VALUE"""),TRUE)</f>
        <v>1</v>
      </c>
      <c r="C26" s="138" t="str">
        <f>IFERROR(__xludf.DUMMYFUNCTION("""COMPUTED_VALUE"""),"acted dodgy about the details of the murder but totally open that she did it --TSR")</f>
        <v>acted dodgy about the details of the murder but totally open that she did it --TSR</v>
      </c>
      <c r="D26" s="12"/>
      <c r="E26" s="214"/>
      <c r="F26" s="214"/>
    </row>
    <row r="27">
      <c r="A27" s="32" t="str">
        <f>IFERROR(__xludf.DUMMYFUNCTION("""COMPUTED_VALUE"""),"Bane")</f>
        <v>Bane</v>
      </c>
      <c r="B27" s="48" t="b">
        <f>IFERROR(__xludf.DUMMYFUNCTION("""COMPUTED_VALUE"""),FALSE)</f>
        <v>0</v>
      </c>
      <c r="C27" s="138" t="str">
        <f>IFERROR(__xludf.DUMMYFUNCTION("""COMPUTED_VALUE"""),"Talked to them about how awesome Dorito is. acted all Moon eyed about her. —DG")</f>
        <v>Talked to them about how awesome Dorito is. acted all Moon eyed about her. —DG</v>
      </c>
      <c r="D27" s="12"/>
      <c r="E27" s="214"/>
      <c r="F27" s="214"/>
    </row>
    <row r="28">
      <c r="A28" s="32" t="str">
        <f>IFERROR(__xludf.DUMMYFUNCTION("""COMPUTED_VALUE"""),"Bonnie Stillwater")</f>
        <v>Bonnie Stillwater</v>
      </c>
      <c r="B28" s="48" t="b">
        <f>IFERROR(__xludf.DUMMYFUNCTION("""COMPUTED_VALUE"""),FALSE)</f>
        <v>0</v>
      </c>
      <c r="C28" s="222"/>
      <c r="D28" s="12"/>
      <c r="E28" s="214"/>
      <c r="F28" s="214"/>
    </row>
    <row r="29">
      <c r="A29" s="32" t="str">
        <f>IFERROR(__xludf.DUMMYFUNCTION("""COMPUTED_VALUE"""),"Buzzkill")</f>
        <v>Buzzkill</v>
      </c>
      <c r="B29" s="48" t="b">
        <f>IFERROR(__xludf.DUMMYFUNCTION("""COMPUTED_VALUE"""),TRUE)</f>
        <v>1</v>
      </c>
      <c r="C29" s="138" t="str">
        <f>IFERROR(__xludf.DUMMYFUNCTION("""COMPUTED_VALUE"""),"Keeper was deciphering dream, told them that the letters were acting all funny, like how Dorito sees them (AS)")</f>
        <v>Keeper was deciphering dream, told them that the letters were acting all funny, like how Dorito sees them (AS)</v>
      </c>
      <c r="D29" s="12"/>
      <c r="E29" s="214"/>
      <c r="F29" s="214"/>
    </row>
    <row r="30">
      <c r="A30" s="32" t="str">
        <f>IFERROR(__xludf.DUMMYFUNCTION("""COMPUTED_VALUE"""),"Kemma Runereader")</f>
        <v>Kemma Runereader</v>
      </c>
      <c r="B30" s="48" t="b">
        <f>IFERROR(__xludf.DUMMYFUNCTION("""COMPUTED_VALUE"""),TRUE)</f>
        <v>1</v>
      </c>
      <c r="C30" s="138" t="str">
        <f>IFERROR(__xludf.DUMMYFUNCTION("""COMPUTED_VALUE"""),"A.M.: Mentioned frustration w/Kira, told them about Dorito's insight about my frustration. (EC)")</f>
        <v>A.M.: Mentioned frustration w/Kira, told them about Dorito's insight about my frustration. (EC)</v>
      </c>
      <c r="D30" s="12"/>
      <c r="E30" s="214"/>
      <c r="F30" s="214"/>
    </row>
    <row r="31">
      <c r="A31" s="32" t="str">
        <f>IFERROR(__xludf.DUMMYFUNCTION("""COMPUTED_VALUE"""),"Esmerelda")</f>
        <v>Esmerelda</v>
      </c>
      <c r="B31" s="48" t="b">
        <f>IFERROR(__xludf.DUMMYFUNCTION("""COMPUTED_VALUE"""),TRUE)</f>
        <v>1</v>
      </c>
      <c r="C31" s="138" t="str">
        <f>IFERROR(__xludf.DUMMYFUNCTION("""COMPUTED_VALUE"""),"Spoke with them after Managers &amp; Peons game to establish connection, they seemed too focused on their next item to give any more info - ESD (~10am)
Spoke to one participant during dessert - he said they were very suspicious about the charge not adding up."&amp;" - ESD")</f>
        <v>Spoke with them after Managers &amp; Peons game to establish connection, they seemed too focused on their next item to give any more info - ESD (~10am)
Spoke to one participant during dessert - he said they were very suspicious about the charge not adding up. - ESD</v>
      </c>
      <c r="D31" s="12"/>
      <c r="E31" s="214"/>
      <c r="F31" s="214"/>
    </row>
    <row r="32">
      <c r="A32" s="32" t="str">
        <f>IFERROR(__xludf.DUMMYFUNCTION("""COMPUTED_VALUE"""),"Celeste Wilde")</f>
        <v>Celeste Wilde</v>
      </c>
      <c r="B32" s="48" t="b">
        <f>IFERROR(__xludf.DUMMYFUNCTION("""COMPUTED_VALUE"""),FALSE)</f>
        <v>0</v>
      </c>
      <c r="C32" s="138"/>
      <c r="D32" s="12"/>
      <c r="E32" s="214"/>
      <c r="F32" s="214"/>
    </row>
    <row r="33">
      <c r="A33" s="32" t="str">
        <f>IFERROR(__xludf.DUMMYFUNCTION("""COMPUTED_VALUE"""),"Irena Montalvo")</f>
        <v>Irena Montalvo</v>
      </c>
      <c r="B33" s="48" t="b">
        <f>IFERROR(__xludf.DUMMYFUNCTION("""COMPUTED_VALUE"""),TRUE)</f>
        <v>1</v>
      </c>
      <c r="C33" s="138" t="str">
        <f>IFERROR(__xludf.DUMMYFUNCTION("""COMPUTED_VALUE"""),"Spoke to one participant in the cabin about Dorito.  He remarked 'Gee,she really is observant!)")</f>
        <v>Spoke to one participant in the cabin about Dorito.  He remarked 'Gee,she really is observant!)</v>
      </c>
      <c r="D33" s="12"/>
      <c r="E33" s="214"/>
      <c r="F33" s="214"/>
    </row>
    <row r="34">
      <c r="A34" s="32" t="str">
        <f>IFERROR(__xludf.DUMMYFUNCTION("""COMPUTED_VALUE"""),"Bracken")</f>
        <v>Bracken</v>
      </c>
      <c r="B34" s="48" t="b">
        <f>IFERROR(__xludf.DUMMYFUNCTION("""COMPUTED_VALUE"""),TRUE)</f>
        <v>1</v>
      </c>
      <c r="C34" s="138" t="str">
        <f>IFERROR(__xludf.DUMMYFUNCTION("""COMPUTED_VALUE"""),"Talked with caster (Mourlin), seeker (Shrike), and a bit with Ranger (Nietz) about the whole Dorito situation. They hadn't yet heard anything about Dorito killing the professor, so it took a bit extra but they seemed pretty involved/liked Dorito but still"&amp;" overwhelmed by all the things. Talked about Dorito positively and seeing people more than others do —RS")</f>
        <v>Talked with caster (Mourlin), seeker (Shrike), and a bit with Ranger (Nietz) about the whole Dorito situation. They hadn't yet heard anything about Dorito killing the professor, so it took a bit extra but they seemed pretty involved/liked Dorito but still overwhelmed by all the things. Talked about Dorito positively and seeing people more than others do —RS</v>
      </c>
      <c r="D34" s="12"/>
      <c r="E34" s="214"/>
      <c r="F34" s="214"/>
    </row>
    <row r="35">
      <c r="A35" s="32" t="str">
        <f>IFERROR(__xludf.DUMMYFUNCTION("""COMPUTED_VALUE"""),"Lincroft Spence")</f>
        <v>Lincroft Spence</v>
      </c>
      <c r="B35" s="48" t="b">
        <f>IFERROR(__xludf.DUMMYFUNCTION("""COMPUTED_VALUE"""),TRUE)</f>
        <v>1</v>
      </c>
      <c r="C35" s="138"/>
      <c r="D35" s="12"/>
      <c r="E35" s="214"/>
      <c r="F35" s="214"/>
    </row>
    <row r="36">
      <c r="A36" s="32" t="str">
        <f>IFERROR(__xludf.DUMMYFUNCTION("""COMPUTED_VALUE"""),"Lexia")</f>
        <v>Lexia</v>
      </c>
      <c r="B36" s="48" t="b">
        <f>IFERROR(__xludf.DUMMYFUNCTION("""COMPUTED_VALUE"""),TRUE)</f>
        <v>1</v>
      </c>
      <c r="C36" s="138" t="str">
        <f>IFERROR(__xludf.DUMMYFUNCTION("""COMPUTED_VALUE"""),"Spoke with them a few times but wasn't able to fully share all info")</f>
        <v>Spoke with them a few times but wasn't able to fully share all info</v>
      </c>
      <c r="D36" s="12"/>
      <c r="E36" s="214"/>
      <c r="F36" s="214"/>
    </row>
    <row r="37">
      <c r="A37" s="32" t="str">
        <f>IFERROR(__xludf.DUMMYFUNCTION("""COMPUTED_VALUE"""),"Katherine Carmichael")</f>
        <v>Katherine Carmichael</v>
      </c>
      <c r="B37" s="48" t="b">
        <f>IFERROR(__xludf.DUMMYFUNCTION("""COMPUTED_VALUE"""),TRUE)</f>
        <v>1</v>
      </c>
      <c r="C37" s="138" t="str">
        <f>IFERROR(__xludf.DUMMYFUNCTION("""COMPUTED_VALUE"""),"Talked with most of the party about going to Prof. Meriweather's talk and he was a no-show. Mentioned Lenora Graves but don't recall any reaction")</f>
        <v>Talked with most of the party about going to Prof. Meriweather's talk and he was a no-show. Mentioned Lenora Graves but don't recall any reaction</v>
      </c>
      <c r="D37" s="12"/>
      <c r="E37" s="214"/>
      <c r="F37" s="214"/>
    </row>
    <row r="38">
      <c r="A38" s="32" t="str">
        <f>IFERROR(__xludf.DUMMYFUNCTION("""COMPUTED_VALUE"""),"Nix Valerius")</f>
        <v>Nix Valerius</v>
      </c>
      <c r="B38" s="48" t="b">
        <f>IFERROR(__xludf.DUMMYFUNCTION("""COMPUTED_VALUE"""),TRUE)</f>
        <v>1</v>
      </c>
      <c r="C38" s="138" t="str">
        <f>IFERROR(__xludf.DUMMYFUNCTION("""COMPUTED_VALUE"""),"Talked with entire group about Prof Meriweather, mentioned date and time, and that Lenora can't stop talking about him being a no-show")</f>
        <v>Talked with entire group about Prof Meriweather, mentioned date and time, and that Lenora can't stop talking about him being a no-show</v>
      </c>
      <c r="D38" s="12"/>
      <c r="E38" s="214"/>
      <c r="F38" s="214"/>
    </row>
    <row r="39">
      <c r="A39" s="32" t="str">
        <f>IFERROR(__xludf.DUMMYFUNCTION("""COMPUTED_VALUE"""),"Stevie Peacock")</f>
        <v>Stevie Peacock</v>
      </c>
      <c r="B39" s="48" t="b">
        <f>IFERROR(__xludf.DUMMYFUNCTION("""COMPUTED_VALUE"""),FALSE)</f>
        <v>0</v>
      </c>
      <c r="C39" s="138"/>
      <c r="D39" s="12"/>
      <c r="E39" s="214"/>
      <c r="F39" s="214"/>
    </row>
    <row r="40">
      <c r="A40" s="32" t="str">
        <f>IFERROR(__xludf.DUMMYFUNCTION("""COMPUTED_VALUE"""),"Lenora Graves")</f>
        <v>Lenora Graves</v>
      </c>
      <c r="B40" s="48" t="b">
        <f>IFERROR(__xludf.DUMMYFUNCTION("""COMPUTED_VALUE"""),TRUE)</f>
        <v>1</v>
      </c>
      <c r="C40" s="138" t="str">
        <f>IFERROR(__xludf.DUMMYFUNCTION("""COMPUTED_VALUE"""),"They listened attentively as Diesel gave charge info and I was there and ""overheard"" the conversation. They didn't know who I was but they were talking about me using the Ouija board, so I jumped in and told them the story. They seem convinced that Merr"&amp;"iweather isn't dead because there is no body.")</f>
        <v>They listened attentively as Diesel gave charge info and I was there and "overheard" the conversation. They didn't know who I was but they were talking about me using the Ouija board, so I jumped in and told them the story. They seem convinced that Merriweather isn't dead because there is no body.</v>
      </c>
      <c r="D40" s="12"/>
      <c r="E40" s="214"/>
      <c r="F40" s="214"/>
    </row>
    <row r="41">
      <c r="A41" s="32" t="str">
        <f>IFERROR(__xludf.DUMMYFUNCTION("""COMPUTED_VALUE"""),"Equinoxious")</f>
        <v>Equinoxious</v>
      </c>
      <c r="B41" s="48" t="b">
        <f>IFERROR(__xludf.DUMMYFUNCTION("""COMPUTED_VALUE"""),TRUE)</f>
        <v>1</v>
      </c>
      <c r="C41" s="138" t="str">
        <f>IFERROR(__xludf.DUMMYFUNCTION("""COMPUTED_VALUE"""),"mentioned feeling bad about not checking with her the day she killed that guy when the convo was happening with the whole group --TSR")</f>
        <v>mentioned feeling bad about not checking with her the day she killed that guy when the convo was happening with the whole group --TSR</v>
      </c>
      <c r="D41" s="12"/>
      <c r="E41" s="214"/>
      <c r="F41" s="214"/>
    </row>
    <row r="42">
      <c r="A42" s="32" t="str">
        <f>IFERROR(__xludf.DUMMYFUNCTION("""COMPUTED_VALUE"""),"Karmin Smirch")</f>
        <v>Karmin Smirch</v>
      </c>
      <c r="B42" s="48" t="b">
        <f>IFERROR(__xludf.DUMMYFUNCTION("""COMPUTED_VALUE"""),TRUE)</f>
        <v>1</v>
      </c>
      <c r="C42" s="138" t="str">
        <f>IFERROR(__xludf.DUMMYFUNCTION("""COMPUTED_VALUE"""),"Told them about Bane+Dorito around 7pm Sat at dinner.  They were unaware they were an item.  I also mentioned that Bane yelled at me when I saw him out and asked the time.")</f>
        <v>Told them about Bane+Dorito around 7pm Sat at dinner.  They were unaware they were an item.  I also mentioned that Bane yelled at me when I saw him out and asked the time.</v>
      </c>
      <c r="D42" s="12"/>
      <c r="E42" s="214"/>
      <c r="F42" s="214"/>
    </row>
    <row r="43">
      <c r="A43" s="32" t="str">
        <f>IFERROR(__xludf.DUMMYFUNCTION("""COMPUTED_VALUE"""),"Geneva Sprink")</f>
        <v>Geneva Sprink</v>
      </c>
      <c r="B43" s="48" t="b">
        <f>IFERROR(__xludf.DUMMYFUNCTION("""COMPUTED_VALUE"""),FALSE)</f>
        <v>0</v>
      </c>
      <c r="C43" s="138" t="str">
        <f>IFERROR(__xludf.DUMMYFUNCTION("""COMPUTED_VALUE"""),"Did not give this info because they were very focused on telling me about pirate attack in our interaction (after Bartleby accidentally told them to tell me this info at breakfast) and was told by Dorito they already had fully understood it")</f>
        <v>Did not give this info because they were very focused on telling me about pirate attack in our interaction (after Bartleby accidentally told them to tell me this info at breakfast) and was told by Dorito they already had fully understood it</v>
      </c>
      <c r="D43" s="12"/>
      <c r="E43" s="214"/>
      <c r="F43" s="214"/>
    </row>
    <row r="44">
      <c r="A44" s="32" t="str">
        <f>IFERROR(__xludf.DUMMYFUNCTION("""COMPUTED_VALUE"""),"Donna Peacock")</f>
        <v>Donna Peacock</v>
      </c>
      <c r="B44" s="48" t="b">
        <f>IFERROR(__xludf.DUMMYFUNCTION("""COMPUTED_VALUE"""),FALSE)</f>
        <v>0</v>
      </c>
      <c r="C44" s="138" t="str">
        <f>IFERROR(__xludf.DUMMYFUNCTION("""COMPUTED_VALUE"""),"I didn't give this info to Keer because I talked to JennMo and it seemed like they were clear on this info. ")</f>
        <v>I didn't give this info to Keer because I talked to JennMo and it seemed like they were clear on this info. </v>
      </c>
      <c r="D44" s="12"/>
      <c r="E44" s="214"/>
      <c r="F44" s="214"/>
    </row>
    <row r="45">
      <c r="A45" s="32" t="str">
        <f>IFERROR(__xludf.DUMMYFUNCTION("""COMPUTED_VALUE"""),"Kazmira")</f>
        <v>Kazmira</v>
      </c>
      <c r="B45" s="48" t="b">
        <f>IFERROR(__xludf.DUMMYFUNCTION("""COMPUTED_VALUE"""),TRUE)</f>
        <v>1</v>
      </c>
      <c r="C45" s="138"/>
      <c r="D45" s="12"/>
      <c r="E45" s="214"/>
      <c r="F45" s="214"/>
    </row>
    <row r="46">
      <c r="A46" s="32" t="str">
        <f>IFERROR(__xludf.DUMMYFUNCTION("""COMPUTED_VALUE"""),"Umberto Dunn")</f>
        <v>Umberto Dunn</v>
      </c>
      <c r="B46" s="48" t="b">
        <f>IFERROR(__xludf.DUMMYFUNCTION("""COMPUTED_VALUE"""),TRUE)</f>
        <v>1</v>
      </c>
      <c r="C46" s="138" t="str">
        <f>IFERROR(__xludf.DUMMYFUNCTION("""COMPUTED_VALUE"""),"Hooked into Apoc visit to clue on Dorito, whole party heard and got it.   - BW")</f>
        <v>Hooked into Apoc visit to clue on Dorito, whole party heard and got it.   - BW</v>
      </c>
      <c r="D46" s="12"/>
      <c r="E46" s="214"/>
      <c r="F46" s="214"/>
    </row>
    <row r="47">
      <c r="A47" s="214" t="str">
        <f>IFERROR(__xludf.DUMMYFUNCTION("""COMPUTED_VALUE"""),"Eugenie Bright")</f>
        <v>Eugenie Bright</v>
      </c>
      <c r="B47" s="12" t="b">
        <f>IFERROR(__xludf.DUMMYFUNCTION("""COMPUTED_VALUE"""),TRUE)</f>
        <v>1</v>
      </c>
      <c r="C47" s="137"/>
      <c r="D47" s="214"/>
      <c r="E47" s="214"/>
      <c r="F47" s="214"/>
    </row>
    <row r="48">
      <c r="A48" s="214" t="str">
        <f>IFERROR(__xludf.DUMMYFUNCTION("""COMPUTED_VALUE"""),"Bailey")</f>
        <v>Bailey</v>
      </c>
      <c r="B48" s="12" t="b">
        <f>IFERROR(__xludf.DUMMYFUNCTION("""COMPUTED_VALUE"""),TRUE)</f>
        <v>1</v>
      </c>
      <c r="C48" s="137" t="str">
        <f>IFERROR(__xludf.DUMMYFUNCTION("""COMPUTED_VALUE"""),"They may have taken a few royals out of the pouch? Not sure!")</f>
        <v>They may have taken a few royals out of the pouch? Not sure!</v>
      </c>
      <c r="D48" s="214"/>
      <c r="E48" s="214"/>
      <c r="F48" s="214"/>
    </row>
    <row r="49">
      <c r="A49" s="214" t="str">
        <f>IFERROR(__xludf.DUMMYFUNCTION("""COMPUTED_VALUE"""),"Revelations")</f>
        <v>Revelations</v>
      </c>
      <c r="B49" s="12"/>
      <c r="C49" s="137"/>
      <c r="D49" s="214"/>
      <c r="E49" s="214"/>
      <c r="F49" s="214"/>
    </row>
    <row r="50">
      <c r="A50" s="214" t="str">
        <f>IFERROR(__xludf.DUMMYFUNCTION("""COMPUTED_VALUE"""),"Lenora Graves")</f>
        <v>Lenora Graves</v>
      </c>
      <c r="B50" s="12" t="b">
        <f>IFERROR(__xludf.DUMMYFUNCTION("""COMPUTED_VALUE"""),FALSE)</f>
        <v>0</v>
      </c>
      <c r="C50" s="137"/>
      <c r="D50" s="214"/>
      <c r="E50" s="214"/>
      <c r="F50" s="214"/>
    </row>
    <row r="51">
      <c r="A51" s="214" t="str">
        <f>IFERROR(__xludf.DUMMYFUNCTION("""COMPUTED_VALUE"""),"Daniel Merriweather")</f>
        <v>Daniel Merriweather</v>
      </c>
      <c r="B51" s="12" t="b">
        <f>IFERROR(__xludf.DUMMYFUNCTION("""COMPUTED_VALUE"""),FALSE)</f>
        <v>0</v>
      </c>
      <c r="C51" s="137"/>
      <c r="D51" s="214"/>
      <c r="E51" s="214"/>
      <c r="F51" s="214"/>
    </row>
    <row r="52">
      <c r="A52" s="214" t="str">
        <f>IFERROR(__xludf.DUMMYFUNCTION("""COMPUTED_VALUE"""),"Dorito")</f>
        <v>Dorito</v>
      </c>
      <c r="B52" s="12" t="b">
        <f>IFERROR(__xludf.DUMMYFUNCTION("""COMPUTED_VALUE"""),FALSE)</f>
        <v>0</v>
      </c>
      <c r="C52" s="137"/>
      <c r="D52" s="214"/>
      <c r="E52" s="214"/>
      <c r="F52" s="214"/>
    </row>
    <row r="53">
      <c r="A53" s="214" t="str">
        <f>IFERROR(__xludf.DUMMYFUNCTION("""COMPUTED_VALUE"""),"Valentina")</f>
        <v>Valentina</v>
      </c>
      <c r="B53" s="12" t="b">
        <f>IFERROR(__xludf.DUMMYFUNCTION("""COMPUTED_VALUE"""),FALSE)</f>
        <v>0</v>
      </c>
      <c r="C53" s="137"/>
      <c r="D53" s="214"/>
      <c r="E53" s="214"/>
      <c r="F53" s="214"/>
    </row>
    <row r="54">
      <c r="A54" s="214"/>
      <c r="B54" s="12"/>
      <c r="C54" s="137"/>
      <c r="D54" s="214"/>
      <c r="E54" s="214"/>
      <c r="F54" s="214"/>
    </row>
    <row r="55">
      <c r="A55" s="214" t="str">
        <f>IFERROR(__xludf.DUMMYFUNCTION("""COMPUTED_VALUE"""),"GENERAL NOTES")</f>
        <v>GENERAL NOTES</v>
      </c>
      <c r="B55" s="12"/>
      <c r="C55" s="137"/>
      <c r="D55" s="214"/>
      <c r="E55" s="214"/>
      <c r="F55" s="214"/>
    </row>
    <row r="56">
      <c r="A56" s="214" t="str">
        <f>IFERROR(__xludf.DUMMYFUNCTION("""COMPUTED_VALUE"""),"ER as skeever3 - Overheard them talkng about what they knew about other parties and thier quests on way back. Knew Arden's quest and also P'loas quest. Seem to be getting into world. —ER")</f>
        <v>ER as skeever3 - Overheard them talkng about what they knew about other parties and thier quests on way back. Knew Arden's quest and also P'loas quest. Seem to be getting into world. —ER</v>
      </c>
      <c r="B56" s="12"/>
      <c r="C56" s="137"/>
      <c r="D56" s="214"/>
      <c r="E56" s="214"/>
      <c r="F56" s="214"/>
    </row>
    <row r="57">
      <c r="A57" s="214" t="str">
        <f>IFERROR(__xludf.DUMMYFUNCTION("""COMPUTED_VALUE"""),"Bartleby accidentally gave them Jack Brigham info, have fixed it. - KK")</f>
        <v>Bartleby accidentally gave them Jack Brigham info, have fixed it. - KK</v>
      </c>
      <c r="B57" s="12"/>
      <c r="C57" s="137"/>
      <c r="D57" s="214"/>
      <c r="E57" s="214"/>
      <c r="F57" s="214"/>
    </row>
    <row r="58">
      <c r="A58" s="214" t="str">
        <f>IFERROR(__xludf.DUMMYFUNCTION("""COMPUTED_VALUE"""),"party photo taken -Mirin")</f>
        <v>party photo taken -Mirin</v>
      </c>
      <c r="B58" s="12"/>
      <c r="C58" s="137"/>
      <c r="D58" s="214"/>
      <c r="E58" s="214"/>
      <c r="F58" s="214"/>
    </row>
    <row r="59">
      <c r="A59" s="214" t="str">
        <f>IFERROR(__xludf.DUMMYFUNCTION("""COMPUTED_VALUE"""),"Worked well at Managers and Peons - Fun group!")</f>
        <v>Worked well at Managers and Peons - Fun group!</v>
      </c>
      <c r="B59" s="12"/>
      <c r="C59" s="137"/>
      <c r="D59" s="214"/>
      <c r="E59" s="214"/>
      <c r="F59" s="214"/>
    </row>
    <row r="60">
      <c r="A60" s="214" t="str">
        <f>IFERROR(__xludf.DUMMYFUNCTION("""COMPUTED_VALUE"""),"Have golden page info re: Obsidian-Abigail")</f>
        <v>Have golden page info re: Obsidian-Abigail</v>
      </c>
      <c r="B60" s="12"/>
      <c r="C60" s="137"/>
      <c r="D60" s="214"/>
      <c r="E60" s="214"/>
      <c r="F60" s="214"/>
    </row>
    <row r="61">
      <c r="A61" s="214" t="str">
        <f>IFERROR(__xludf.DUMMYFUNCTION("""COMPUTED_VALUE"""),"Hit them solidly with Diesel-as-child.  One asked, ""are you a seven year old girl?""  (""Ew, gross, no!"")")</f>
        <v>Hit them solidly with Diesel-as-child.  One asked, "are you a seven year old girl?"  ("Ew, gross, no!")</v>
      </c>
      <c r="B61" s="12"/>
      <c r="C61" s="137"/>
      <c r="D61" s="214"/>
      <c r="E61" s="214"/>
      <c r="F61" s="214"/>
    </row>
    <row r="62">
      <c r="A62" s="214" t="str">
        <f>IFERROR(__xludf.DUMMYFUNCTION("""COMPUTED_VALUE"""),"As Dorito talked to them at site and they asked about the murder. I admitted to it of course but gave non-convincing details. They seemed skeptical that I did this in my right mind.")</f>
        <v>As Dorito talked to them at site and they asked about the murder. I admitted to it of course but gave non-convincing details. They seemed skeptical that I did this in my right mind.</v>
      </c>
      <c r="B62" s="12"/>
      <c r="C62" s="137"/>
      <c r="D62" s="214"/>
      <c r="E62" s="214"/>
      <c r="F62" s="214"/>
    </row>
    <row r="63">
      <c r="A63" s="214"/>
      <c r="B63" s="12"/>
      <c r="C63" s="137"/>
      <c r="D63" s="214"/>
      <c r="E63" s="214"/>
      <c r="F63" s="214"/>
    </row>
    <row r="64">
      <c r="A64" s="214"/>
      <c r="B64" s="12"/>
      <c r="C64" s="137"/>
      <c r="D64" s="214"/>
      <c r="E64" s="214"/>
      <c r="F64" s="214"/>
    </row>
    <row r="65">
      <c r="A65" s="214"/>
      <c r="B65" s="12"/>
      <c r="C65" s="137"/>
      <c r="D65" s="214"/>
      <c r="E65" s="214"/>
      <c r="F65" s="214"/>
    </row>
    <row r="66">
      <c r="A66" s="214"/>
      <c r="B66" s="12"/>
      <c r="C66" s="137"/>
      <c r="D66" s="214"/>
      <c r="E66" s="214"/>
      <c r="F66" s="214"/>
    </row>
    <row r="67">
      <c r="A67" s="214"/>
      <c r="B67" s="12"/>
      <c r="C67" s="137"/>
      <c r="D67" s="214"/>
      <c r="E67" s="214"/>
      <c r="F67" s="214"/>
    </row>
    <row r="68">
      <c r="A68" s="214"/>
      <c r="B68" s="12"/>
      <c r="C68" s="137"/>
      <c r="D68" s="214"/>
      <c r="E68" s="214"/>
      <c r="F68" s="214"/>
    </row>
    <row r="69">
      <c r="A69" s="214"/>
      <c r="B69" s="12"/>
      <c r="C69" s="137"/>
      <c r="D69" s="214"/>
      <c r="E69" s="214"/>
      <c r="F69" s="214"/>
    </row>
    <row r="70">
      <c r="A70" s="214"/>
      <c r="B70" s="12"/>
      <c r="C70" s="137"/>
      <c r="D70" s="214"/>
      <c r="E70" s="214"/>
      <c r="F70" s="214"/>
    </row>
    <row r="71">
      <c r="A71" s="214"/>
      <c r="B71" s="12"/>
      <c r="C71" s="137"/>
      <c r="D71" s="214"/>
      <c r="E71" s="214"/>
      <c r="F71" s="214"/>
    </row>
    <row r="72">
      <c r="A72" s="214"/>
      <c r="B72" s="12"/>
      <c r="C72" s="137"/>
      <c r="D72" s="214"/>
      <c r="E72" s="214"/>
      <c r="F72" s="214"/>
    </row>
    <row r="73">
      <c r="A73" s="214"/>
      <c r="B73" s="12"/>
      <c r="C73" s="137"/>
      <c r="D73" s="214"/>
      <c r="E73" s="214"/>
      <c r="F73" s="214"/>
    </row>
    <row r="74">
      <c r="A74" s="214"/>
      <c r="B74" s="12"/>
      <c r="C74" s="137"/>
      <c r="D74" s="214"/>
      <c r="E74" s="214"/>
      <c r="F74" s="214"/>
    </row>
    <row r="75">
      <c r="A75" s="214"/>
      <c r="B75" s="12"/>
      <c r="C75" s="137"/>
      <c r="D75" s="214"/>
      <c r="E75" s="214"/>
      <c r="F75" s="214"/>
    </row>
    <row r="76">
      <c r="A76" s="214"/>
      <c r="B76" s="12"/>
      <c r="C76" s="137"/>
      <c r="D76" s="214"/>
      <c r="E76" s="214"/>
      <c r="F76" s="214"/>
    </row>
    <row r="77">
      <c r="A77" s="214"/>
      <c r="B77" s="12"/>
      <c r="C77" s="137"/>
      <c r="D77" s="214"/>
      <c r="E77" s="214"/>
      <c r="F77" s="214"/>
    </row>
    <row r="78">
      <c r="A78" s="214"/>
      <c r="B78" s="12"/>
      <c r="C78" s="137"/>
      <c r="D78" s="214"/>
      <c r="E78" s="214"/>
      <c r="F78" s="214"/>
    </row>
    <row r="79">
      <c r="A79" s="214"/>
      <c r="B79" s="12"/>
      <c r="C79" s="137"/>
      <c r="D79" s="214"/>
      <c r="E79" s="214"/>
      <c r="F79" s="214"/>
    </row>
    <row r="80">
      <c r="A80" s="214"/>
      <c r="B80" s="12"/>
      <c r="C80" s="137"/>
      <c r="D80" s="214"/>
      <c r="E80" s="214"/>
      <c r="F80" s="214"/>
    </row>
    <row r="81">
      <c r="B81" s="12"/>
      <c r="C81" s="137"/>
    </row>
    <row r="82">
      <c r="B82" s="12"/>
      <c r="C82" s="137"/>
    </row>
    <row r="83">
      <c r="B83" s="12"/>
      <c r="C83" s="137"/>
    </row>
    <row r="84">
      <c r="B84" s="12"/>
      <c r="C84" s="137"/>
    </row>
    <row r="85">
      <c r="B85" s="12"/>
      <c r="C85" s="137"/>
    </row>
    <row r="86">
      <c r="B86" s="12"/>
      <c r="C86" s="137"/>
    </row>
    <row r="87">
      <c r="B87" s="12"/>
      <c r="C87" s="137"/>
    </row>
    <row r="88">
      <c r="B88" s="12"/>
      <c r="C88" s="137"/>
    </row>
    <row r="89">
      <c r="B89" s="12"/>
      <c r="C89" s="137"/>
    </row>
    <row r="90">
      <c r="B90" s="12"/>
      <c r="C90" s="137"/>
    </row>
    <row r="91">
      <c r="B91" s="12"/>
      <c r="C91" s="137"/>
    </row>
    <row r="92">
      <c r="B92" s="12"/>
      <c r="C92" s="137"/>
    </row>
    <row r="93">
      <c r="B93" s="12"/>
      <c r="C93" s="137"/>
    </row>
    <row r="94">
      <c r="B94" s="12"/>
      <c r="C94" s="137"/>
    </row>
    <row r="95">
      <c r="B95" s="12"/>
      <c r="C95" s="137"/>
    </row>
    <row r="96">
      <c r="B96" s="12"/>
      <c r="C96" s="137"/>
    </row>
    <row r="97">
      <c r="B97" s="12"/>
      <c r="C97" s="137"/>
    </row>
    <row r="98">
      <c r="B98" s="12"/>
      <c r="C98" s="137"/>
    </row>
    <row r="99">
      <c r="B99" s="12"/>
      <c r="C99" s="137"/>
    </row>
    <row r="100">
      <c r="B100" s="12"/>
      <c r="C100" s="137"/>
    </row>
    <row r="101">
      <c r="B101" s="12"/>
      <c r="C101" s="137"/>
    </row>
    <row r="102">
      <c r="B102" s="12"/>
      <c r="C102" s="137"/>
    </row>
    <row r="103">
      <c r="B103" s="12"/>
      <c r="C103" s="137"/>
    </row>
    <row r="104">
      <c r="B104" s="12"/>
      <c r="C104" s="137"/>
    </row>
    <row r="105">
      <c r="B105" s="12"/>
      <c r="C105" s="137"/>
    </row>
    <row r="106">
      <c r="B106" s="12"/>
      <c r="C106" s="137"/>
    </row>
    <row r="107">
      <c r="B107" s="12"/>
      <c r="C107" s="137"/>
    </row>
    <row r="108">
      <c r="B108" s="12"/>
      <c r="C108" s="137"/>
    </row>
    <row r="109">
      <c r="B109" s="12"/>
      <c r="C109" s="137"/>
    </row>
    <row r="110">
      <c r="B110" s="12"/>
      <c r="C110" s="137"/>
    </row>
    <row r="111">
      <c r="B111" s="12"/>
      <c r="C111" s="137"/>
    </row>
    <row r="112">
      <c r="B112" s="12"/>
      <c r="C112" s="137"/>
    </row>
    <row r="113">
      <c r="B113" s="12"/>
      <c r="C113" s="137"/>
    </row>
    <row r="114">
      <c r="B114" s="12"/>
      <c r="C114" s="137"/>
    </row>
    <row r="115">
      <c r="B115" s="12"/>
      <c r="C115" s="137"/>
    </row>
    <row r="116">
      <c r="B116" s="12"/>
      <c r="C116" s="137"/>
    </row>
    <row r="117">
      <c r="B117" s="12"/>
      <c r="C117" s="137"/>
    </row>
    <row r="118">
      <c r="B118" s="12"/>
      <c r="C118" s="137"/>
    </row>
    <row r="119">
      <c r="B119" s="12"/>
      <c r="C119" s="137"/>
    </row>
    <row r="120">
      <c r="B120" s="12"/>
      <c r="C120" s="137"/>
    </row>
    <row r="121">
      <c r="B121" s="12"/>
      <c r="C121" s="137"/>
    </row>
    <row r="122">
      <c r="B122" s="12"/>
      <c r="C122" s="137"/>
    </row>
    <row r="123">
      <c r="B123" s="12"/>
      <c r="C123" s="137"/>
    </row>
    <row r="124">
      <c r="B124" s="12"/>
      <c r="C124" s="137"/>
    </row>
    <row r="125">
      <c r="B125" s="12"/>
      <c r="C125" s="137"/>
    </row>
    <row r="126">
      <c r="B126" s="12"/>
      <c r="C126" s="137"/>
    </row>
    <row r="127">
      <c r="B127" s="12"/>
      <c r="C127" s="137"/>
    </row>
    <row r="128">
      <c r="B128" s="12"/>
      <c r="C128" s="137"/>
    </row>
    <row r="129">
      <c r="B129" s="12"/>
      <c r="C129" s="137"/>
    </row>
    <row r="130">
      <c r="B130" s="12"/>
      <c r="C130" s="137"/>
    </row>
    <row r="131">
      <c r="B131" s="12"/>
      <c r="C131" s="137"/>
    </row>
    <row r="132">
      <c r="B132" s="12"/>
      <c r="C132" s="137"/>
    </row>
    <row r="133">
      <c r="B133" s="12"/>
      <c r="C133" s="137"/>
    </row>
    <row r="134">
      <c r="B134" s="12"/>
      <c r="C134" s="137"/>
    </row>
    <row r="135">
      <c r="B135" s="12"/>
      <c r="C135" s="137"/>
    </row>
    <row r="136">
      <c r="B136" s="12"/>
      <c r="C136" s="137"/>
    </row>
    <row r="137">
      <c r="B137" s="12"/>
      <c r="C137" s="137"/>
    </row>
    <row r="138">
      <c r="B138" s="12"/>
      <c r="C138" s="137"/>
    </row>
    <row r="139">
      <c r="B139" s="12"/>
      <c r="C139" s="137"/>
    </row>
    <row r="140">
      <c r="B140" s="12"/>
      <c r="C140" s="137"/>
    </row>
    <row r="141">
      <c r="B141" s="12"/>
      <c r="C141" s="137"/>
    </row>
    <row r="142">
      <c r="B142" s="12"/>
      <c r="C142" s="137"/>
    </row>
    <row r="143">
      <c r="B143" s="12"/>
      <c r="C143" s="137"/>
    </row>
    <row r="144">
      <c r="B144" s="12"/>
      <c r="C144" s="137"/>
    </row>
    <row r="145">
      <c r="B145" s="12"/>
      <c r="C145" s="137"/>
    </row>
    <row r="146">
      <c r="B146" s="12"/>
      <c r="C146" s="137"/>
    </row>
    <row r="147">
      <c r="B147" s="12"/>
      <c r="C147" s="137"/>
    </row>
    <row r="148">
      <c r="B148" s="12"/>
      <c r="C148" s="137"/>
    </row>
    <row r="149">
      <c r="B149" s="12"/>
      <c r="C149" s="137"/>
    </row>
    <row r="150">
      <c r="B150" s="12"/>
      <c r="C150" s="137"/>
    </row>
    <row r="151">
      <c r="B151" s="12"/>
      <c r="C151" s="137"/>
    </row>
    <row r="152">
      <c r="B152" s="12"/>
      <c r="C152" s="137"/>
    </row>
    <row r="153">
      <c r="B153" s="12"/>
      <c r="C153" s="137"/>
    </row>
    <row r="154">
      <c r="B154" s="12"/>
      <c r="C154" s="137"/>
    </row>
    <row r="155">
      <c r="B155" s="12"/>
      <c r="C155" s="137"/>
    </row>
    <row r="156">
      <c r="B156" s="12"/>
      <c r="C156" s="137"/>
    </row>
    <row r="157">
      <c r="B157" s="12"/>
      <c r="C157" s="137"/>
    </row>
    <row r="158">
      <c r="B158" s="12"/>
      <c r="C158" s="137"/>
    </row>
    <row r="159">
      <c r="B159" s="12"/>
      <c r="C159" s="137"/>
    </row>
    <row r="160">
      <c r="B160" s="12"/>
      <c r="C160" s="137"/>
    </row>
    <row r="161">
      <c r="B161" s="12"/>
      <c r="C161" s="137"/>
    </row>
    <row r="162">
      <c r="B162" s="12"/>
      <c r="C162" s="137"/>
    </row>
    <row r="163">
      <c r="B163" s="12"/>
      <c r="C163" s="137"/>
    </row>
    <row r="164">
      <c r="B164" s="12"/>
      <c r="C164" s="137"/>
    </row>
    <row r="165">
      <c r="B165" s="12"/>
      <c r="C165" s="137"/>
    </row>
    <row r="166">
      <c r="B166" s="12"/>
      <c r="C166" s="137"/>
    </row>
    <row r="167">
      <c r="B167" s="12"/>
      <c r="C167" s="137"/>
    </row>
    <row r="168">
      <c r="B168" s="12"/>
      <c r="C168" s="137"/>
    </row>
    <row r="169">
      <c r="B169" s="12"/>
      <c r="C169" s="137"/>
    </row>
    <row r="170">
      <c r="B170" s="12"/>
      <c r="C170" s="137"/>
    </row>
    <row r="171">
      <c r="B171" s="12"/>
      <c r="C171" s="137"/>
    </row>
    <row r="172">
      <c r="B172" s="12"/>
      <c r="C172" s="137"/>
    </row>
    <row r="173">
      <c r="B173" s="12"/>
      <c r="C173" s="137"/>
    </row>
    <row r="174">
      <c r="B174" s="12"/>
      <c r="C174" s="137"/>
    </row>
    <row r="175">
      <c r="B175" s="12"/>
      <c r="C175" s="137"/>
    </row>
    <row r="176">
      <c r="B176" s="12"/>
      <c r="C176" s="137"/>
    </row>
    <row r="177">
      <c r="B177" s="12"/>
      <c r="C177" s="137"/>
    </row>
    <row r="178">
      <c r="B178" s="12"/>
      <c r="C178" s="137"/>
    </row>
    <row r="179">
      <c r="B179" s="12"/>
      <c r="C179" s="137"/>
    </row>
    <row r="180">
      <c r="B180" s="12"/>
      <c r="C180" s="137"/>
    </row>
    <row r="181">
      <c r="B181" s="12"/>
      <c r="C181" s="137"/>
    </row>
    <row r="182">
      <c r="B182" s="12"/>
      <c r="C182" s="137"/>
    </row>
    <row r="183">
      <c r="B183" s="12"/>
      <c r="C183" s="137"/>
    </row>
    <row r="184">
      <c r="B184" s="12"/>
      <c r="C184" s="137"/>
    </row>
    <row r="185">
      <c r="B185" s="12"/>
      <c r="C185" s="137"/>
    </row>
    <row r="186">
      <c r="B186" s="12"/>
      <c r="C186" s="137"/>
    </row>
    <row r="187">
      <c r="B187" s="12"/>
      <c r="C187" s="137"/>
    </row>
    <row r="188">
      <c r="B188" s="12"/>
      <c r="C188" s="137"/>
    </row>
    <row r="189">
      <c r="B189" s="12"/>
      <c r="C189" s="137"/>
    </row>
    <row r="190">
      <c r="B190" s="12"/>
      <c r="C190" s="137"/>
    </row>
    <row r="191">
      <c r="B191" s="12"/>
      <c r="C191" s="137"/>
    </row>
    <row r="192">
      <c r="B192" s="12"/>
      <c r="C192" s="137"/>
    </row>
    <row r="193">
      <c r="B193" s="12"/>
      <c r="C193" s="137"/>
    </row>
    <row r="194">
      <c r="B194" s="12"/>
      <c r="C194" s="137"/>
    </row>
    <row r="195">
      <c r="B195" s="12"/>
      <c r="C195" s="137"/>
    </row>
    <row r="196">
      <c r="B196" s="12"/>
      <c r="C196" s="137"/>
    </row>
    <row r="197">
      <c r="B197" s="12"/>
      <c r="C197" s="137"/>
    </row>
    <row r="198">
      <c r="B198" s="12"/>
      <c r="C198" s="137"/>
    </row>
    <row r="199">
      <c r="B199" s="12"/>
      <c r="C199" s="137"/>
    </row>
    <row r="200">
      <c r="B200" s="12"/>
      <c r="C200" s="137"/>
    </row>
    <row r="201">
      <c r="B201" s="12"/>
      <c r="C201" s="137"/>
    </row>
    <row r="202">
      <c r="B202" s="12"/>
      <c r="C202" s="137"/>
    </row>
    <row r="203">
      <c r="B203" s="12"/>
      <c r="C203" s="137"/>
    </row>
    <row r="204">
      <c r="B204" s="12"/>
      <c r="C204" s="137"/>
    </row>
    <row r="205">
      <c r="B205" s="12"/>
      <c r="C205" s="137"/>
    </row>
    <row r="206">
      <c r="B206" s="12"/>
      <c r="C206" s="137"/>
    </row>
    <row r="207">
      <c r="B207" s="12"/>
      <c r="C207" s="137"/>
    </row>
    <row r="208">
      <c r="B208" s="12"/>
      <c r="C208" s="137"/>
    </row>
    <row r="209">
      <c r="B209" s="12"/>
      <c r="C209" s="137"/>
    </row>
    <row r="210">
      <c r="B210" s="12"/>
      <c r="C210" s="137"/>
    </row>
    <row r="211">
      <c r="B211" s="12"/>
      <c r="C211" s="137"/>
    </row>
    <row r="212">
      <c r="B212" s="12"/>
      <c r="C212" s="137"/>
    </row>
    <row r="213">
      <c r="B213" s="12"/>
      <c r="C213" s="137"/>
    </row>
    <row r="214">
      <c r="B214" s="12"/>
      <c r="C214" s="137"/>
    </row>
    <row r="215">
      <c r="B215" s="12"/>
      <c r="C215" s="137"/>
    </row>
    <row r="216">
      <c r="B216" s="12"/>
      <c r="C216" s="137"/>
    </row>
    <row r="217">
      <c r="B217" s="12"/>
      <c r="C217" s="137"/>
    </row>
    <row r="218">
      <c r="B218" s="12"/>
      <c r="C218" s="137"/>
    </row>
    <row r="219">
      <c r="B219" s="12"/>
      <c r="C219" s="137"/>
    </row>
    <row r="220">
      <c r="B220" s="12"/>
      <c r="C220" s="137"/>
    </row>
    <row r="221">
      <c r="B221" s="12"/>
      <c r="C221" s="137"/>
    </row>
    <row r="222">
      <c r="B222" s="12"/>
      <c r="C222" s="137"/>
    </row>
    <row r="223">
      <c r="B223" s="12"/>
      <c r="C223" s="137"/>
    </row>
    <row r="224">
      <c r="B224" s="12"/>
      <c r="C224" s="137"/>
    </row>
    <row r="225">
      <c r="B225" s="12"/>
      <c r="C225" s="137"/>
    </row>
    <row r="226">
      <c r="B226" s="12"/>
      <c r="C226" s="137"/>
    </row>
    <row r="227">
      <c r="B227" s="12"/>
      <c r="C227" s="137"/>
    </row>
    <row r="228">
      <c r="B228" s="12"/>
      <c r="C228" s="137"/>
    </row>
    <row r="229">
      <c r="B229" s="12"/>
      <c r="C229" s="137"/>
    </row>
    <row r="230">
      <c r="B230" s="12"/>
      <c r="C230" s="137"/>
    </row>
    <row r="231">
      <c r="B231" s="12"/>
      <c r="C231" s="137"/>
    </row>
    <row r="232">
      <c r="B232" s="12"/>
      <c r="C232" s="137"/>
    </row>
    <row r="233">
      <c r="B233" s="12"/>
      <c r="C233" s="137"/>
    </row>
    <row r="234">
      <c r="B234" s="12"/>
      <c r="C234" s="137"/>
    </row>
    <row r="235">
      <c r="B235" s="12"/>
      <c r="C235" s="137"/>
    </row>
    <row r="236">
      <c r="B236" s="12"/>
      <c r="C236" s="137"/>
    </row>
    <row r="237">
      <c r="B237" s="12"/>
      <c r="C237" s="137"/>
    </row>
    <row r="238">
      <c r="B238" s="12"/>
      <c r="C238" s="137"/>
    </row>
    <row r="239">
      <c r="B239" s="12"/>
      <c r="C239" s="137"/>
    </row>
    <row r="240">
      <c r="B240" s="12"/>
      <c r="C240" s="137"/>
    </row>
    <row r="241">
      <c r="B241" s="12"/>
      <c r="C241" s="137"/>
    </row>
    <row r="242">
      <c r="B242" s="12"/>
      <c r="C242" s="137"/>
    </row>
    <row r="243">
      <c r="B243" s="12"/>
      <c r="C243" s="137"/>
    </row>
    <row r="244">
      <c r="B244" s="12"/>
      <c r="C244" s="137"/>
    </row>
    <row r="245">
      <c r="B245" s="12"/>
      <c r="C245" s="137"/>
    </row>
    <row r="246">
      <c r="B246" s="12"/>
      <c r="C246" s="137"/>
    </row>
    <row r="247">
      <c r="B247" s="12"/>
      <c r="C247" s="137"/>
    </row>
    <row r="248">
      <c r="B248" s="12"/>
      <c r="C248" s="137"/>
    </row>
    <row r="249">
      <c r="B249" s="12"/>
      <c r="C249" s="137"/>
    </row>
    <row r="250">
      <c r="B250" s="12"/>
      <c r="C250" s="137"/>
    </row>
    <row r="251">
      <c r="B251" s="12"/>
      <c r="C251" s="137"/>
    </row>
    <row r="252">
      <c r="B252" s="12"/>
      <c r="C252" s="137"/>
    </row>
    <row r="253">
      <c r="B253" s="12"/>
      <c r="C253" s="137"/>
    </row>
    <row r="254">
      <c r="B254" s="12"/>
      <c r="C254" s="137"/>
    </row>
    <row r="255">
      <c r="B255" s="12"/>
      <c r="C255" s="137"/>
    </row>
    <row r="256">
      <c r="B256" s="12"/>
      <c r="C256" s="137"/>
    </row>
    <row r="257">
      <c r="B257" s="12"/>
      <c r="C257" s="137"/>
    </row>
    <row r="258">
      <c r="B258" s="12"/>
      <c r="C258" s="137"/>
    </row>
    <row r="259">
      <c r="B259" s="12"/>
      <c r="C259" s="137"/>
    </row>
    <row r="260">
      <c r="B260" s="12"/>
      <c r="C260" s="137"/>
    </row>
    <row r="261">
      <c r="B261" s="12"/>
      <c r="C261" s="137"/>
    </row>
    <row r="262">
      <c r="B262" s="12"/>
      <c r="C262" s="137"/>
    </row>
    <row r="263">
      <c r="B263" s="12"/>
      <c r="C263" s="137"/>
    </row>
    <row r="264">
      <c r="B264" s="12"/>
      <c r="C264" s="137"/>
    </row>
    <row r="265">
      <c r="B265" s="12"/>
      <c r="C265" s="137"/>
    </row>
    <row r="266">
      <c r="B266" s="12"/>
      <c r="C266" s="137"/>
    </row>
    <row r="267">
      <c r="B267" s="12"/>
      <c r="C267" s="137"/>
    </row>
    <row r="268">
      <c r="B268" s="12"/>
      <c r="C268" s="137"/>
    </row>
    <row r="269">
      <c r="B269" s="12"/>
      <c r="C269" s="137"/>
    </row>
    <row r="270">
      <c r="B270" s="12"/>
      <c r="C270" s="137"/>
    </row>
    <row r="271">
      <c r="B271" s="12"/>
      <c r="C271" s="137"/>
    </row>
    <row r="272">
      <c r="B272" s="12"/>
      <c r="C272" s="137"/>
    </row>
    <row r="273">
      <c r="B273" s="12"/>
      <c r="C273" s="137"/>
    </row>
    <row r="274">
      <c r="B274" s="12"/>
      <c r="C274" s="137"/>
    </row>
    <row r="275">
      <c r="B275" s="12"/>
      <c r="C275" s="137"/>
    </row>
    <row r="276">
      <c r="B276" s="12"/>
      <c r="C276" s="137"/>
    </row>
    <row r="277">
      <c r="B277" s="12"/>
      <c r="C277" s="137"/>
    </row>
    <row r="278">
      <c r="B278" s="12"/>
      <c r="C278" s="137"/>
    </row>
    <row r="279">
      <c r="B279" s="12"/>
      <c r="C279" s="137"/>
    </row>
    <row r="280">
      <c r="B280" s="12"/>
      <c r="C280" s="137"/>
    </row>
    <row r="281">
      <c r="B281" s="12"/>
      <c r="C281" s="137"/>
    </row>
    <row r="282">
      <c r="B282" s="12"/>
      <c r="C282" s="137"/>
    </row>
    <row r="283">
      <c r="B283" s="12"/>
      <c r="C283" s="137"/>
    </row>
    <row r="284">
      <c r="B284" s="12"/>
      <c r="C284" s="137"/>
    </row>
    <row r="285">
      <c r="B285" s="12"/>
      <c r="C285" s="137"/>
    </row>
    <row r="286">
      <c r="B286" s="12"/>
      <c r="C286" s="137"/>
    </row>
    <row r="287">
      <c r="B287" s="12"/>
      <c r="C287" s="137"/>
    </row>
    <row r="288">
      <c r="B288" s="12"/>
      <c r="C288" s="137"/>
    </row>
    <row r="289">
      <c r="B289" s="12"/>
      <c r="C289" s="137"/>
    </row>
    <row r="290">
      <c r="B290" s="12"/>
      <c r="C290" s="137"/>
    </row>
    <row r="291">
      <c r="B291" s="12"/>
      <c r="C291" s="137"/>
    </row>
    <row r="292">
      <c r="B292" s="12"/>
      <c r="C292" s="137"/>
    </row>
    <row r="293">
      <c r="B293" s="12"/>
      <c r="C293" s="137"/>
    </row>
    <row r="294">
      <c r="B294" s="12"/>
      <c r="C294" s="137"/>
    </row>
    <row r="295">
      <c r="B295" s="12"/>
      <c r="C295" s="137"/>
    </row>
    <row r="296">
      <c r="B296" s="12"/>
      <c r="C296" s="137"/>
    </row>
    <row r="297">
      <c r="B297" s="12"/>
      <c r="C297" s="137"/>
    </row>
    <row r="298">
      <c r="B298" s="12"/>
      <c r="C298" s="137"/>
    </row>
    <row r="299">
      <c r="B299" s="12"/>
      <c r="C299" s="137"/>
    </row>
    <row r="300">
      <c r="B300" s="12"/>
      <c r="C300" s="137"/>
    </row>
    <row r="301">
      <c r="B301" s="12"/>
      <c r="C301" s="137"/>
    </row>
    <row r="302">
      <c r="B302" s="12"/>
      <c r="C302" s="137"/>
    </row>
    <row r="303">
      <c r="B303" s="12"/>
      <c r="C303" s="137"/>
    </row>
    <row r="304">
      <c r="B304" s="12"/>
      <c r="C304" s="137"/>
    </row>
    <row r="305">
      <c r="B305" s="12"/>
      <c r="C305" s="137"/>
    </row>
    <row r="306">
      <c r="B306" s="12"/>
      <c r="C306" s="137"/>
    </row>
    <row r="307">
      <c r="B307" s="12"/>
      <c r="C307" s="137"/>
    </row>
    <row r="308">
      <c r="B308" s="12"/>
      <c r="C308" s="137"/>
    </row>
    <row r="309">
      <c r="B309" s="12"/>
      <c r="C309" s="137"/>
    </row>
    <row r="310">
      <c r="B310" s="12"/>
      <c r="C310" s="137"/>
    </row>
    <row r="311">
      <c r="B311" s="12"/>
      <c r="C311" s="137"/>
    </row>
    <row r="312">
      <c r="B312" s="12"/>
      <c r="C312" s="137"/>
    </row>
    <row r="313">
      <c r="B313" s="12"/>
      <c r="C313" s="137"/>
    </row>
    <row r="314">
      <c r="B314" s="12"/>
      <c r="C314" s="137"/>
    </row>
    <row r="315">
      <c r="B315" s="12"/>
      <c r="C315" s="137"/>
    </row>
    <row r="316">
      <c r="B316" s="12"/>
      <c r="C316" s="137"/>
    </row>
    <row r="317">
      <c r="B317" s="12"/>
      <c r="C317" s="137"/>
    </row>
    <row r="318">
      <c r="B318" s="12"/>
      <c r="C318" s="137"/>
    </row>
    <row r="319">
      <c r="B319" s="12"/>
      <c r="C319" s="137"/>
    </row>
    <row r="320">
      <c r="B320" s="12"/>
      <c r="C320" s="137"/>
    </row>
    <row r="321">
      <c r="B321" s="12"/>
      <c r="C321" s="137"/>
    </row>
    <row r="322">
      <c r="B322" s="12"/>
      <c r="C322" s="137"/>
    </row>
    <row r="323">
      <c r="B323" s="12"/>
      <c r="C323" s="137"/>
    </row>
    <row r="324">
      <c r="B324" s="12"/>
      <c r="C324" s="137"/>
    </row>
    <row r="325">
      <c r="B325" s="12"/>
      <c r="C325" s="137"/>
    </row>
    <row r="326">
      <c r="B326" s="12"/>
      <c r="C326" s="137"/>
    </row>
    <row r="327">
      <c r="B327" s="12"/>
      <c r="C327" s="137"/>
    </row>
    <row r="328">
      <c r="B328" s="12"/>
      <c r="C328" s="137"/>
    </row>
    <row r="329">
      <c r="B329" s="12"/>
      <c r="C329" s="137"/>
    </row>
    <row r="330">
      <c r="B330" s="12"/>
      <c r="C330" s="137"/>
    </row>
    <row r="331">
      <c r="B331" s="12"/>
      <c r="C331" s="137"/>
    </row>
    <row r="332">
      <c r="B332" s="12"/>
      <c r="C332" s="137"/>
    </row>
    <row r="333">
      <c r="B333" s="12"/>
      <c r="C333" s="137"/>
    </row>
    <row r="334">
      <c r="B334" s="12"/>
      <c r="C334" s="137"/>
    </row>
    <row r="335">
      <c r="B335" s="12"/>
      <c r="C335" s="137"/>
    </row>
    <row r="336">
      <c r="B336" s="12"/>
      <c r="C336" s="137"/>
    </row>
    <row r="337">
      <c r="B337" s="12"/>
      <c r="C337" s="137"/>
    </row>
    <row r="338">
      <c r="B338" s="12"/>
      <c r="C338" s="137"/>
    </row>
    <row r="339">
      <c r="B339" s="12"/>
      <c r="C339" s="137"/>
    </row>
    <row r="340">
      <c r="B340" s="12"/>
      <c r="C340" s="137"/>
    </row>
    <row r="341">
      <c r="B341" s="12"/>
      <c r="C341" s="137"/>
    </row>
    <row r="342">
      <c r="B342" s="12"/>
      <c r="C342" s="137"/>
    </row>
    <row r="343">
      <c r="B343" s="12"/>
      <c r="C343" s="137"/>
    </row>
    <row r="344">
      <c r="B344" s="12"/>
      <c r="C344" s="137"/>
    </row>
    <row r="345">
      <c r="B345" s="12"/>
      <c r="C345" s="137"/>
    </row>
    <row r="346">
      <c r="B346" s="12"/>
      <c r="C346" s="137"/>
    </row>
    <row r="347">
      <c r="B347" s="12"/>
      <c r="C347" s="137"/>
    </row>
    <row r="348">
      <c r="B348" s="12"/>
      <c r="C348" s="137"/>
    </row>
    <row r="349">
      <c r="B349" s="12"/>
      <c r="C349" s="137"/>
    </row>
    <row r="350">
      <c r="B350" s="12"/>
      <c r="C350" s="137"/>
    </row>
    <row r="351">
      <c r="B351" s="12"/>
      <c r="C351" s="137"/>
    </row>
    <row r="352">
      <c r="B352" s="12"/>
      <c r="C352" s="137"/>
    </row>
    <row r="353">
      <c r="B353" s="12"/>
      <c r="C353" s="137"/>
    </row>
    <row r="354">
      <c r="B354" s="12"/>
      <c r="C354" s="137"/>
    </row>
    <row r="355">
      <c r="B355" s="12"/>
      <c r="C355" s="137"/>
    </row>
    <row r="356">
      <c r="B356" s="12"/>
      <c r="C356" s="137"/>
    </row>
    <row r="357">
      <c r="B357" s="12"/>
      <c r="C357" s="137"/>
    </row>
    <row r="358">
      <c r="B358" s="12"/>
      <c r="C358" s="137"/>
    </row>
    <row r="359">
      <c r="B359" s="12"/>
      <c r="C359" s="137"/>
    </row>
    <row r="360">
      <c r="B360" s="12"/>
      <c r="C360" s="137"/>
    </row>
    <row r="361">
      <c r="B361" s="12"/>
      <c r="C361" s="137"/>
    </row>
    <row r="362">
      <c r="B362" s="12"/>
      <c r="C362" s="137"/>
    </row>
    <row r="363">
      <c r="B363" s="12"/>
      <c r="C363" s="137"/>
    </row>
    <row r="364">
      <c r="B364" s="12"/>
      <c r="C364" s="137"/>
    </row>
    <row r="365">
      <c r="B365" s="12"/>
      <c r="C365" s="137"/>
    </row>
    <row r="366">
      <c r="B366" s="12"/>
      <c r="C366" s="137"/>
    </row>
    <row r="367">
      <c r="B367" s="12"/>
      <c r="C367" s="137"/>
    </row>
    <row r="368">
      <c r="B368" s="12"/>
      <c r="C368" s="137"/>
    </row>
    <row r="369">
      <c r="B369" s="12"/>
      <c r="C369" s="137"/>
    </row>
    <row r="370">
      <c r="B370" s="12"/>
      <c r="C370" s="137"/>
    </row>
    <row r="371">
      <c r="B371" s="12"/>
      <c r="C371" s="137"/>
    </row>
    <row r="372">
      <c r="B372" s="12"/>
      <c r="C372" s="137"/>
    </row>
    <row r="373">
      <c r="B373" s="12"/>
      <c r="C373" s="137"/>
    </row>
    <row r="374">
      <c r="B374" s="12"/>
      <c r="C374" s="137"/>
    </row>
    <row r="375">
      <c r="B375" s="12"/>
      <c r="C375" s="137"/>
    </row>
    <row r="376">
      <c r="B376" s="12"/>
      <c r="C376" s="137"/>
    </row>
    <row r="377">
      <c r="B377" s="12"/>
      <c r="C377" s="137"/>
    </row>
    <row r="378">
      <c r="B378" s="12"/>
      <c r="C378" s="137"/>
    </row>
    <row r="379">
      <c r="B379" s="12"/>
      <c r="C379" s="137"/>
    </row>
    <row r="380">
      <c r="B380" s="12"/>
      <c r="C380" s="137"/>
    </row>
    <row r="381">
      <c r="B381" s="12"/>
      <c r="C381" s="137"/>
    </row>
    <row r="382">
      <c r="B382" s="12"/>
      <c r="C382" s="137"/>
    </row>
    <row r="383">
      <c r="B383" s="12"/>
      <c r="C383" s="137"/>
    </row>
    <row r="384">
      <c r="B384" s="12"/>
      <c r="C384" s="137"/>
    </row>
    <row r="385">
      <c r="B385" s="12"/>
      <c r="C385" s="137"/>
    </row>
    <row r="386">
      <c r="B386" s="12"/>
      <c r="C386" s="137"/>
    </row>
    <row r="387">
      <c r="B387" s="12"/>
      <c r="C387" s="137"/>
    </row>
    <row r="388">
      <c r="B388" s="12"/>
      <c r="C388" s="137"/>
    </row>
    <row r="389">
      <c r="B389" s="12"/>
      <c r="C389" s="137"/>
    </row>
    <row r="390">
      <c r="B390" s="12"/>
      <c r="C390" s="137"/>
    </row>
    <row r="391">
      <c r="B391" s="12"/>
      <c r="C391" s="137"/>
    </row>
    <row r="392">
      <c r="B392" s="12"/>
      <c r="C392" s="137"/>
    </row>
    <row r="393">
      <c r="B393" s="12"/>
      <c r="C393" s="137"/>
    </row>
    <row r="394">
      <c r="B394" s="12"/>
      <c r="C394" s="137"/>
    </row>
    <row r="395">
      <c r="B395" s="12"/>
      <c r="C395" s="137"/>
    </row>
    <row r="396">
      <c r="B396" s="12"/>
      <c r="C396" s="137"/>
    </row>
    <row r="397">
      <c r="B397" s="12"/>
      <c r="C397" s="137"/>
    </row>
    <row r="398">
      <c r="B398" s="12"/>
      <c r="C398" s="137"/>
    </row>
    <row r="399">
      <c r="B399" s="12"/>
      <c r="C399" s="137"/>
    </row>
    <row r="400">
      <c r="B400" s="12"/>
      <c r="C400" s="137"/>
    </row>
    <row r="401">
      <c r="B401" s="12"/>
      <c r="C401" s="137"/>
    </row>
    <row r="402">
      <c r="B402" s="12"/>
      <c r="C402" s="137"/>
    </row>
    <row r="403">
      <c r="B403" s="12"/>
      <c r="C403" s="137"/>
    </row>
    <row r="404">
      <c r="B404" s="12"/>
      <c r="C404" s="137"/>
    </row>
    <row r="405">
      <c r="B405" s="12"/>
      <c r="C405" s="137"/>
    </row>
    <row r="406">
      <c r="B406" s="12"/>
      <c r="C406" s="137"/>
    </row>
    <row r="407">
      <c r="B407" s="12"/>
      <c r="C407" s="137"/>
    </row>
    <row r="408">
      <c r="B408" s="12"/>
      <c r="C408" s="137"/>
    </row>
    <row r="409">
      <c r="B409" s="12"/>
      <c r="C409" s="137"/>
    </row>
    <row r="410">
      <c r="B410" s="12"/>
      <c r="C410" s="137"/>
    </row>
    <row r="411">
      <c r="B411" s="12"/>
      <c r="C411" s="137"/>
    </row>
    <row r="412">
      <c r="B412" s="12"/>
      <c r="C412" s="137"/>
    </row>
    <row r="413">
      <c r="B413" s="12"/>
      <c r="C413" s="137"/>
    </row>
    <row r="414">
      <c r="B414" s="12"/>
      <c r="C414" s="137"/>
    </row>
    <row r="415">
      <c r="B415" s="12"/>
      <c r="C415" s="137"/>
    </row>
    <row r="416">
      <c r="B416" s="12"/>
      <c r="C416" s="137"/>
    </row>
    <row r="417">
      <c r="B417" s="12"/>
      <c r="C417" s="137"/>
    </row>
    <row r="418">
      <c r="B418" s="12"/>
      <c r="C418" s="137"/>
    </row>
    <row r="419">
      <c r="B419" s="12"/>
      <c r="C419" s="137"/>
    </row>
    <row r="420">
      <c r="B420" s="12"/>
      <c r="C420" s="137"/>
    </row>
    <row r="421">
      <c r="B421" s="12"/>
      <c r="C421" s="137"/>
    </row>
    <row r="422">
      <c r="B422" s="12"/>
      <c r="C422" s="137"/>
    </row>
    <row r="423">
      <c r="B423" s="12"/>
      <c r="C423" s="137"/>
    </row>
    <row r="424">
      <c r="B424" s="12"/>
      <c r="C424" s="137"/>
    </row>
    <row r="425">
      <c r="B425" s="12"/>
      <c r="C425" s="137"/>
    </row>
    <row r="426">
      <c r="B426" s="12"/>
      <c r="C426" s="137"/>
    </row>
    <row r="427">
      <c r="B427" s="12"/>
      <c r="C427" s="137"/>
    </row>
    <row r="428">
      <c r="B428" s="12"/>
      <c r="C428" s="137"/>
    </row>
    <row r="429">
      <c r="B429" s="12"/>
      <c r="C429" s="137"/>
    </row>
    <row r="430">
      <c r="B430" s="12"/>
      <c r="C430" s="137"/>
    </row>
    <row r="431">
      <c r="B431" s="12"/>
      <c r="C431" s="137"/>
    </row>
    <row r="432">
      <c r="B432" s="12"/>
      <c r="C432" s="137"/>
    </row>
    <row r="433">
      <c r="B433" s="12"/>
      <c r="C433" s="137"/>
    </row>
    <row r="434">
      <c r="B434" s="12"/>
      <c r="C434" s="137"/>
    </row>
    <row r="435">
      <c r="B435" s="12"/>
      <c r="C435" s="137"/>
    </row>
    <row r="436">
      <c r="B436" s="12"/>
      <c r="C436" s="137"/>
    </row>
    <row r="437">
      <c r="B437" s="12"/>
      <c r="C437" s="137"/>
    </row>
    <row r="438">
      <c r="B438" s="12"/>
      <c r="C438" s="137"/>
    </row>
    <row r="439">
      <c r="B439" s="12"/>
      <c r="C439" s="137"/>
    </row>
    <row r="440">
      <c r="B440" s="12"/>
      <c r="C440" s="137"/>
    </row>
    <row r="441">
      <c r="B441" s="12"/>
      <c r="C441" s="137"/>
    </row>
    <row r="442">
      <c r="B442" s="12"/>
      <c r="C442" s="137"/>
    </row>
    <row r="443">
      <c r="B443" s="12"/>
      <c r="C443" s="137"/>
    </row>
    <row r="444">
      <c r="B444" s="12"/>
      <c r="C444" s="137"/>
    </row>
    <row r="445">
      <c r="B445" s="12"/>
      <c r="C445" s="137"/>
    </row>
    <row r="446">
      <c r="B446" s="12"/>
      <c r="C446" s="137"/>
    </row>
    <row r="447">
      <c r="B447" s="12"/>
      <c r="C447" s="137"/>
    </row>
    <row r="448">
      <c r="B448" s="12"/>
      <c r="C448" s="137"/>
    </row>
    <row r="449">
      <c r="B449" s="12"/>
      <c r="C449" s="137"/>
    </row>
    <row r="450">
      <c r="B450" s="12"/>
      <c r="C450" s="137"/>
    </row>
    <row r="451">
      <c r="B451" s="12"/>
      <c r="C451" s="137"/>
    </row>
    <row r="452">
      <c r="B452" s="12"/>
      <c r="C452" s="137"/>
    </row>
    <row r="453">
      <c r="B453" s="12"/>
      <c r="C453" s="137"/>
    </row>
    <row r="454">
      <c r="B454" s="12"/>
      <c r="C454" s="137"/>
    </row>
    <row r="455">
      <c r="B455" s="12"/>
      <c r="C455" s="137"/>
    </row>
    <row r="456">
      <c r="B456" s="12"/>
      <c r="C456" s="137"/>
    </row>
    <row r="457">
      <c r="B457" s="12"/>
      <c r="C457" s="137"/>
    </row>
    <row r="458">
      <c r="B458" s="12"/>
      <c r="C458" s="137"/>
    </row>
    <row r="459">
      <c r="B459" s="12"/>
      <c r="C459" s="137"/>
    </row>
    <row r="460">
      <c r="B460" s="12"/>
      <c r="C460" s="137"/>
    </row>
    <row r="461">
      <c r="B461" s="12"/>
      <c r="C461" s="137"/>
    </row>
    <row r="462">
      <c r="B462" s="12"/>
      <c r="C462" s="137"/>
    </row>
    <row r="463">
      <c r="B463" s="12"/>
      <c r="C463" s="137"/>
    </row>
    <row r="464">
      <c r="B464" s="12"/>
      <c r="C464" s="137"/>
    </row>
    <row r="465">
      <c r="B465" s="12"/>
      <c r="C465" s="137"/>
    </row>
    <row r="466">
      <c r="B466" s="12"/>
      <c r="C466" s="137"/>
    </row>
    <row r="467">
      <c r="B467" s="12"/>
      <c r="C467" s="137"/>
    </row>
    <row r="468">
      <c r="B468" s="12"/>
      <c r="C468" s="137"/>
    </row>
    <row r="469">
      <c r="B469" s="12"/>
      <c r="C469" s="137"/>
    </row>
    <row r="470">
      <c r="B470" s="12"/>
      <c r="C470" s="137"/>
    </row>
    <row r="471">
      <c r="B471" s="12"/>
      <c r="C471" s="137"/>
    </row>
    <row r="472">
      <c r="B472" s="12"/>
      <c r="C472" s="137"/>
    </row>
    <row r="473">
      <c r="B473" s="12"/>
      <c r="C473" s="137"/>
    </row>
    <row r="474">
      <c r="B474" s="12"/>
      <c r="C474" s="137"/>
    </row>
    <row r="475">
      <c r="B475" s="12"/>
      <c r="C475" s="137"/>
    </row>
    <row r="476">
      <c r="B476" s="12"/>
      <c r="C476" s="137"/>
    </row>
    <row r="477">
      <c r="B477" s="12"/>
      <c r="C477" s="137"/>
    </row>
    <row r="478">
      <c r="B478" s="12"/>
      <c r="C478" s="137"/>
    </row>
    <row r="479">
      <c r="B479" s="12"/>
      <c r="C479" s="137"/>
    </row>
    <row r="480">
      <c r="B480" s="12"/>
      <c r="C480" s="137"/>
    </row>
    <row r="481">
      <c r="B481" s="12"/>
      <c r="C481" s="137"/>
    </row>
    <row r="482">
      <c r="B482" s="12"/>
      <c r="C482" s="137"/>
    </row>
    <row r="483">
      <c r="B483" s="12"/>
      <c r="C483" s="137"/>
    </row>
    <row r="484">
      <c r="B484" s="12"/>
      <c r="C484" s="137"/>
    </row>
    <row r="485">
      <c r="B485" s="12"/>
      <c r="C485" s="137"/>
    </row>
    <row r="486">
      <c r="B486" s="12"/>
      <c r="C486" s="137"/>
    </row>
    <row r="487">
      <c r="B487" s="12"/>
      <c r="C487" s="137"/>
    </row>
    <row r="488">
      <c r="B488" s="12"/>
      <c r="C488" s="137"/>
    </row>
    <row r="489">
      <c r="B489" s="12"/>
      <c r="C489" s="137"/>
    </row>
    <row r="490">
      <c r="B490" s="12"/>
      <c r="C490" s="137"/>
    </row>
    <row r="491">
      <c r="B491" s="12"/>
      <c r="C491" s="137"/>
    </row>
    <row r="492">
      <c r="B492" s="12"/>
      <c r="C492" s="137"/>
    </row>
    <row r="493">
      <c r="B493" s="12"/>
      <c r="C493" s="137"/>
    </row>
    <row r="494">
      <c r="B494" s="12"/>
      <c r="C494" s="137"/>
    </row>
    <row r="495">
      <c r="B495" s="12"/>
      <c r="C495" s="137"/>
    </row>
    <row r="496">
      <c r="B496" s="12"/>
      <c r="C496" s="137"/>
    </row>
    <row r="497">
      <c r="B497" s="12"/>
      <c r="C497" s="137"/>
    </row>
    <row r="498">
      <c r="B498" s="12"/>
      <c r="C498" s="137"/>
    </row>
    <row r="499">
      <c r="B499" s="12"/>
      <c r="C499" s="137"/>
    </row>
    <row r="500">
      <c r="B500" s="12"/>
      <c r="C500" s="137"/>
    </row>
    <row r="501">
      <c r="B501" s="12"/>
      <c r="C501" s="137"/>
    </row>
    <row r="502">
      <c r="B502" s="12"/>
      <c r="C502" s="137"/>
    </row>
    <row r="503">
      <c r="B503" s="12"/>
      <c r="C503" s="137"/>
    </row>
    <row r="504">
      <c r="B504" s="12"/>
      <c r="C504" s="137"/>
    </row>
    <row r="505">
      <c r="B505" s="12"/>
      <c r="C505" s="137"/>
    </row>
    <row r="506">
      <c r="B506" s="12"/>
      <c r="C506" s="137"/>
    </row>
    <row r="507">
      <c r="B507" s="12"/>
      <c r="C507" s="137"/>
    </row>
    <row r="508">
      <c r="B508" s="12"/>
      <c r="C508" s="137"/>
    </row>
    <row r="509">
      <c r="B509" s="12"/>
      <c r="C509" s="137"/>
    </row>
    <row r="510">
      <c r="B510" s="12"/>
      <c r="C510" s="137"/>
    </row>
    <row r="511">
      <c r="B511" s="12"/>
      <c r="C511" s="137"/>
    </row>
    <row r="512">
      <c r="B512" s="12"/>
      <c r="C512" s="137"/>
    </row>
    <row r="513">
      <c r="B513" s="12"/>
      <c r="C513" s="137"/>
    </row>
    <row r="514">
      <c r="B514" s="12"/>
      <c r="C514" s="137"/>
    </row>
    <row r="515">
      <c r="B515" s="12"/>
      <c r="C515" s="137"/>
    </row>
    <row r="516">
      <c r="B516" s="12"/>
      <c r="C516" s="137"/>
    </row>
    <row r="517">
      <c r="B517" s="12"/>
      <c r="C517" s="137"/>
    </row>
    <row r="518">
      <c r="B518" s="12"/>
      <c r="C518" s="137"/>
    </row>
    <row r="519">
      <c r="B519" s="12"/>
      <c r="C519" s="137"/>
    </row>
    <row r="520">
      <c r="B520" s="12"/>
      <c r="C520" s="137"/>
    </row>
    <row r="521">
      <c r="B521" s="12"/>
      <c r="C521" s="137"/>
    </row>
    <row r="522">
      <c r="B522" s="12"/>
      <c r="C522" s="137"/>
    </row>
    <row r="523">
      <c r="B523" s="12"/>
      <c r="C523" s="137"/>
    </row>
    <row r="524">
      <c r="B524" s="12"/>
      <c r="C524" s="137"/>
    </row>
    <row r="525">
      <c r="B525" s="12"/>
      <c r="C525" s="137"/>
    </row>
    <row r="526">
      <c r="B526" s="12"/>
      <c r="C526" s="137"/>
    </row>
    <row r="527">
      <c r="B527" s="12"/>
      <c r="C527" s="137"/>
    </row>
    <row r="528">
      <c r="B528" s="12"/>
      <c r="C528" s="137"/>
    </row>
    <row r="529">
      <c r="B529" s="12"/>
      <c r="C529" s="137"/>
    </row>
    <row r="530">
      <c r="B530" s="12"/>
      <c r="C530" s="137"/>
    </row>
    <row r="531">
      <c r="B531" s="12"/>
      <c r="C531" s="137"/>
    </row>
    <row r="532">
      <c r="B532" s="12"/>
      <c r="C532" s="137"/>
    </row>
    <row r="533">
      <c r="B533" s="12"/>
      <c r="C533" s="137"/>
    </row>
    <row r="534">
      <c r="B534" s="12"/>
      <c r="C534" s="137"/>
    </row>
    <row r="535">
      <c r="B535" s="12"/>
      <c r="C535" s="137"/>
    </row>
    <row r="536">
      <c r="B536" s="12"/>
      <c r="C536" s="137"/>
    </row>
    <row r="537">
      <c r="B537" s="12"/>
      <c r="C537" s="137"/>
    </row>
    <row r="538">
      <c r="B538" s="12"/>
      <c r="C538" s="137"/>
    </row>
    <row r="539">
      <c r="B539" s="12"/>
      <c r="C539" s="137"/>
    </row>
    <row r="540">
      <c r="B540" s="12"/>
      <c r="C540" s="137"/>
    </row>
    <row r="541">
      <c r="B541" s="12"/>
      <c r="C541" s="137"/>
    </row>
    <row r="542">
      <c r="B542" s="12"/>
      <c r="C542" s="137"/>
    </row>
    <row r="543">
      <c r="B543" s="12"/>
      <c r="C543" s="137"/>
    </row>
    <row r="544">
      <c r="B544" s="12"/>
      <c r="C544" s="137"/>
    </row>
    <row r="545">
      <c r="B545" s="12"/>
      <c r="C545" s="137"/>
    </row>
    <row r="546">
      <c r="B546" s="12"/>
      <c r="C546" s="137"/>
    </row>
    <row r="547">
      <c r="B547" s="12"/>
      <c r="C547" s="137"/>
    </row>
    <row r="548">
      <c r="B548" s="12"/>
      <c r="C548" s="137"/>
    </row>
    <row r="549">
      <c r="B549" s="12"/>
      <c r="C549" s="137"/>
    </row>
    <row r="550">
      <c r="B550" s="12"/>
      <c r="C550" s="137"/>
    </row>
    <row r="551">
      <c r="B551" s="12"/>
      <c r="C551" s="137"/>
    </row>
    <row r="552">
      <c r="B552" s="12"/>
      <c r="C552" s="137"/>
    </row>
    <row r="553">
      <c r="B553" s="12"/>
      <c r="C553" s="137"/>
    </row>
    <row r="554">
      <c r="B554" s="12"/>
      <c r="C554" s="137"/>
    </row>
    <row r="555">
      <c r="B555" s="12"/>
      <c r="C555" s="137"/>
    </row>
    <row r="556">
      <c r="B556" s="12"/>
      <c r="C556" s="137"/>
    </row>
    <row r="557">
      <c r="B557" s="12"/>
      <c r="C557" s="137"/>
    </row>
    <row r="558">
      <c r="B558" s="12"/>
      <c r="C558" s="137"/>
    </row>
    <row r="559">
      <c r="B559" s="12"/>
      <c r="C559" s="137"/>
    </row>
    <row r="560">
      <c r="B560" s="12"/>
      <c r="C560" s="137"/>
    </row>
    <row r="561">
      <c r="B561" s="12"/>
      <c r="C561" s="137"/>
    </row>
    <row r="562">
      <c r="B562" s="12"/>
      <c r="C562" s="137"/>
    </row>
    <row r="563">
      <c r="B563" s="12"/>
      <c r="C563" s="137"/>
    </row>
    <row r="564">
      <c r="B564" s="12"/>
      <c r="C564" s="137"/>
    </row>
    <row r="565">
      <c r="B565" s="12"/>
      <c r="C565" s="137"/>
    </row>
    <row r="566">
      <c r="B566" s="12"/>
      <c r="C566" s="137"/>
    </row>
    <row r="567">
      <c r="B567" s="12"/>
      <c r="C567" s="137"/>
    </row>
    <row r="568">
      <c r="B568" s="12"/>
      <c r="C568" s="137"/>
    </row>
    <row r="569">
      <c r="B569" s="12"/>
      <c r="C569" s="137"/>
    </row>
    <row r="570">
      <c r="B570" s="12"/>
      <c r="C570" s="137"/>
    </row>
    <row r="571">
      <c r="B571" s="12"/>
      <c r="C571" s="137"/>
    </row>
    <row r="572">
      <c r="B572" s="12"/>
      <c r="C572" s="137"/>
    </row>
    <row r="573">
      <c r="B573" s="12"/>
      <c r="C573" s="137"/>
    </row>
    <row r="574">
      <c r="B574" s="12"/>
      <c r="C574" s="137"/>
    </row>
    <row r="575">
      <c r="B575" s="12"/>
      <c r="C575" s="137"/>
    </row>
    <row r="576">
      <c r="B576" s="12"/>
      <c r="C576" s="137"/>
    </row>
    <row r="577">
      <c r="B577" s="12"/>
      <c r="C577" s="137"/>
    </row>
    <row r="578">
      <c r="B578" s="12"/>
      <c r="C578" s="137"/>
    </row>
    <row r="579">
      <c r="B579" s="12"/>
      <c r="C579" s="137"/>
    </row>
    <row r="580">
      <c r="B580" s="12"/>
      <c r="C580" s="137"/>
    </row>
    <row r="581">
      <c r="B581" s="12"/>
      <c r="C581" s="137"/>
    </row>
    <row r="582">
      <c r="B582" s="12"/>
      <c r="C582" s="137"/>
    </row>
    <row r="583">
      <c r="B583" s="12"/>
      <c r="C583" s="137"/>
    </row>
    <row r="584">
      <c r="B584" s="12"/>
      <c r="C584" s="137"/>
    </row>
    <row r="585">
      <c r="B585" s="12"/>
      <c r="C585" s="137"/>
    </row>
    <row r="586">
      <c r="B586" s="12"/>
      <c r="C586" s="137"/>
    </row>
    <row r="587">
      <c r="B587" s="12"/>
      <c r="C587" s="137"/>
    </row>
    <row r="588">
      <c r="B588" s="12"/>
      <c r="C588" s="137"/>
    </row>
    <row r="589">
      <c r="B589" s="12"/>
      <c r="C589" s="137"/>
    </row>
    <row r="590">
      <c r="B590" s="12"/>
      <c r="C590" s="137"/>
    </row>
    <row r="591">
      <c r="B591" s="12"/>
      <c r="C591" s="137"/>
    </row>
    <row r="592">
      <c r="B592" s="12"/>
      <c r="C592" s="137"/>
    </row>
    <row r="593">
      <c r="B593" s="12"/>
      <c r="C593" s="137"/>
    </row>
    <row r="594">
      <c r="B594" s="12"/>
      <c r="C594" s="137"/>
    </row>
    <row r="595">
      <c r="B595" s="12"/>
      <c r="C595" s="137"/>
    </row>
    <row r="596">
      <c r="B596" s="12"/>
      <c r="C596" s="137"/>
    </row>
    <row r="597">
      <c r="B597" s="12"/>
      <c r="C597" s="137"/>
    </row>
    <row r="598">
      <c r="B598" s="12"/>
      <c r="C598" s="137"/>
    </row>
    <row r="599">
      <c r="B599" s="12"/>
      <c r="C599" s="137"/>
    </row>
    <row r="600">
      <c r="B600" s="12"/>
      <c r="C600" s="137"/>
    </row>
    <row r="601">
      <c r="B601" s="12"/>
      <c r="C601" s="137"/>
    </row>
    <row r="602">
      <c r="B602" s="12"/>
      <c r="C602" s="137"/>
    </row>
    <row r="603">
      <c r="B603" s="12"/>
      <c r="C603" s="137"/>
    </row>
    <row r="604">
      <c r="B604" s="12"/>
      <c r="C604" s="137"/>
    </row>
    <row r="605">
      <c r="B605" s="12"/>
      <c r="C605" s="137"/>
    </row>
    <row r="606">
      <c r="B606" s="12"/>
      <c r="C606" s="137"/>
    </row>
    <row r="607">
      <c r="B607" s="12"/>
      <c r="C607" s="137"/>
    </row>
    <row r="608">
      <c r="B608" s="12"/>
      <c r="C608" s="137"/>
    </row>
    <row r="609">
      <c r="B609" s="12"/>
      <c r="C609" s="137"/>
    </row>
    <row r="610">
      <c r="B610" s="12"/>
      <c r="C610" s="137"/>
    </row>
    <row r="611">
      <c r="B611" s="12"/>
      <c r="C611" s="137"/>
    </row>
    <row r="612">
      <c r="B612" s="12"/>
      <c r="C612" s="137"/>
    </row>
    <row r="613">
      <c r="B613" s="12"/>
      <c r="C613" s="137"/>
    </row>
    <row r="614">
      <c r="B614" s="12"/>
      <c r="C614" s="137"/>
    </row>
    <row r="615">
      <c r="B615" s="12"/>
      <c r="C615" s="137"/>
    </row>
    <row r="616">
      <c r="B616" s="12"/>
      <c r="C616" s="137"/>
    </row>
    <row r="617">
      <c r="B617" s="12"/>
      <c r="C617" s="137"/>
    </row>
    <row r="618">
      <c r="B618" s="12"/>
      <c r="C618" s="137"/>
    </row>
    <row r="619">
      <c r="B619" s="12"/>
      <c r="C619" s="137"/>
    </row>
    <row r="620">
      <c r="B620" s="12"/>
      <c r="C620" s="137"/>
    </row>
    <row r="621">
      <c r="B621" s="12"/>
      <c r="C621" s="137"/>
    </row>
    <row r="622">
      <c r="B622" s="12"/>
      <c r="C622" s="137"/>
    </row>
    <row r="623">
      <c r="B623" s="12"/>
      <c r="C623" s="137"/>
    </row>
    <row r="624">
      <c r="B624" s="12"/>
      <c r="C624" s="137"/>
    </row>
    <row r="625">
      <c r="B625" s="12"/>
      <c r="C625" s="137"/>
    </row>
    <row r="626">
      <c r="B626" s="12"/>
      <c r="C626" s="137"/>
    </row>
    <row r="627">
      <c r="B627" s="12"/>
      <c r="C627" s="137"/>
    </row>
    <row r="628">
      <c r="B628" s="12"/>
      <c r="C628" s="137"/>
    </row>
    <row r="629">
      <c r="B629" s="12"/>
      <c r="C629" s="137"/>
    </row>
    <row r="630">
      <c r="B630" s="12"/>
      <c r="C630" s="137"/>
    </row>
    <row r="631">
      <c r="B631" s="12"/>
      <c r="C631" s="137"/>
    </row>
    <row r="632">
      <c r="B632" s="12"/>
      <c r="C632" s="137"/>
    </row>
    <row r="633">
      <c r="B633" s="12"/>
      <c r="C633" s="137"/>
    </row>
    <row r="634">
      <c r="B634" s="12"/>
      <c r="C634" s="137"/>
    </row>
    <row r="635">
      <c r="B635" s="12"/>
      <c r="C635" s="137"/>
    </row>
    <row r="636">
      <c r="B636" s="12"/>
      <c r="C636" s="137"/>
    </row>
    <row r="637">
      <c r="B637" s="12"/>
      <c r="C637" s="137"/>
    </row>
    <row r="638">
      <c r="B638" s="12"/>
      <c r="C638" s="137"/>
    </row>
    <row r="639">
      <c r="B639" s="12"/>
      <c r="C639" s="137"/>
    </row>
    <row r="640">
      <c r="B640" s="12"/>
      <c r="C640" s="137"/>
    </row>
    <row r="641">
      <c r="B641" s="12"/>
      <c r="C641" s="137"/>
    </row>
    <row r="642">
      <c r="B642" s="12"/>
      <c r="C642" s="137"/>
    </row>
    <row r="643">
      <c r="B643" s="12"/>
      <c r="C643" s="137"/>
    </row>
    <row r="644">
      <c r="B644" s="12"/>
      <c r="C644" s="137"/>
    </row>
    <row r="645">
      <c r="B645" s="12"/>
      <c r="C645" s="137"/>
    </row>
    <row r="646">
      <c r="B646" s="12"/>
      <c r="C646" s="137"/>
    </row>
    <row r="647">
      <c r="B647" s="12"/>
      <c r="C647" s="137"/>
    </row>
    <row r="648">
      <c r="B648" s="12"/>
      <c r="C648" s="137"/>
    </row>
    <row r="649">
      <c r="B649" s="12"/>
      <c r="C649" s="137"/>
    </row>
    <row r="650">
      <c r="B650" s="12"/>
      <c r="C650" s="137"/>
    </row>
    <row r="651">
      <c r="B651" s="12"/>
      <c r="C651" s="137"/>
    </row>
    <row r="652">
      <c r="B652" s="12"/>
      <c r="C652" s="137"/>
    </row>
    <row r="653">
      <c r="B653" s="12"/>
      <c r="C653" s="137"/>
    </row>
    <row r="654">
      <c r="B654" s="12"/>
      <c r="C654" s="137"/>
    </row>
    <row r="655">
      <c r="B655" s="12"/>
      <c r="C655" s="137"/>
    </row>
    <row r="656">
      <c r="B656" s="12"/>
      <c r="C656" s="137"/>
    </row>
    <row r="657">
      <c r="B657" s="12"/>
      <c r="C657" s="137"/>
    </row>
    <row r="658">
      <c r="B658" s="12"/>
      <c r="C658" s="137"/>
    </row>
    <row r="659">
      <c r="B659" s="12"/>
      <c r="C659" s="137"/>
    </row>
    <row r="660">
      <c r="B660" s="12"/>
      <c r="C660" s="137"/>
    </row>
    <row r="661">
      <c r="B661" s="12"/>
      <c r="C661" s="137"/>
    </row>
    <row r="662">
      <c r="B662" s="12"/>
      <c r="C662" s="137"/>
    </row>
    <row r="663">
      <c r="B663" s="12"/>
      <c r="C663" s="137"/>
    </row>
    <row r="664">
      <c r="B664" s="12"/>
      <c r="C664" s="137"/>
    </row>
    <row r="665">
      <c r="B665" s="12"/>
      <c r="C665" s="137"/>
    </row>
    <row r="666">
      <c r="B666" s="12"/>
      <c r="C666" s="137"/>
    </row>
    <row r="667">
      <c r="B667" s="12"/>
      <c r="C667" s="137"/>
    </row>
    <row r="668">
      <c r="B668" s="12"/>
      <c r="C668" s="137"/>
    </row>
    <row r="669">
      <c r="B669" s="12"/>
      <c r="C669" s="137"/>
    </row>
    <row r="670">
      <c r="B670" s="12"/>
      <c r="C670" s="137"/>
    </row>
    <row r="671">
      <c r="B671" s="12"/>
      <c r="C671" s="137"/>
    </row>
    <row r="672">
      <c r="B672" s="12"/>
      <c r="C672" s="137"/>
    </row>
    <row r="673">
      <c r="B673" s="12"/>
      <c r="C673" s="137"/>
    </row>
    <row r="674">
      <c r="B674" s="12"/>
      <c r="C674" s="137"/>
    </row>
    <row r="675">
      <c r="B675" s="12"/>
      <c r="C675" s="137"/>
    </row>
    <row r="676">
      <c r="B676" s="12"/>
      <c r="C676" s="137"/>
    </row>
    <row r="677">
      <c r="B677" s="12"/>
      <c r="C677" s="137"/>
    </row>
    <row r="678">
      <c r="B678" s="12"/>
      <c r="C678" s="137"/>
    </row>
    <row r="679">
      <c r="B679" s="12"/>
      <c r="C679" s="137"/>
    </row>
    <row r="680">
      <c r="B680" s="12"/>
      <c r="C680" s="137"/>
    </row>
    <row r="681">
      <c r="B681" s="12"/>
      <c r="C681" s="137"/>
    </row>
    <row r="682">
      <c r="B682" s="12"/>
      <c r="C682" s="137"/>
    </row>
    <row r="683">
      <c r="B683" s="12"/>
      <c r="C683" s="137"/>
    </row>
    <row r="684">
      <c r="B684" s="12"/>
      <c r="C684" s="137"/>
    </row>
    <row r="685">
      <c r="B685" s="12"/>
      <c r="C685" s="137"/>
    </row>
    <row r="686">
      <c r="B686" s="12"/>
      <c r="C686" s="137"/>
    </row>
    <row r="687">
      <c r="B687" s="12"/>
      <c r="C687" s="137"/>
    </row>
    <row r="688">
      <c r="B688" s="12"/>
      <c r="C688" s="137"/>
    </row>
    <row r="689">
      <c r="B689" s="12"/>
      <c r="C689" s="137"/>
    </row>
    <row r="690">
      <c r="B690" s="12"/>
      <c r="C690" s="137"/>
    </row>
    <row r="691">
      <c r="B691" s="12"/>
      <c r="C691" s="137"/>
    </row>
    <row r="692">
      <c r="B692" s="12"/>
      <c r="C692" s="137"/>
    </row>
    <row r="693">
      <c r="B693" s="12"/>
      <c r="C693" s="137"/>
    </row>
    <row r="694">
      <c r="B694" s="12"/>
      <c r="C694" s="137"/>
    </row>
    <row r="695">
      <c r="B695" s="12"/>
      <c r="C695" s="137"/>
    </row>
    <row r="696">
      <c r="B696" s="12"/>
      <c r="C696" s="137"/>
    </row>
    <row r="697">
      <c r="B697" s="12"/>
      <c r="C697" s="137"/>
    </row>
    <row r="698">
      <c r="B698" s="12"/>
      <c r="C698" s="137"/>
    </row>
    <row r="699">
      <c r="B699" s="12"/>
      <c r="C699" s="137"/>
    </row>
    <row r="700">
      <c r="B700" s="12"/>
      <c r="C700" s="137"/>
    </row>
    <row r="701">
      <c r="B701" s="12"/>
      <c r="C701" s="137"/>
    </row>
    <row r="702">
      <c r="B702" s="12"/>
      <c r="C702" s="137"/>
    </row>
    <row r="703">
      <c r="B703" s="12"/>
      <c r="C703" s="137"/>
    </row>
    <row r="704">
      <c r="B704" s="12"/>
      <c r="C704" s="137"/>
    </row>
    <row r="705">
      <c r="B705" s="12"/>
      <c r="C705" s="137"/>
    </row>
    <row r="706">
      <c r="B706" s="12"/>
      <c r="C706" s="137"/>
    </row>
    <row r="707">
      <c r="B707" s="12"/>
      <c r="C707" s="137"/>
    </row>
    <row r="708">
      <c r="B708" s="12"/>
      <c r="C708" s="137"/>
    </row>
    <row r="709">
      <c r="B709" s="12"/>
      <c r="C709" s="137"/>
    </row>
    <row r="710">
      <c r="B710" s="12"/>
      <c r="C710" s="137"/>
    </row>
    <row r="711">
      <c r="B711" s="12"/>
      <c r="C711" s="137"/>
    </row>
    <row r="712">
      <c r="B712" s="12"/>
      <c r="C712" s="137"/>
    </row>
    <row r="713">
      <c r="B713" s="12"/>
      <c r="C713" s="137"/>
    </row>
    <row r="714">
      <c r="B714" s="12"/>
      <c r="C714" s="137"/>
    </row>
    <row r="715">
      <c r="B715" s="12"/>
      <c r="C715" s="137"/>
    </row>
    <row r="716">
      <c r="B716" s="12"/>
      <c r="C716" s="137"/>
    </row>
    <row r="717">
      <c r="B717" s="12"/>
      <c r="C717" s="137"/>
    </row>
    <row r="718">
      <c r="B718" s="12"/>
      <c r="C718" s="137"/>
    </row>
    <row r="719">
      <c r="B719" s="12"/>
      <c r="C719" s="137"/>
    </row>
    <row r="720">
      <c r="B720" s="12"/>
      <c r="C720" s="137"/>
    </row>
    <row r="721">
      <c r="B721" s="12"/>
      <c r="C721" s="137"/>
    </row>
    <row r="722">
      <c r="B722" s="12"/>
      <c r="C722" s="137"/>
    </row>
    <row r="723">
      <c r="B723" s="12"/>
      <c r="C723" s="137"/>
    </row>
    <row r="724">
      <c r="B724" s="12"/>
      <c r="C724" s="137"/>
    </row>
    <row r="725">
      <c r="B725" s="12"/>
      <c r="C725" s="137"/>
    </row>
    <row r="726">
      <c r="B726" s="12"/>
      <c r="C726" s="137"/>
    </row>
    <row r="727">
      <c r="B727" s="12"/>
      <c r="C727" s="137"/>
    </row>
    <row r="728">
      <c r="B728" s="12"/>
      <c r="C728" s="137"/>
    </row>
    <row r="729">
      <c r="B729" s="12"/>
      <c r="C729" s="137"/>
    </row>
    <row r="730">
      <c r="B730" s="12"/>
      <c r="C730" s="137"/>
    </row>
    <row r="731">
      <c r="B731" s="12"/>
      <c r="C731" s="137"/>
    </row>
    <row r="732">
      <c r="B732" s="12"/>
      <c r="C732" s="137"/>
    </row>
    <row r="733">
      <c r="B733" s="12"/>
      <c r="C733" s="137"/>
    </row>
    <row r="734">
      <c r="B734" s="12"/>
      <c r="C734" s="137"/>
    </row>
    <row r="735">
      <c r="B735" s="12"/>
      <c r="C735" s="137"/>
    </row>
    <row r="736">
      <c r="B736" s="12"/>
      <c r="C736" s="137"/>
    </row>
    <row r="737">
      <c r="B737" s="12"/>
      <c r="C737" s="137"/>
    </row>
    <row r="738">
      <c r="B738" s="12"/>
      <c r="C738" s="137"/>
    </row>
    <row r="739">
      <c r="B739" s="12"/>
      <c r="C739" s="137"/>
    </row>
    <row r="740">
      <c r="B740" s="12"/>
      <c r="C740" s="137"/>
    </row>
    <row r="741">
      <c r="B741" s="12"/>
      <c r="C741" s="137"/>
    </row>
    <row r="742">
      <c r="B742" s="12"/>
      <c r="C742" s="137"/>
    </row>
    <row r="743">
      <c r="B743" s="12"/>
      <c r="C743" s="137"/>
    </row>
    <row r="744">
      <c r="B744" s="12"/>
      <c r="C744" s="137"/>
    </row>
    <row r="745">
      <c r="B745" s="12"/>
      <c r="C745" s="137"/>
    </row>
    <row r="746">
      <c r="B746" s="12"/>
      <c r="C746" s="137"/>
    </row>
    <row r="747">
      <c r="B747" s="12"/>
      <c r="C747" s="137"/>
    </row>
    <row r="748">
      <c r="B748" s="12"/>
      <c r="C748" s="137"/>
    </row>
    <row r="749">
      <c r="B749" s="12"/>
      <c r="C749" s="137"/>
    </row>
    <row r="750">
      <c r="B750" s="12"/>
      <c r="C750" s="137"/>
    </row>
    <row r="751">
      <c r="B751" s="12"/>
      <c r="C751" s="137"/>
    </row>
    <row r="752">
      <c r="B752" s="12"/>
      <c r="C752" s="137"/>
    </row>
    <row r="753">
      <c r="B753" s="12"/>
      <c r="C753" s="137"/>
    </row>
    <row r="754">
      <c r="B754" s="12"/>
      <c r="C754" s="137"/>
    </row>
    <row r="755">
      <c r="B755" s="12"/>
      <c r="C755" s="137"/>
    </row>
    <row r="756">
      <c r="B756" s="12"/>
      <c r="C756" s="137"/>
    </row>
    <row r="757">
      <c r="B757" s="12"/>
      <c r="C757" s="137"/>
    </row>
    <row r="758">
      <c r="B758" s="12"/>
      <c r="C758" s="137"/>
    </row>
    <row r="759">
      <c r="B759" s="12"/>
      <c r="C759" s="137"/>
    </row>
    <row r="760">
      <c r="B760" s="12"/>
      <c r="C760" s="137"/>
    </row>
    <row r="761">
      <c r="B761" s="12"/>
      <c r="C761" s="137"/>
    </row>
    <row r="762">
      <c r="B762" s="12"/>
      <c r="C762" s="137"/>
    </row>
    <row r="763">
      <c r="B763" s="12"/>
      <c r="C763" s="137"/>
    </row>
    <row r="764">
      <c r="B764" s="12"/>
      <c r="C764" s="137"/>
    </row>
    <row r="765">
      <c r="B765" s="12"/>
      <c r="C765" s="137"/>
    </row>
    <row r="766">
      <c r="B766" s="12"/>
      <c r="C766" s="137"/>
    </row>
    <row r="767">
      <c r="B767" s="12"/>
      <c r="C767" s="137"/>
    </row>
    <row r="768">
      <c r="B768" s="12"/>
      <c r="C768" s="137"/>
    </row>
    <row r="769">
      <c r="B769" s="12"/>
      <c r="C769" s="137"/>
    </row>
    <row r="770">
      <c r="B770" s="12"/>
      <c r="C770" s="137"/>
    </row>
    <row r="771">
      <c r="B771" s="12"/>
      <c r="C771" s="137"/>
    </row>
    <row r="772">
      <c r="B772" s="12"/>
      <c r="C772" s="137"/>
    </row>
    <row r="773">
      <c r="B773" s="12"/>
      <c r="C773" s="137"/>
    </row>
    <row r="774">
      <c r="B774" s="12"/>
      <c r="C774" s="137"/>
    </row>
    <row r="775">
      <c r="B775" s="12"/>
      <c r="C775" s="137"/>
    </row>
    <row r="776">
      <c r="B776" s="12"/>
      <c r="C776" s="137"/>
    </row>
    <row r="777">
      <c r="B777" s="12"/>
      <c r="C777" s="137"/>
    </row>
    <row r="778">
      <c r="B778" s="12"/>
      <c r="C778" s="137"/>
    </row>
    <row r="779">
      <c r="B779" s="12"/>
      <c r="C779" s="137"/>
    </row>
    <row r="780">
      <c r="B780" s="12"/>
      <c r="C780" s="137"/>
    </row>
    <row r="781">
      <c r="B781" s="12"/>
      <c r="C781" s="137"/>
    </row>
    <row r="782">
      <c r="B782" s="12"/>
      <c r="C782" s="137"/>
    </row>
    <row r="783">
      <c r="B783" s="12"/>
      <c r="C783" s="137"/>
    </row>
    <row r="784">
      <c r="B784" s="12"/>
      <c r="C784" s="137"/>
    </row>
    <row r="785">
      <c r="B785" s="12"/>
      <c r="C785" s="137"/>
    </row>
    <row r="786">
      <c r="B786" s="12"/>
      <c r="C786" s="137"/>
    </row>
    <row r="787">
      <c r="B787" s="12"/>
      <c r="C787" s="137"/>
    </row>
    <row r="788">
      <c r="B788" s="12"/>
      <c r="C788" s="137"/>
    </row>
    <row r="789">
      <c r="B789" s="12"/>
      <c r="C789" s="137"/>
    </row>
    <row r="790">
      <c r="B790" s="12"/>
      <c r="C790" s="137"/>
    </row>
    <row r="791">
      <c r="B791" s="12"/>
      <c r="C791" s="137"/>
    </row>
    <row r="792">
      <c r="B792" s="12"/>
      <c r="C792" s="137"/>
    </row>
    <row r="793">
      <c r="B793" s="12"/>
      <c r="C793" s="137"/>
    </row>
    <row r="794">
      <c r="B794" s="12"/>
      <c r="C794" s="137"/>
    </row>
    <row r="795">
      <c r="B795" s="12"/>
      <c r="C795" s="137"/>
    </row>
    <row r="796">
      <c r="B796" s="12"/>
      <c r="C796" s="137"/>
    </row>
    <row r="797">
      <c r="B797" s="12"/>
      <c r="C797" s="137"/>
    </row>
    <row r="798">
      <c r="B798" s="12"/>
      <c r="C798" s="137"/>
    </row>
    <row r="799">
      <c r="B799" s="12"/>
      <c r="C799" s="137"/>
    </row>
    <row r="800">
      <c r="B800" s="12"/>
      <c r="C800" s="137"/>
    </row>
    <row r="801">
      <c r="B801" s="12"/>
      <c r="C801" s="137"/>
    </row>
    <row r="802">
      <c r="B802" s="12"/>
      <c r="C802" s="137"/>
    </row>
    <row r="803">
      <c r="B803" s="12"/>
      <c r="C803" s="137"/>
    </row>
    <row r="804">
      <c r="B804" s="12"/>
      <c r="C804" s="137"/>
    </row>
    <row r="805">
      <c r="B805" s="12"/>
      <c r="C805" s="137"/>
    </row>
    <row r="806">
      <c r="B806" s="12"/>
      <c r="C806" s="137"/>
    </row>
    <row r="807">
      <c r="B807" s="12"/>
      <c r="C807" s="137"/>
    </row>
    <row r="808">
      <c r="B808" s="12"/>
      <c r="C808" s="137"/>
    </row>
    <row r="809">
      <c r="B809" s="12"/>
      <c r="C809" s="137"/>
    </row>
    <row r="810">
      <c r="B810" s="12"/>
      <c r="C810" s="137"/>
    </row>
    <row r="811">
      <c r="B811" s="12"/>
      <c r="C811" s="137"/>
    </row>
    <row r="812">
      <c r="B812" s="12"/>
      <c r="C812" s="137"/>
    </row>
    <row r="813">
      <c r="B813" s="12"/>
      <c r="C813" s="137"/>
    </row>
    <row r="814">
      <c r="B814" s="12"/>
      <c r="C814" s="137"/>
    </row>
    <row r="815">
      <c r="B815" s="12"/>
      <c r="C815" s="137"/>
    </row>
    <row r="816">
      <c r="B816" s="12"/>
      <c r="C816" s="137"/>
    </row>
    <row r="817">
      <c r="B817" s="12"/>
      <c r="C817" s="137"/>
    </row>
    <row r="818">
      <c r="B818" s="12"/>
      <c r="C818" s="137"/>
    </row>
    <row r="819">
      <c r="B819" s="12"/>
      <c r="C819" s="137"/>
    </row>
    <row r="820">
      <c r="B820" s="12"/>
      <c r="C820" s="137"/>
    </row>
    <row r="821">
      <c r="B821" s="12"/>
      <c r="C821" s="137"/>
    </row>
    <row r="822">
      <c r="B822" s="12"/>
      <c r="C822" s="137"/>
    </row>
    <row r="823">
      <c r="B823" s="12"/>
      <c r="C823" s="137"/>
    </row>
    <row r="824">
      <c r="B824" s="12"/>
      <c r="C824" s="137"/>
    </row>
    <row r="825">
      <c r="B825" s="12"/>
      <c r="C825" s="137"/>
    </row>
    <row r="826">
      <c r="B826" s="12"/>
      <c r="C826" s="137"/>
    </row>
    <row r="827">
      <c r="B827" s="12"/>
      <c r="C827" s="137"/>
    </row>
    <row r="828">
      <c r="B828" s="12"/>
      <c r="C828" s="137"/>
    </row>
    <row r="829">
      <c r="B829" s="12"/>
      <c r="C829" s="137"/>
    </row>
    <row r="830">
      <c r="B830" s="12"/>
      <c r="C830" s="137"/>
    </row>
    <row r="831">
      <c r="B831" s="12"/>
      <c r="C831" s="137"/>
    </row>
    <row r="832">
      <c r="B832" s="12"/>
      <c r="C832" s="137"/>
    </row>
    <row r="833">
      <c r="B833" s="12"/>
      <c r="C833" s="137"/>
    </row>
    <row r="834">
      <c r="B834" s="12"/>
      <c r="C834" s="137"/>
    </row>
    <row r="835">
      <c r="B835" s="12"/>
      <c r="C835" s="137"/>
    </row>
    <row r="836">
      <c r="B836" s="12"/>
      <c r="C836" s="137"/>
    </row>
    <row r="837">
      <c r="B837" s="12"/>
      <c r="C837" s="137"/>
    </row>
    <row r="838">
      <c r="B838" s="12"/>
      <c r="C838" s="137"/>
    </row>
    <row r="839">
      <c r="B839" s="12"/>
      <c r="C839" s="137"/>
    </row>
    <row r="840">
      <c r="B840" s="12"/>
      <c r="C840" s="137"/>
    </row>
    <row r="841">
      <c r="B841" s="12"/>
      <c r="C841" s="137"/>
    </row>
    <row r="842">
      <c r="B842" s="12"/>
      <c r="C842" s="137"/>
    </row>
    <row r="843">
      <c r="B843" s="12"/>
      <c r="C843" s="137"/>
    </row>
    <row r="844">
      <c r="B844" s="12"/>
      <c r="C844" s="137"/>
    </row>
    <row r="845">
      <c r="B845" s="12"/>
      <c r="C845" s="137"/>
    </row>
    <row r="846">
      <c r="B846" s="12"/>
      <c r="C846" s="137"/>
    </row>
    <row r="847">
      <c r="B847" s="12"/>
      <c r="C847" s="137"/>
    </row>
    <row r="848">
      <c r="B848" s="12"/>
      <c r="C848" s="137"/>
    </row>
    <row r="849">
      <c r="B849" s="12"/>
      <c r="C849" s="137"/>
    </row>
    <row r="850">
      <c r="B850" s="12"/>
      <c r="C850" s="137"/>
    </row>
    <row r="851">
      <c r="B851" s="12"/>
      <c r="C851" s="137"/>
    </row>
    <row r="852">
      <c r="B852" s="12"/>
      <c r="C852" s="137"/>
    </row>
    <row r="853">
      <c r="B853" s="12"/>
      <c r="C853" s="137"/>
    </row>
    <row r="854">
      <c r="B854" s="12"/>
      <c r="C854" s="137"/>
    </row>
    <row r="855">
      <c r="B855" s="12"/>
      <c r="C855" s="137"/>
    </row>
    <row r="856">
      <c r="B856" s="12"/>
      <c r="C856" s="137"/>
    </row>
    <row r="857">
      <c r="B857" s="12"/>
      <c r="C857" s="137"/>
    </row>
    <row r="858">
      <c r="B858" s="12"/>
      <c r="C858" s="137"/>
    </row>
    <row r="859">
      <c r="B859" s="12"/>
      <c r="C859" s="137"/>
    </row>
    <row r="860">
      <c r="B860" s="12"/>
      <c r="C860" s="137"/>
    </row>
    <row r="861">
      <c r="B861" s="12"/>
      <c r="C861" s="137"/>
    </row>
    <row r="862">
      <c r="B862" s="12"/>
      <c r="C862" s="137"/>
    </row>
    <row r="863">
      <c r="B863" s="12"/>
      <c r="C863" s="137"/>
    </row>
    <row r="864">
      <c r="B864" s="12"/>
      <c r="C864" s="137"/>
    </row>
    <row r="865">
      <c r="B865" s="12"/>
      <c r="C865" s="137"/>
    </row>
    <row r="866">
      <c r="B866" s="12"/>
      <c r="C866" s="137"/>
    </row>
    <row r="867">
      <c r="B867" s="12"/>
      <c r="C867" s="137"/>
    </row>
    <row r="868">
      <c r="B868" s="12"/>
      <c r="C868" s="137"/>
    </row>
    <row r="869">
      <c r="B869" s="12"/>
      <c r="C869" s="137"/>
    </row>
    <row r="870">
      <c r="B870" s="12"/>
      <c r="C870" s="137"/>
    </row>
    <row r="871">
      <c r="B871" s="12"/>
      <c r="C871" s="137"/>
    </row>
    <row r="872">
      <c r="B872" s="12"/>
      <c r="C872" s="137"/>
    </row>
    <row r="873">
      <c r="B873" s="12"/>
      <c r="C873" s="137"/>
    </row>
    <row r="874">
      <c r="B874" s="12"/>
      <c r="C874" s="137"/>
    </row>
    <row r="875">
      <c r="B875" s="12"/>
      <c r="C875" s="137"/>
    </row>
    <row r="876">
      <c r="B876" s="12"/>
      <c r="C876" s="137"/>
    </row>
    <row r="877">
      <c r="B877" s="12"/>
      <c r="C877" s="137"/>
    </row>
    <row r="878">
      <c r="B878" s="12"/>
      <c r="C878" s="137"/>
    </row>
    <row r="879">
      <c r="B879" s="12"/>
      <c r="C879" s="137"/>
    </row>
    <row r="880">
      <c r="B880" s="12"/>
      <c r="C880" s="137"/>
    </row>
    <row r="881">
      <c r="B881" s="12"/>
      <c r="C881" s="137"/>
    </row>
    <row r="882">
      <c r="B882" s="12"/>
      <c r="C882" s="137"/>
    </row>
    <row r="883">
      <c r="B883" s="12"/>
      <c r="C883" s="137"/>
    </row>
    <row r="884">
      <c r="B884" s="12"/>
      <c r="C884" s="137"/>
    </row>
    <row r="885">
      <c r="B885" s="12"/>
      <c r="C885" s="137"/>
    </row>
    <row r="886">
      <c r="B886" s="12"/>
      <c r="C886" s="137"/>
    </row>
    <row r="887">
      <c r="B887" s="12"/>
      <c r="C887" s="137"/>
    </row>
    <row r="888">
      <c r="B888" s="12"/>
      <c r="C888" s="137"/>
    </row>
    <row r="889">
      <c r="B889" s="12"/>
      <c r="C889" s="137"/>
    </row>
    <row r="890">
      <c r="B890" s="12"/>
      <c r="C890" s="137"/>
    </row>
    <row r="891">
      <c r="B891" s="12"/>
      <c r="C891" s="137"/>
    </row>
    <row r="892">
      <c r="B892" s="12"/>
      <c r="C892" s="137"/>
    </row>
    <row r="893">
      <c r="B893" s="12"/>
      <c r="C893" s="137"/>
    </row>
    <row r="894">
      <c r="B894" s="12"/>
      <c r="C894" s="137"/>
    </row>
    <row r="895">
      <c r="B895" s="12"/>
      <c r="C895" s="137"/>
    </row>
    <row r="896">
      <c r="B896" s="12"/>
      <c r="C896" s="137"/>
    </row>
    <row r="897">
      <c r="B897" s="12"/>
      <c r="C897" s="137"/>
    </row>
    <row r="898">
      <c r="B898" s="12"/>
      <c r="C898" s="137"/>
    </row>
    <row r="899">
      <c r="B899" s="12"/>
      <c r="C899" s="137"/>
    </row>
    <row r="900">
      <c r="B900" s="12"/>
      <c r="C900" s="137"/>
    </row>
    <row r="901">
      <c r="B901" s="12"/>
      <c r="C901" s="137"/>
    </row>
    <row r="902">
      <c r="B902" s="12"/>
      <c r="C902" s="137"/>
    </row>
    <row r="903">
      <c r="B903" s="12"/>
      <c r="C903" s="137"/>
    </row>
    <row r="904">
      <c r="B904" s="12"/>
      <c r="C904" s="137"/>
    </row>
    <row r="905">
      <c r="B905" s="12"/>
      <c r="C905" s="137"/>
    </row>
    <row r="906">
      <c r="B906" s="12"/>
      <c r="C906" s="137"/>
    </row>
    <row r="907">
      <c r="B907" s="12"/>
      <c r="C907" s="137"/>
    </row>
    <row r="908">
      <c r="B908" s="12"/>
      <c r="C908" s="137"/>
    </row>
    <row r="909">
      <c r="B909" s="12"/>
      <c r="C909" s="137"/>
    </row>
    <row r="910">
      <c r="B910" s="12"/>
      <c r="C910" s="137"/>
    </row>
    <row r="911">
      <c r="B911" s="12"/>
      <c r="C911" s="137"/>
    </row>
    <row r="912">
      <c r="B912" s="12"/>
      <c r="C912" s="137"/>
    </row>
    <row r="913">
      <c r="B913" s="12"/>
      <c r="C913" s="137"/>
    </row>
    <row r="914">
      <c r="B914" s="12"/>
      <c r="C914" s="137"/>
    </row>
    <row r="915">
      <c r="B915" s="12"/>
      <c r="C915" s="137"/>
    </row>
    <row r="916">
      <c r="B916" s="12"/>
      <c r="C916" s="137"/>
    </row>
    <row r="917">
      <c r="B917" s="12"/>
      <c r="C917" s="137"/>
    </row>
    <row r="918">
      <c r="B918" s="12"/>
      <c r="C918" s="137"/>
    </row>
    <row r="919">
      <c r="B919" s="12"/>
      <c r="C919" s="137"/>
    </row>
    <row r="920">
      <c r="B920" s="12"/>
      <c r="C920" s="137"/>
    </row>
    <row r="921">
      <c r="B921" s="12"/>
      <c r="C921" s="137"/>
    </row>
    <row r="922">
      <c r="B922" s="12"/>
      <c r="C922" s="137"/>
    </row>
    <row r="923">
      <c r="B923" s="12"/>
      <c r="C923" s="137"/>
    </row>
    <row r="924">
      <c r="B924" s="12"/>
      <c r="C924" s="137"/>
    </row>
    <row r="925">
      <c r="B925" s="12"/>
      <c r="C925" s="137"/>
    </row>
    <row r="926">
      <c r="B926" s="12"/>
      <c r="C926" s="137"/>
    </row>
    <row r="927">
      <c r="B927" s="12"/>
      <c r="C927" s="137"/>
    </row>
    <row r="928">
      <c r="B928" s="12"/>
      <c r="C928" s="137"/>
    </row>
    <row r="929">
      <c r="B929" s="12"/>
      <c r="C929" s="137"/>
    </row>
    <row r="930">
      <c r="B930" s="12"/>
      <c r="C930" s="137"/>
    </row>
    <row r="931">
      <c r="B931" s="12"/>
      <c r="C931" s="137"/>
    </row>
    <row r="932">
      <c r="B932" s="12"/>
      <c r="C932" s="137"/>
    </row>
    <row r="933">
      <c r="B933" s="12"/>
      <c r="C933" s="137"/>
    </row>
    <row r="934">
      <c r="B934" s="12"/>
      <c r="C934" s="137"/>
    </row>
    <row r="935">
      <c r="B935" s="12"/>
      <c r="C935" s="137"/>
    </row>
    <row r="936">
      <c r="B936" s="12"/>
      <c r="C936" s="137"/>
    </row>
    <row r="937">
      <c r="B937" s="12"/>
      <c r="C937" s="137"/>
    </row>
    <row r="938">
      <c r="B938" s="12"/>
      <c r="C938" s="137"/>
    </row>
    <row r="939">
      <c r="B939" s="12"/>
      <c r="C939" s="137"/>
    </row>
    <row r="940">
      <c r="B940" s="12"/>
      <c r="C940" s="137"/>
    </row>
    <row r="941">
      <c r="B941" s="12"/>
      <c r="C941" s="137"/>
    </row>
    <row r="942">
      <c r="B942" s="12"/>
      <c r="C942" s="137"/>
    </row>
    <row r="943">
      <c r="B943" s="12"/>
      <c r="C943" s="137"/>
    </row>
    <row r="944">
      <c r="B944" s="12"/>
      <c r="C944" s="137"/>
    </row>
    <row r="945">
      <c r="B945" s="12"/>
      <c r="C945" s="137"/>
    </row>
    <row r="946">
      <c r="B946" s="12"/>
      <c r="C946" s="137"/>
    </row>
    <row r="947">
      <c r="B947" s="12"/>
      <c r="C947" s="137"/>
    </row>
    <row r="948">
      <c r="B948" s="12"/>
      <c r="C948" s="137"/>
    </row>
    <row r="949">
      <c r="B949" s="12"/>
      <c r="C949" s="137"/>
    </row>
    <row r="950">
      <c r="B950" s="12"/>
      <c r="C950" s="137"/>
    </row>
    <row r="951">
      <c r="B951" s="12"/>
      <c r="C951" s="137"/>
    </row>
    <row r="952">
      <c r="B952" s="12"/>
      <c r="C952" s="137"/>
    </row>
    <row r="953">
      <c r="B953" s="12"/>
      <c r="C953" s="137"/>
    </row>
    <row r="954">
      <c r="B954" s="12"/>
      <c r="C954" s="137"/>
    </row>
    <row r="955">
      <c r="B955" s="12"/>
      <c r="C955" s="137"/>
    </row>
    <row r="956">
      <c r="B956" s="12"/>
      <c r="C956" s="137"/>
    </row>
    <row r="957">
      <c r="B957" s="12"/>
      <c r="C957" s="137"/>
    </row>
    <row r="958">
      <c r="B958" s="12"/>
      <c r="C958" s="137"/>
    </row>
    <row r="959">
      <c r="B959" s="12"/>
      <c r="C959" s="137"/>
    </row>
    <row r="960">
      <c r="B960" s="12"/>
      <c r="C960" s="137"/>
    </row>
    <row r="961">
      <c r="B961" s="12"/>
      <c r="C961" s="137"/>
    </row>
    <row r="962">
      <c r="B962" s="12"/>
      <c r="C962" s="137"/>
    </row>
    <row r="963">
      <c r="B963" s="12"/>
      <c r="C963" s="137"/>
    </row>
    <row r="964">
      <c r="B964" s="12"/>
      <c r="C964" s="137"/>
    </row>
    <row r="965">
      <c r="B965" s="12"/>
      <c r="C965" s="137"/>
    </row>
    <row r="966">
      <c r="B966" s="12"/>
      <c r="C966" s="137"/>
    </row>
    <row r="967">
      <c r="B967" s="12"/>
      <c r="C967" s="137"/>
    </row>
    <row r="968">
      <c r="B968" s="12"/>
      <c r="C968" s="137"/>
    </row>
    <row r="969">
      <c r="B969" s="12"/>
      <c r="C969" s="137"/>
    </row>
    <row r="970">
      <c r="B970" s="12"/>
      <c r="C970" s="137"/>
    </row>
    <row r="971">
      <c r="B971" s="12"/>
      <c r="C971" s="137"/>
    </row>
    <row r="972">
      <c r="B972" s="12"/>
      <c r="C972" s="137"/>
    </row>
    <row r="973">
      <c r="B973" s="12"/>
      <c r="C973" s="137"/>
    </row>
    <row r="974">
      <c r="B974" s="12"/>
      <c r="C974" s="137"/>
    </row>
    <row r="975">
      <c r="B975" s="12"/>
      <c r="C975" s="137"/>
    </row>
    <row r="976">
      <c r="B976" s="12"/>
      <c r="C976" s="137"/>
    </row>
    <row r="977">
      <c r="B977" s="12"/>
      <c r="C977" s="137"/>
    </row>
    <row r="978">
      <c r="B978" s="12"/>
      <c r="C978" s="137"/>
    </row>
    <row r="979">
      <c r="B979" s="12"/>
      <c r="C979" s="137"/>
    </row>
    <row r="980">
      <c r="B980" s="12"/>
      <c r="C980" s="137"/>
    </row>
    <row r="981">
      <c r="B981" s="12"/>
      <c r="C981" s="137"/>
    </row>
    <row r="982">
      <c r="B982" s="12"/>
      <c r="C982" s="137"/>
    </row>
    <row r="983">
      <c r="B983" s="12"/>
      <c r="C983" s="137"/>
    </row>
    <row r="984">
      <c r="B984" s="12"/>
      <c r="C984" s="137"/>
    </row>
    <row r="985">
      <c r="B985" s="12"/>
      <c r="C985" s="137"/>
    </row>
    <row r="986">
      <c r="B986" s="12"/>
      <c r="C986" s="137"/>
    </row>
    <row r="987">
      <c r="B987" s="12"/>
      <c r="C987" s="137"/>
    </row>
    <row r="988">
      <c r="B988" s="12"/>
      <c r="C988" s="137"/>
    </row>
    <row r="989">
      <c r="B989" s="12"/>
      <c r="C989" s="137"/>
    </row>
    <row r="990">
      <c r="B990" s="12"/>
      <c r="C990" s="137"/>
    </row>
    <row r="991">
      <c r="B991" s="12"/>
      <c r="C991" s="137"/>
    </row>
    <row r="992">
      <c r="B992" s="12"/>
      <c r="C992" s="137"/>
    </row>
    <row r="993">
      <c r="B993" s="12"/>
      <c r="C993" s="137"/>
    </row>
    <row r="994">
      <c r="B994" s="12"/>
      <c r="C994" s="137"/>
    </row>
    <row r="995">
      <c r="B995" s="12"/>
      <c r="C995" s="137"/>
    </row>
    <row r="996">
      <c r="B996" s="12"/>
      <c r="C996" s="137"/>
    </row>
    <row r="997">
      <c r="B997" s="12"/>
      <c r="C997" s="137"/>
    </row>
    <row r="998">
      <c r="B998" s="12"/>
      <c r="C998" s="137"/>
    </row>
    <row r="999">
      <c r="B999" s="12"/>
      <c r="C999" s="137"/>
    </row>
    <row r="1000">
      <c r="B1000" s="12"/>
      <c r="C1000" s="137"/>
    </row>
    <row r="1001">
      <c r="B1001" s="12"/>
      <c r="C1001" s="137"/>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0"/>
    <col customWidth="1" min="2" max="2" width="21.0"/>
    <col customWidth="1" min="3" max="3" width="18.75"/>
    <col customWidth="1" min="4" max="4" width="16.0"/>
    <col customWidth="1" min="7" max="7" width="20.5"/>
    <col customWidth="1" min="8" max="8" width="58.13"/>
    <col customWidth="1" min="9" max="9" width="16.63"/>
    <col hidden="1" min="10" max="10" width="12.63"/>
  </cols>
  <sheetData>
    <row r="1">
      <c r="A1" s="336" t="s">
        <v>697</v>
      </c>
      <c r="B1" s="337"/>
      <c r="C1" s="338"/>
      <c r="D1" s="339"/>
      <c r="E1" s="340"/>
      <c r="F1" s="341"/>
      <c r="G1" s="342"/>
      <c r="H1" s="343"/>
      <c r="I1" s="339"/>
      <c r="J1" s="339"/>
    </row>
    <row r="2">
      <c r="A2" s="152" t="s">
        <v>698</v>
      </c>
      <c r="B2" s="152"/>
      <c r="C2" s="152"/>
      <c r="D2" s="152"/>
      <c r="E2" s="152"/>
      <c r="F2" s="152"/>
      <c r="G2" s="344"/>
    </row>
    <row r="3">
      <c r="A3" s="152" t="s">
        <v>699</v>
      </c>
      <c r="B3" s="152"/>
      <c r="C3" s="152"/>
      <c r="D3" s="152"/>
      <c r="E3" s="152"/>
      <c r="F3" s="152"/>
      <c r="G3" s="344"/>
    </row>
    <row r="4">
      <c r="A4" s="152" t="s">
        <v>700</v>
      </c>
      <c r="B4" s="152"/>
      <c r="C4" s="152"/>
      <c r="D4" s="152"/>
      <c r="E4" s="152"/>
      <c r="F4" s="152"/>
      <c r="G4" s="344"/>
    </row>
    <row r="5">
      <c r="A5" s="152" t="s">
        <v>701</v>
      </c>
      <c r="B5" s="152"/>
      <c r="C5" s="152"/>
      <c r="D5" s="152"/>
      <c r="E5" s="152"/>
      <c r="F5" s="152"/>
      <c r="G5" s="344"/>
    </row>
    <row r="6">
      <c r="A6" s="152" t="s">
        <v>702</v>
      </c>
      <c r="B6" s="152"/>
      <c r="C6" s="152"/>
      <c r="D6" s="152"/>
      <c r="E6" s="152"/>
      <c r="F6" s="152"/>
      <c r="G6" s="344"/>
    </row>
    <row r="7">
      <c r="A7" s="153"/>
      <c r="B7" s="154"/>
      <c r="C7" s="155"/>
      <c r="D7" s="156"/>
      <c r="E7" s="157"/>
      <c r="F7" s="12"/>
      <c r="G7" s="158"/>
    </row>
    <row r="8">
      <c r="A8" s="86" t="s">
        <v>199</v>
      </c>
      <c r="B8" s="159" t="s">
        <v>53</v>
      </c>
      <c r="C8" s="159" t="s">
        <v>200</v>
      </c>
      <c r="D8" s="159" t="s">
        <v>201</v>
      </c>
      <c r="E8" s="157"/>
      <c r="F8" s="160" t="s">
        <v>199</v>
      </c>
      <c r="G8" s="161" t="s">
        <v>53</v>
      </c>
      <c r="H8" s="162" t="s">
        <v>202</v>
      </c>
      <c r="I8" s="163" t="s">
        <v>203</v>
      </c>
    </row>
    <row r="9">
      <c r="A9" s="164" t="str">
        <f>if(Noctara_Import!B5=true,"Yes!","No")</f>
        <v>Yes!</v>
      </c>
      <c r="B9" s="165" t="s">
        <v>351</v>
      </c>
      <c r="C9" s="166" t="s">
        <v>205</v>
      </c>
      <c r="D9" s="167" t="s">
        <v>206</v>
      </c>
      <c r="E9" s="157"/>
      <c r="F9" s="345" t="str">
        <f>if(Noctara_Import!B24=true,"Yes!","No")</f>
        <v>Yes!</v>
      </c>
      <c r="G9" s="169" t="s">
        <v>703</v>
      </c>
      <c r="H9" s="170" t="s">
        <v>208</v>
      </c>
      <c r="I9" s="171" t="s">
        <v>209</v>
      </c>
      <c r="J9" s="172">
        <f>COUNTif(F9,"Yes!")</f>
        <v>1</v>
      </c>
    </row>
    <row r="10">
      <c r="A10" s="173" t="str">
        <f>if(Noctara_Import!B6=true,"Yes!","No")</f>
        <v>Yes!</v>
      </c>
      <c r="B10" s="174" t="s">
        <v>497</v>
      </c>
      <c r="C10" s="175" t="s">
        <v>212</v>
      </c>
      <c r="D10" s="176" t="s">
        <v>206</v>
      </c>
      <c r="E10" s="157"/>
      <c r="F10" s="177" t="str">
        <f>if(Noctara_Import!B25=true,"Yes!","No")</f>
        <v>Yes!</v>
      </c>
      <c r="G10" s="169" t="s">
        <v>308</v>
      </c>
      <c r="H10" s="178" t="s">
        <v>704</v>
      </c>
      <c r="I10" s="171" t="s">
        <v>267</v>
      </c>
      <c r="J10" s="172">
        <f>COUNTif(F10:F13,"Yes!")</f>
        <v>2</v>
      </c>
    </row>
    <row r="11">
      <c r="A11" s="173" t="str">
        <f>if(Noctara_Import!B7=true,"Yes!","No")</f>
        <v>Yes!</v>
      </c>
      <c r="B11" s="174" t="s">
        <v>362</v>
      </c>
      <c r="C11" s="175" t="s">
        <v>217</v>
      </c>
      <c r="D11" s="176" t="s">
        <v>206</v>
      </c>
      <c r="E11" s="157"/>
      <c r="F11" s="183" t="str">
        <f>if(Noctara_Import!B26=true,"Yes!","No")</f>
        <v>No</v>
      </c>
      <c r="G11" s="184" t="s">
        <v>251</v>
      </c>
      <c r="H11" s="185" t="s">
        <v>705</v>
      </c>
      <c r="I11" s="182"/>
      <c r="J11" s="172"/>
    </row>
    <row r="12">
      <c r="A12" s="173" t="str">
        <f>if(Noctara_Import!B8=true,"Yes!","No")</f>
        <v>Yes!</v>
      </c>
      <c r="B12" s="174" t="s">
        <v>249</v>
      </c>
      <c r="C12" s="175" t="s">
        <v>221</v>
      </c>
      <c r="D12" s="176" t="s">
        <v>222</v>
      </c>
      <c r="E12" s="157"/>
      <c r="F12" s="179" t="str">
        <f>if(Noctara_Import!B27=true,"Yes!","No")</f>
        <v>Yes!</v>
      </c>
      <c r="G12" s="180" t="s">
        <v>412</v>
      </c>
      <c r="H12" s="181" t="s">
        <v>705</v>
      </c>
      <c r="I12" s="182"/>
      <c r="J12" s="172"/>
    </row>
    <row r="13">
      <c r="A13" s="173" t="str">
        <f>if(Noctara_Import!B9=true,"Yes!","No")</f>
        <v>Yes!</v>
      </c>
      <c r="B13" s="174" t="s">
        <v>706</v>
      </c>
      <c r="C13" s="175" t="s">
        <v>226</v>
      </c>
      <c r="D13" s="176" t="s">
        <v>707</v>
      </c>
      <c r="E13" s="157"/>
      <c r="F13" s="207" t="str">
        <f>if(Noctara_Import!B28=true,"Yes!","No")</f>
        <v>No</v>
      </c>
      <c r="G13" s="208" t="s">
        <v>355</v>
      </c>
      <c r="H13" s="210" t="s">
        <v>708</v>
      </c>
      <c r="I13" s="189"/>
      <c r="J13" s="248"/>
    </row>
    <row r="14">
      <c r="A14" s="173" t="str">
        <f>if(Noctara_Import!B10=true,"Yes!","No")</f>
        <v>Yes!</v>
      </c>
      <c r="B14" s="174" t="s">
        <v>557</v>
      </c>
      <c r="C14" s="175" t="s">
        <v>530</v>
      </c>
      <c r="D14" s="176" t="s">
        <v>232</v>
      </c>
      <c r="E14" s="157"/>
      <c r="F14" s="177" t="str">
        <f>if(Noctara_Import!B29=true,"Yes!","No")</f>
        <v>Yes!</v>
      </c>
      <c r="G14" s="169" t="s">
        <v>557</v>
      </c>
      <c r="H14" s="178" t="s">
        <v>709</v>
      </c>
      <c r="I14" s="171" t="s">
        <v>209</v>
      </c>
      <c r="J14" s="172">
        <f>COUNTif(F14,"Yes!")</f>
        <v>1</v>
      </c>
    </row>
    <row r="15">
      <c r="A15" s="173" t="str">
        <f>if(Noctara_Import!B11=true,"Yes!","No")</f>
        <v>Yes!</v>
      </c>
      <c r="B15" s="174" t="s">
        <v>300</v>
      </c>
      <c r="C15" s="175" t="s">
        <v>530</v>
      </c>
      <c r="D15" s="176" t="s">
        <v>710</v>
      </c>
      <c r="E15" s="157"/>
      <c r="F15" s="194" t="str">
        <f>if(Noctara_Import!B30=true,"Yes!","No")</f>
        <v>No</v>
      </c>
      <c r="G15" s="195" t="s">
        <v>518</v>
      </c>
      <c r="H15" s="196" t="s">
        <v>711</v>
      </c>
      <c r="I15" s="250" t="s">
        <v>267</v>
      </c>
      <c r="J15" s="172">
        <f>COUNTif(F15:F18,"Yes!")</f>
        <v>1</v>
      </c>
    </row>
    <row r="16">
      <c r="A16" s="173" t="str">
        <f>if(Noctara_Import!B12=true,"Yes!","No")</f>
        <v>Yes!</v>
      </c>
      <c r="B16" s="174" t="s">
        <v>400</v>
      </c>
      <c r="C16" s="175" t="s">
        <v>530</v>
      </c>
      <c r="D16" s="176" t="s">
        <v>712</v>
      </c>
      <c r="E16" s="157"/>
      <c r="F16" s="179" t="str">
        <f>if(Noctara_Import!B31=true,"Yes!","No")</f>
        <v>Yes!</v>
      </c>
      <c r="G16" s="180" t="s">
        <v>516</v>
      </c>
      <c r="H16" s="181" t="s">
        <v>713</v>
      </c>
      <c r="I16" s="182"/>
      <c r="J16" s="172"/>
    </row>
    <row r="17">
      <c r="A17" s="173" t="str">
        <f>if(Noctara_Import!B13=true,"Yes!","No")</f>
        <v>Yes!</v>
      </c>
      <c r="B17" s="174" t="s">
        <v>559</v>
      </c>
      <c r="C17" s="175" t="s">
        <v>598</v>
      </c>
      <c r="D17" s="176" t="s">
        <v>714</v>
      </c>
      <c r="E17" s="157"/>
      <c r="F17" s="183" t="str">
        <f>if(Noctara_Import!B32=true,"Yes!","No")</f>
        <v>No</v>
      </c>
      <c r="G17" s="184" t="s">
        <v>612</v>
      </c>
      <c r="H17" s="185" t="s">
        <v>715</v>
      </c>
      <c r="I17" s="182"/>
      <c r="J17" s="172"/>
    </row>
    <row r="18">
      <c r="A18" s="173" t="str">
        <f>if(Noctara_Import!B14=true,"Yes!","No")</f>
        <v>Yes!</v>
      </c>
      <c r="B18" s="174" t="s">
        <v>570</v>
      </c>
      <c r="C18" s="175" t="s">
        <v>378</v>
      </c>
      <c r="D18" s="176" t="s">
        <v>716</v>
      </c>
      <c r="E18" s="157"/>
      <c r="F18" s="183" t="str">
        <f>if(Noctara_Import!B33=true,"Yes!","No")</f>
        <v>No</v>
      </c>
      <c r="G18" s="184" t="s">
        <v>487</v>
      </c>
      <c r="H18" s="185" t="s">
        <v>717</v>
      </c>
      <c r="I18" s="189"/>
      <c r="J18" s="172"/>
    </row>
    <row r="19">
      <c r="A19" s="173" t="str">
        <f>if(Noctara_Import!B15=true,"Yes!","No")</f>
        <v>Yes!</v>
      </c>
      <c r="B19" s="174" t="s">
        <v>234</v>
      </c>
      <c r="C19" s="175" t="s">
        <v>530</v>
      </c>
      <c r="D19" s="176" t="s">
        <v>718</v>
      </c>
      <c r="E19" s="157"/>
      <c r="F19" s="194" t="str">
        <f>if(Noctara_Import!B34=true,"Yes!","No")</f>
        <v>No</v>
      </c>
      <c r="G19" s="195" t="s">
        <v>228</v>
      </c>
      <c r="H19" s="196" t="s">
        <v>719</v>
      </c>
      <c r="I19" s="250" t="s">
        <v>267</v>
      </c>
      <c r="J19" s="172">
        <f>COUNTif(F19:F21,"Yes!")</f>
        <v>1</v>
      </c>
    </row>
    <row r="20">
      <c r="A20" s="173" t="str">
        <f>if(Noctara_Import!B16=true,"Yes!","No")</f>
        <v>Yes!</v>
      </c>
      <c r="B20" s="174" t="s">
        <v>294</v>
      </c>
      <c r="C20" s="175" t="s">
        <v>525</v>
      </c>
      <c r="D20" s="176" t="s">
        <v>720</v>
      </c>
      <c r="E20" s="157"/>
      <c r="F20" s="179" t="str">
        <f>if(Noctara_Import!B35=true,"Yes!","No")</f>
        <v>Yes!</v>
      </c>
      <c r="G20" s="180" t="s">
        <v>594</v>
      </c>
      <c r="H20" s="181" t="s">
        <v>721</v>
      </c>
      <c r="I20" s="182"/>
      <c r="J20" s="172"/>
    </row>
    <row r="21">
      <c r="A21" s="173" t="str">
        <f>if(Noctara_Import!B17=true,"Yes!","No")</f>
        <v>Yes!</v>
      </c>
      <c r="B21" s="174" t="s">
        <v>268</v>
      </c>
      <c r="C21" s="175" t="s">
        <v>546</v>
      </c>
      <c r="D21" s="176" t="s">
        <v>722</v>
      </c>
      <c r="E21" s="157"/>
      <c r="F21" s="207" t="str">
        <f>if(Noctara_Import!B36=true,"Yes!","No")</f>
        <v>No</v>
      </c>
      <c r="G21" s="208" t="s">
        <v>723</v>
      </c>
      <c r="H21" s="210" t="s">
        <v>724</v>
      </c>
      <c r="I21" s="189"/>
      <c r="J21" s="172"/>
    </row>
    <row r="22">
      <c r="A22" s="173" t="str">
        <f>if(Noctara_Import!B18=true,"Yes!","No")</f>
        <v>No</v>
      </c>
      <c r="B22" s="174" t="s">
        <v>557</v>
      </c>
      <c r="C22" s="175" t="s">
        <v>725</v>
      </c>
      <c r="D22" s="176" t="s">
        <v>726</v>
      </c>
      <c r="E22" s="157"/>
      <c r="F22" s="177" t="str">
        <f>if(Noctara_Import!B37=true,"Yes!","No")</f>
        <v>Yes!</v>
      </c>
      <c r="G22" s="169" t="s">
        <v>409</v>
      </c>
      <c r="H22" s="178" t="s">
        <v>727</v>
      </c>
      <c r="I22" s="171" t="s">
        <v>267</v>
      </c>
      <c r="J22" s="172">
        <f>COUNTif(F22:F24,"Yes!")</f>
        <v>2</v>
      </c>
    </row>
    <row r="23">
      <c r="A23" s="173" t="str">
        <f>if(Noctara_Import!B19=true,"Yes!","No")</f>
        <v>No</v>
      </c>
      <c r="B23" s="174" t="s">
        <v>497</v>
      </c>
      <c r="C23" s="175" t="s">
        <v>728</v>
      </c>
      <c r="D23" s="176" t="s">
        <v>729</v>
      </c>
      <c r="E23" s="157"/>
      <c r="F23" s="179" t="str">
        <f>if(Noctara_Import!B38=true,"Yes!","No")</f>
        <v>Yes!</v>
      </c>
      <c r="G23" s="180" t="s">
        <v>455</v>
      </c>
      <c r="H23" s="181" t="s">
        <v>730</v>
      </c>
      <c r="I23" s="182"/>
      <c r="J23" s="172"/>
    </row>
    <row r="24">
      <c r="A24" s="198" t="str">
        <f>If(Dashboard!$M9=TRUE,"Yes!","No")</f>
        <v>Yes!</v>
      </c>
      <c r="B24" s="199" t="s">
        <v>282</v>
      </c>
      <c r="C24" s="200" t="s">
        <v>206</v>
      </c>
      <c r="D24" s="201" t="s">
        <v>206</v>
      </c>
      <c r="E24" s="157"/>
      <c r="F24" s="207" t="str">
        <f>if(Noctara_Import!B39=true,"Yes!","No")</f>
        <v>No</v>
      </c>
      <c r="G24" s="208" t="s">
        <v>373</v>
      </c>
      <c r="H24" s="210" t="s">
        <v>731</v>
      </c>
      <c r="I24" s="189"/>
      <c r="J24" s="172"/>
    </row>
    <row r="25">
      <c r="E25" s="157"/>
      <c r="F25" s="190" t="str">
        <f>if(Noctara_Import!B40=true,"Yes!","No")</f>
        <v>Yes!</v>
      </c>
      <c r="G25" s="191" t="s">
        <v>502</v>
      </c>
      <c r="H25" s="192" t="s">
        <v>732</v>
      </c>
      <c r="I25" s="193"/>
      <c r="J25" s="172"/>
    </row>
    <row r="26">
      <c r="A26" s="202" t="s">
        <v>287</v>
      </c>
      <c r="E26" s="157"/>
      <c r="F26" s="218" t="str">
        <f>if(Noctara_Import!B41=true,"Yes!","No")</f>
        <v>No</v>
      </c>
      <c r="G26" s="219" t="s">
        <v>368</v>
      </c>
      <c r="H26" s="220" t="s">
        <v>733</v>
      </c>
      <c r="I26" s="294"/>
      <c r="J26" s="172"/>
    </row>
    <row r="27">
      <c r="A27" s="271" t="str">
        <f>IFERROR(__xludf.DUMMYFUNCTION("IFERROR(
  FILTER(
    FLATTEN({Noctara_Import!C5:C20; Noctara_Import!C24:C54; Noctara_Import!A57:A90}),
    FLATTEN({Noctara_Import!C5:C20; Noctara_Import!C24:C54; Noctara_Import!A57:A90}) &lt;&gt; """"
  ),
  """"
)"),"cow")</f>
        <v>cow</v>
      </c>
      <c r="B27" s="4"/>
      <c r="C27" s="4"/>
      <c r="D27" s="5"/>
      <c r="E27" s="157"/>
      <c r="F27" s="177" t="str">
        <f>if(Noctara_Import!B42=true,"Yes!","No")</f>
        <v>Yes!</v>
      </c>
      <c r="G27" s="169" t="s">
        <v>211</v>
      </c>
      <c r="H27" s="178" t="s">
        <v>734</v>
      </c>
      <c r="I27" s="171" t="s">
        <v>209</v>
      </c>
      <c r="J27" s="172">
        <f>COUNTif(F27,"Yes!")</f>
        <v>1</v>
      </c>
    </row>
    <row r="28">
      <c r="A28" s="272" t="str">
        <f>IFERROR(__xludf.DUMMYFUNCTION("""COMPUTED_VALUE"""),"They said they want the chalice, but were cagey about why. Sent them to Aleeya jag")</f>
        <v>They said they want the chalice, but were cagey about why. Sent them to Aleeya jag</v>
      </c>
      <c r="D28" s="182"/>
      <c r="E28" s="157"/>
      <c r="F28" s="177" t="str">
        <f>if(Noctara_Import!B43=true,"Yes!","No")</f>
        <v>Yes!</v>
      </c>
      <c r="G28" s="169" t="s">
        <v>230</v>
      </c>
      <c r="H28" s="178" t="s">
        <v>735</v>
      </c>
      <c r="I28" s="171" t="s">
        <v>267</v>
      </c>
      <c r="J28" s="172">
        <f>COUNTif(F28:F30,"Yes!")</f>
        <v>2</v>
      </c>
    </row>
    <row r="29">
      <c r="A29" s="272" t="str">
        <f>IFERROR(__xludf.DUMMYFUNCTION("""COMPUTED_VALUE"""),"Are super nice and kept an eye on one party member that kept running into the woods for treasure")</f>
        <v>Are super nice and kept an eye on one party member that kept running into the woods for treasure</v>
      </c>
      <c r="D29" s="182"/>
      <c r="E29" s="157"/>
      <c r="F29" s="179" t="str">
        <f>if(Noctara_Import!B44=true,"Yes!","No")</f>
        <v>Yes!</v>
      </c>
      <c r="G29" s="180" t="s">
        <v>572</v>
      </c>
      <c r="H29" s="181" t="s">
        <v>736</v>
      </c>
      <c r="I29" s="182"/>
      <c r="J29" s="172"/>
    </row>
    <row r="30">
      <c r="A30" s="272" t="str">
        <f>IFERROR(__xludf.DUMMYFUNCTION("""COMPUTED_VALUE"""),"Had fun with Managers and Peons. Fun group. Very interested in why Bonnie needs this. They appreciate the mystery of magic.Lots of jokes about their court caster. Seemed to have very natural interactions - DL
")</f>
        <v>Had fun with Managers and Peons. Fun group. Very interested in why Bonnie needs this. They appreciate the mystery of magic.Lots of jokes about their court caster. Seemed to have very natural interactions - DL
</v>
      </c>
      <c r="D30" s="182"/>
      <c r="E30" s="157"/>
      <c r="F30" s="207" t="str">
        <f>if(Noctara_Import!B45=true,"Yes!","No")</f>
        <v>No</v>
      </c>
      <c r="G30" s="208" t="s">
        <v>640</v>
      </c>
      <c r="H30" s="210" t="s">
        <v>737</v>
      </c>
      <c r="I30" s="189"/>
      <c r="J30" s="172"/>
    </row>
    <row r="31">
      <c r="A31" s="272" t="str">
        <f>IFERROR(__xludf.DUMMYFUNCTION("""COMPUTED_VALUE"""),"Good combat practice.  Group dynamic seems good")</f>
        <v>Good combat practice.  Group dynamic seems good</v>
      </c>
      <c r="D31" s="182"/>
      <c r="E31" s="157"/>
      <c r="F31" s="190" t="str">
        <f>if(Noctara_Import!B46=true,"Yes!","No")</f>
        <v>Yes!</v>
      </c>
      <c r="G31" s="191" t="s">
        <v>563</v>
      </c>
      <c r="H31" s="192" t="s">
        <v>738</v>
      </c>
      <c r="I31" s="193" t="s">
        <v>209</v>
      </c>
      <c r="J31" s="172">
        <f t="shared" ref="J31:J39" si="1">COUNTif(F31,"Yes!")</f>
        <v>1</v>
      </c>
    </row>
    <row r="32">
      <c r="A32" s="272" t="str">
        <f>IFERROR(__xludf.DUMMYFUNCTION("""COMPUTED_VALUE"""),"1:15p: They know I have the item. Will join me after lunch to walk to Camp. 2:40p: success! As a group they are listening and communicating and supporting and succeeding SO WELL!!! Pitchpipe challenge was SO IMPRESSIVE. I am so impressed with their cohesi"&amp;"veness. We plan to meet tomorrow 9:15a, as they told me they have to meet Bonnie at 9:30am. ")</f>
        <v>1:15p: They know I have the item. Will join me after lunch to walk to Camp. 2:40p: success! As a group they are listening and communicating and supporting and succeeding SO WELL!!! Pitchpipe challenge was SO IMPRESSIVE. I am so impressed with their cohesiveness. We plan to meet tomorrow 9:15a, as they told me they have to meet Bonnie at 9:30am. </v>
      </c>
      <c r="D32" s="182"/>
      <c r="E32" s="157"/>
      <c r="F32" s="190" t="str">
        <f>if(Dashboard!G9=true,"Yes!","No")</f>
        <v>Yes!</v>
      </c>
      <c r="G32" s="191" t="s">
        <v>302</v>
      </c>
      <c r="H32" s="192" t="s">
        <v>739</v>
      </c>
      <c r="I32" s="193" t="s">
        <v>209</v>
      </c>
      <c r="J32" s="172">
        <f t="shared" si="1"/>
        <v>1</v>
      </c>
    </row>
    <row r="33">
      <c r="A33" s="272" t="str">
        <f>IFERROR(__xludf.DUMMYFUNCTION("""COMPUTED_VALUE"""),"left item at Makai camp with Kerrick and Kovi because party had not yet come for CoI by 2pm - MG. Riddle/paper given to Noctara after Cup. Took 4 rounds of the cup to get meaningful answers that were longer than one or two words. Got there in the end. (GR"&amp;")")</f>
        <v>left item at Makai camp with Kerrick and Kovi because party had not yet come for CoI by 2pm - MG. Riddle/paper given to Noctara after Cup. Took 4 rounds of the cup to get meaningful answers that were longer than one or two words. Got there in the end. (GR)</v>
      </c>
      <c r="D33" s="182"/>
      <c r="E33" s="157"/>
      <c r="F33" s="218" t="str">
        <f>if(Noctara_Import!B48=true,"Yes!","No")</f>
        <v>No</v>
      </c>
      <c r="G33" s="219" t="s">
        <v>557</v>
      </c>
      <c r="H33" s="220" t="s">
        <v>740</v>
      </c>
      <c r="I33" s="221" t="s">
        <v>209</v>
      </c>
      <c r="J33" s="172">
        <f t="shared" si="1"/>
        <v>0</v>
      </c>
    </row>
    <row r="34">
      <c r="A34" s="272" t="str">
        <f>IFERROR(__xludf.DUMMYFUNCTION("""COMPUTED_VALUE"""),"Charming group. Clearly care about each other. ")</f>
        <v>Charming group. Clearly care about each other. </v>
      </c>
      <c r="D34" s="182"/>
      <c r="E34" s="157"/>
      <c r="F34" s="218" t="str">
        <f>if(Noctara_Import!B49=true,"Yes!","No")</f>
        <v>No</v>
      </c>
      <c r="G34" s="219" t="s">
        <v>519</v>
      </c>
      <c r="H34" s="220" t="s">
        <v>741</v>
      </c>
      <c r="I34" s="221" t="s">
        <v>209</v>
      </c>
      <c r="J34" s="172">
        <f t="shared" si="1"/>
        <v>0</v>
      </c>
    </row>
    <row r="35">
      <c r="A35" s="272" t="str">
        <f>IFERROR(__xludf.DUMMYFUNCTION("""COMPUTED_VALUE"""),"Did great - talked about wanting to help bonnie. ER")</f>
        <v>Did great - talked about wanting to help bonnie. ER</v>
      </c>
      <c r="D35" s="182"/>
      <c r="E35" s="157"/>
      <c r="F35" s="218" t="str">
        <f>if(Noctara_Import!B50=true,"Yes!","No")</f>
        <v>No</v>
      </c>
      <c r="G35" s="219" t="s">
        <v>368</v>
      </c>
      <c r="H35" s="220" t="s">
        <v>742</v>
      </c>
      <c r="I35" s="221" t="s">
        <v>209</v>
      </c>
      <c r="J35" s="172">
        <f t="shared" si="1"/>
        <v>0</v>
      </c>
    </row>
    <row r="36">
      <c r="A36" s="272" t="str">
        <f>IFERROR(__xludf.DUMMYFUNCTION("""COMPUTED_VALUE"""),"Keep asking me if I know any *other* dog-people. Totally oblivious")</f>
        <v>Keep asking me if I know any *other* dog-people. Totally oblivious</v>
      </c>
      <c r="D36" s="182"/>
      <c r="E36" s="157"/>
      <c r="F36" s="218" t="str">
        <f>if(Noctara_Import!B51=true,"Yes!","No")</f>
        <v>No</v>
      </c>
      <c r="G36" s="219" t="s">
        <v>265</v>
      </c>
      <c r="H36" s="220" t="s">
        <v>743</v>
      </c>
      <c r="I36" s="221" t="s">
        <v>209</v>
      </c>
      <c r="J36" s="172">
        <f t="shared" si="1"/>
        <v>0</v>
      </c>
    </row>
    <row r="37">
      <c r="A37" s="272" t="str">
        <f>IFERROR(__xludf.DUMMYFUNCTION("""COMPUTED_VALUE"""),"Surprised me at dinner Saturday night with a picture of a portrait of me drawn by JPeg.  Couldn't get him to give me the original.")</f>
        <v>Surprised me at dinner Saturday night with a picture of a portrait of me drawn by JPeg.  Couldn't get him to give me the original.</v>
      </c>
      <c r="D37" s="182"/>
      <c r="E37" s="157"/>
      <c r="F37" s="218" t="str">
        <f>if(Noctara_Import!B52=true,"Yes!","No")</f>
        <v>No</v>
      </c>
      <c r="G37" s="219" t="s">
        <v>744</v>
      </c>
      <c r="H37" s="220" t="s">
        <v>745</v>
      </c>
      <c r="I37" s="221" t="s">
        <v>209</v>
      </c>
      <c r="J37" s="172">
        <f t="shared" si="1"/>
        <v>0</v>
      </c>
    </row>
    <row r="38">
      <c r="A38" s="272" t="str">
        <f>IFERROR(__xludf.DUMMYFUNCTION("""COMPUTED_VALUE"""),"Given around 11:30am friendly seemed in good spirits!")</f>
        <v>Given around 11:30am friendly seemed in good spirits!</v>
      </c>
      <c r="D38" s="182"/>
      <c r="E38" s="157"/>
      <c r="F38" s="218" t="str">
        <f>if(Noctara_Import!B53=true,"Yes!","No")</f>
        <v>No</v>
      </c>
      <c r="G38" s="219" t="s">
        <v>746</v>
      </c>
      <c r="H38" s="220" t="s">
        <v>747</v>
      </c>
      <c r="I38" s="221" t="s">
        <v>209</v>
      </c>
      <c r="J38" s="172">
        <f t="shared" si="1"/>
        <v>0</v>
      </c>
    </row>
    <row r="39">
      <c r="A39" s="272" t="str">
        <f>IFERROR(__xludf.DUMMYFUNCTION("""COMPUTED_VALUE"""),"Challenging.  Took a few wounds in the process.  Really grateful to get the limelight.")</f>
        <v>Challenging.  Took a few wounds in the process.  Really grateful to get the limelight.</v>
      </c>
      <c r="D39" s="182"/>
      <c r="E39" s="157"/>
      <c r="F39" s="218" t="str">
        <f>if(Noctara_Import!B54=true,"Yes!","No")</f>
        <v>No</v>
      </c>
      <c r="G39" s="219" t="s">
        <v>298</v>
      </c>
      <c r="H39" s="220" t="s">
        <v>748</v>
      </c>
      <c r="I39" s="221" t="s">
        <v>209</v>
      </c>
      <c r="J39" s="172">
        <f t="shared" si="1"/>
        <v>0</v>
      </c>
    </row>
    <row r="40">
      <c r="A40" s="272" t="str">
        <f>IFERROR(__xludf.DUMMYFUNCTION("""COMPUTED_VALUE"""),"Handed them the charge. They are eager to hdear both sides of story.")</f>
        <v>Handed them the charge. They are eager to hdear both sides of story.</v>
      </c>
      <c r="D40" s="182"/>
      <c r="E40" s="157"/>
      <c r="F40" s="153"/>
      <c r="G40" s="158"/>
      <c r="I40" s="330"/>
      <c r="J40" s="172"/>
    </row>
    <row r="41">
      <c r="A41" s="272" t="str">
        <f>IFERROR(__xludf.DUMMYFUNCTION("""COMPUTED_VALUE"""),"They defintely understand that the crown is important, and that Tanya and Kerrick are important players in that, and that they should be learning about this.")</f>
        <v>They defintely understand that the crown is important, and that Tanya and Kerrick are important players in that, and that they should be learning about this.</v>
      </c>
      <c r="D41" s="182"/>
      <c r="E41" s="157"/>
      <c r="F41" s="153"/>
      <c r="G41" s="158"/>
      <c r="I41" s="330"/>
      <c r="J41" s="172"/>
    </row>
    <row r="42">
      <c r="A42" s="272" t="str">
        <f>IFERROR(__xludf.DUMMYFUNCTION("""COMPUTED_VALUE"""),"They know all about Tanya's tiara and think it may be plausible that Dealbinder actually did find my crown in a chest - and it somehow got there Thursday during the time noone remembers. ")</f>
        <v>They know all about Tanya's tiara and think it may be plausible that Dealbinder actually did find my crown in a chest - and it somehow got there Thursday during the time noone remembers. </v>
      </c>
      <c r="D42" s="182"/>
      <c r="E42" s="157"/>
      <c r="F42" s="12"/>
      <c r="G42" s="158"/>
    </row>
    <row r="43">
      <c r="A43" s="226" t="str">
        <f>IFERROR(__xludf.DUMMYFUNCTION("""COMPUTED_VALUE"""),"Connecterd after sat night events")</f>
        <v>Connecterd after sat night events</v>
      </c>
      <c r="D43" s="182"/>
      <c r="E43" s="157"/>
      <c r="F43" s="12"/>
      <c r="G43" s="158"/>
    </row>
    <row r="44">
      <c r="A44" s="226" t="str">
        <f>IFERROR(__xludf.DUMMYFUNCTION("""COMPUTED_VALUE"""),"Lunch: talked w/2 about ominous rune reading; offered the Makai ""hex"" against danger detail. (EC)")</f>
        <v>Lunch: talked w/2 about ominous rune reading; offered the Makai "hex" against danger detail. (EC)</v>
      </c>
      <c r="D44" s="182"/>
      <c r="E44" s="157"/>
      <c r="F44" s="12"/>
      <c r="G44" s="158"/>
    </row>
    <row r="45">
      <c r="A45" s="226" t="str">
        <f>IFERROR(__xludf.DUMMYFUNCTION("""COMPUTED_VALUE"""),"Talked up Jack Johnson as a good guy soon after lunch")</f>
        <v>Talked up Jack Johnson as a good guy soon after lunch</v>
      </c>
      <c r="D45" s="182"/>
      <c r="E45" s="157"/>
      <c r="F45" s="12"/>
      <c r="G45" s="158"/>
    </row>
    <row r="46">
      <c r="A46" s="226" t="str">
        <f>IFERROR(__xludf.DUMMYFUNCTION("""COMPUTED_VALUE"""),"Mentioned Jack Johnson looked familiar. They wanted to rule out it was from a Most Wanted List or prevoius Phantom duty. Assured them it wasn't that, just something familiar from before that - RP")</f>
        <v>Mentioned Jack Johnson looked familiar. They wanted to rule out it was from a Most Wanted List or prevoius Phantom duty. Assured them it wasn't that, just something familiar from before that - RP</v>
      </c>
      <c r="D46" s="182"/>
      <c r="E46" s="157"/>
      <c r="F46" s="12"/>
      <c r="G46" s="158"/>
    </row>
    <row r="47">
      <c r="A47" s="226" t="str">
        <f>IFERROR(__xludf.DUMMYFUNCTION("""COMPUTED_VALUE"""),"Told Blonde Femme presenting member of the group the information and that Karla was the little ""princess"" (AS)")</f>
        <v>Told Blonde Femme presenting member of the group the information and that Karla was the little "princess" (AS)</v>
      </c>
      <c r="D47" s="182"/>
      <c r="E47" s="157"/>
      <c r="F47" s="12"/>
      <c r="G47" s="158"/>
    </row>
    <row r="48">
      <c r="A48" s="226" t="str">
        <f>IFERROR(__xludf.DUMMYFUNCTION("""COMPUTED_VALUE"""),"Spoke to goggles guy and short curly haired woman fully engaged, they know Jack Johnson is not who he says he is, suspect his behavior, but don't know the tiara is valuable - BW")</f>
        <v>Spoke to goggles guy and short curly haired woman fully engaged, they know Jack Johnson is not who he says he is, suspect his behavior, but don't know the tiara is valuable - BW</v>
      </c>
      <c r="D48" s="182"/>
      <c r="E48" s="157"/>
      <c r="F48" s="12"/>
      <c r="G48" s="158"/>
    </row>
    <row r="49">
      <c r="A49" s="226" t="str">
        <f>IFERROR(__xludf.DUMMYFUNCTION("""COMPUTED_VALUE"""),"They came and played managers and peons and were super-fun! They really got into it! -Justin")</f>
        <v>They came and played managers and peons and were super-fun! They really got into it! -Justin</v>
      </c>
      <c r="D49" s="182"/>
      <c r="E49" s="157"/>
      <c r="F49" s="12"/>
      <c r="G49" s="158"/>
    </row>
    <row r="50">
      <c r="A50" s="226" t="str">
        <f>IFERROR(__xludf.DUMMYFUNCTION("""COMPUTED_VALUE"""),"Met with Maker and Ranger, they know I'm avoiding someone. - Paul SC (FRI Night)")</f>
        <v>Met with Maker and Ranger, they know I'm avoiding someone. - Paul SC (FRI Night)</v>
      </c>
      <c r="D50" s="182"/>
      <c r="E50" s="157"/>
      <c r="F50" s="12"/>
      <c r="G50" s="158"/>
    </row>
    <row r="51">
      <c r="A51" s="226" t="str">
        <f>IFERROR(__xludf.DUMMYFUNCTION("""COMPUTED_VALUE"""),"Gave info about Belle + singing = bad for Cary - ESD")</f>
        <v>Gave info about Belle + singing = bad for Cary - ESD</v>
      </c>
      <c r="D51" s="182"/>
      <c r="E51" s="157"/>
      <c r="F51" s="12"/>
      <c r="G51" s="158"/>
    </row>
    <row r="52">
      <c r="A52" s="226" t="str">
        <f>IFERROR(__xludf.DUMMYFUNCTION("""COMPUTED_VALUE"""),"Party came with no towels.  One person said they didn't want one, so we gave them 5 Comfort Committee towels -Melissa 11pm Friday")</f>
        <v>Party came with no towels.  One person said they didn't want one, so we gave them 5 Comfort Committee towels -Melissa 11pm Friday</v>
      </c>
      <c r="D52" s="182"/>
      <c r="E52" s="157"/>
      <c r="F52" s="12"/>
      <c r="G52" s="158"/>
    </row>
    <row r="53">
      <c r="A53" s="226" t="str">
        <f>IFERROR(__xludf.DUMMYFUNCTION("""COMPUTED_VALUE"""),"Party fought Chitters twice.  Bothh times they charged into battle, yelling and enthusiastic.  Communicated a leg wound well.  - Peggy Saturday 8-10")</f>
        <v>Party fought Chitters twice.  Bothh times they charged into battle, yelling and enthusiastic.  Communicated a leg wound well.  - Peggy Saturday 8-10</v>
      </c>
      <c r="D53" s="182"/>
      <c r="E53" s="157"/>
      <c r="F53" s="12"/>
      <c r="G53" s="158"/>
    </row>
    <row r="54">
      <c r="A54" s="226" t="str">
        <f>IFERROR(__xludf.DUMMYFUNCTION("""COMPUTED_VALUE"""),"Told me they are stressed about money (right after breakfast Saturday). - Janet")</f>
        <v>Told me they are stressed about money (right after breakfast Saturday). - Janet</v>
      </c>
      <c r="D54" s="182"/>
      <c r="E54" s="157"/>
      <c r="F54" s="12"/>
      <c r="G54" s="158"/>
    </row>
    <row r="55">
      <c r="A55" s="226" t="str">
        <f>IFERROR(__xludf.DUMMYFUNCTION("""COMPUTED_VALUE"""),"party photo taken -Mirin")</f>
        <v>party photo taken -Mirin</v>
      </c>
      <c r="D55" s="182"/>
      <c r="E55" s="157"/>
      <c r="F55" s="12"/>
      <c r="G55" s="158"/>
    </row>
    <row r="56">
      <c r="A56" s="226" t="str">
        <f>IFERROR(__xludf.DUMMYFUNCTION("""COMPUTED_VALUE"""),"THEY HAVE STOOKSTER'S AMULET")</f>
        <v>THEY HAVE STOOKSTER'S AMULET</v>
      </c>
      <c r="D56" s="182"/>
      <c r="E56" s="157"/>
      <c r="F56" s="12"/>
      <c r="G56" s="158"/>
    </row>
    <row r="57">
      <c r="A57" s="226" t="str">
        <f>IFERROR(__xludf.DUMMYFUNCTION("""COMPUTED_VALUE"""),"They asked JPEG to do a drawing of Samuelson to surprise him. I did one👍🤞")</f>
        <v>They asked JPEG to do a drawing of Samuelson to surprise him. I did one👍🤞</v>
      </c>
      <c r="D57" s="182"/>
      <c r="E57" s="157"/>
      <c r="F57" s="12"/>
      <c r="G57" s="158"/>
    </row>
    <row r="58">
      <c r="A58" s="226" t="str">
        <f>IFERROR(__xludf.DUMMYFUNCTION("""COMPUTED_VALUE"""),"Equi told 2 party members about the golden page and visit to Nemaia Sat. before lunch")</f>
        <v>Equi told 2 party members about the golden page and visit to Nemaia Sat. before lunch</v>
      </c>
      <c r="D58" s="182"/>
      <c r="E58" s="157"/>
      <c r="F58" s="12"/>
      <c r="G58" s="158"/>
    </row>
    <row r="59">
      <c r="A59" s="226" t="str">
        <f>IFERROR(__xludf.DUMMYFUNCTION("""COMPUTED_VALUE"""),"Dealbinder said that party thinks that Jack Johnson is framing him, and stole the jewels himself.  4:30 - Jodi")</f>
        <v>Dealbinder said that party thinks that Jack Johnson is framing him, and stole the jewels himself.  4:30 - Jodi</v>
      </c>
      <c r="D59" s="182"/>
      <c r="E59" s="157"/>
      <c r="F59" s="12"/>
      <c r="G59" s="158"/>
    </row>
    <row r="60">
      <c r="A60" s="226" t="str">
        <f>IFERROR(__xludf.DUMMYFUNCTION("""COMPUTED_VALUE"""),"Gave Seeker rejuvanation before Dreadwright after they answered ""what's the most heroic thing you did today"" - nice answer about protecting others and they wouldn't be who they are without care for others. - Kels")</f>
        <v>Gave Seeker rejuvanation before Dreadwright after they answered "what's the most heroic thing you did today" - nice answer about protecting others and they wouldn't be who they are without care for others. - Kels</v>
      </c>
      <c r="D60" s="182"/>
      <c r="E60" s="157"/>
      <c r="F60" s="12"/>
      <c r="G60" s="158"/>
    </row>
    <row r="61">
      <c r="A61" s="227"/>
      <c r="B61" s="228"/>
      <c r="C61" s="228"/>
      <c r="D61" s="189"/>
      <c r="E61" s="157"/>
      <c r="F61" s="12"/>
      <c r="G61" s="158"/>
    </row>
    <row r="62">
      <c r="A62" s="138"/>
      <c r="B62" s="138"/>
      <c r="C62" s="138"/>
      <c r="D62" s="138"/>
      <c r="E62" s="157"/>
      <c r="F62" s="12"/>
      <c r="G62" s="158"/>
    </row>
    <row r="63">
      <c r="A63" s="138"/>
      <c r="B63" s="138"/>
      <c r="C63" s="138"/>
      <c r="D63" s="138"/>
      <c r="E63" s="157"/>
      <c r="F63" s="12"/>
      <c r="G63" s="158"/>
    </row>
    <row r="64">
      <c r="A64" s="153"/>
      <c r="B64" s="229"/>
      <c r="C64" s="230"/>
      <c r="D64" s="231"/>
      <c r="E64" s="157"/>
      <c r="F64" s="12"/>
      <c r="G64" s="158"/>
    </row>
    <row r="65">
      <c r="A65" s="153"/>
      <c r="B65" s="229"/>
      <c r="C65" s="230"/>
      <c r="D65" s="231"/>
      <c r="E65" s="157"/>
      <c r="F65" s="12"/>
      <c r="G65" s="158"/>
    </row>
    <row r="66">
      <c r="A66" s="153"/>
      <c r="B66" s="229"/>
      <c r="C66" s="230"/>
      <c r="D66" s="231"/>
      <c r="E66" s="157"/>
      <c r="F66" s="12"/>
      <c r="G66" s="158"/>
    </row>
    <row r="67">
      <c r="A67" s="153"/>
      <c r="B67" s="229"/>
      <c r="C67" s="230"/>
      <c r="D67" s="231"/>
      <c r="E67" s="157"/>
      <c r="F67" s="12"/>
      <c r="G67" s="158"/>
    </row>
    <row r="68">
      <c r="A68" s="153"/>
      <c r="B68" s="229"/>
      <c r="C68" s="230"/>
      <c r="D68" s="231"/>
      <c r="E68" s="157"/>
      <c r="F68" s="12"/>
      <c r="G68" s="158"/>
    </row>
    <row r="69">
      <c r="A69" s="153"/>
      <c r="B69" s="229"/>
      <c r="C69" s="230"/>
      <c r="D69" s="231"/>
      <c r="E69" s="157"/>
      <c r="F69" s="12"/>
      <c r="G69" s="158"/>
    </row>
    <row r="70">
      <c r="A70" s="153"/>
      <c r="B70" s="229"/>
      <c r="C70" s="230"/>
      <c r="D70" s="231"/>
      <c r="E70" s="157"/>
      <c r="F70" s="12"/>
      <c r="G70" s="158"/>
    </row>
    <row r="71">
      <c r="A71" s="153"/>
      <c r="B71" s="229"/>
      <c r="C71" s="230"/>
      <c r="D71" s="231"/>
      <c r="E71" s="157"/>
      <c r="F71" s="12"/>
      <c r="G71" s="158"/>
    </row>
    <row r="72">
      <c r="A72" s="153"/>
      <c r="B72" s="229"/>
      <c r="C72" s="230"/>
      <c r="D72" s="231"/>
      <c r="E72" s="157"/>
      <c r="F72" s="12"/>
      <c r="G72" s="158"/>
    </row>
    <row r="73">
      <c r="A73" s="153"/>
      <c r="B73" s="229"/>
      <c r="C73" s="230"/>
      <c r="D73" s="231"/>
      <c r="E73" s="157"/>
      <c r="F73" s="12"/>
      <c r="G73" s="158"/>
    </row>
    <row r="74">
      <c r="A74" s="153"/>
      <c r="B74" s="229"/>
      <c r="C74" s="230"/>
      <c r="D74" s="231"/>
      <c r="E74" s="157"/>
      <c r="F74" s="12"/>
      <c r="G74" s="158"/>
    </row>
    <row r="75">
      <c r="A75" s="153"/>
      <c r="B75" s="229"/>
      <c r="C75" s="230"/>
      <c r="D75" s="231"/>
      <c r="E75" s="157"/>
      <c r="F75" s="12"/>
      <c r="G75" s="158"/>
    </row>
    <row r="76">
      <c r="A76" s="153"/>
      <c r="B76" s="229"/>
      <c r="C76" s="230"/>
      <c r="D76" s="231"/>
      <c r="E76" s="157"/>
      <c r="F76" s="12"/>
      <c r="G76" s="158"/>
    </row>
    <row r="77">
      <c r="A77" s="153"/>
      <c r="B77" s="229"/>
      <c r="C77" s="230"/>
      <c r="D77" s="231"/>
      <c r="E77" s="157"/>
      <c r="F77" s="12"/>
      <c r="G77" s="158"/>
    </row>
    <row r="78">
      <c r="A78" s="153"/>
      <c r="B78" s="229"/>
      <c r="C78" s="230"/>
      <c r="D78" s="231"/>
      <c r="E78" s="157"/>
      <c r="F78" s="12"/>
      <c r="G78" s="158"/>
    </row>
    <row r="79">
      <c r="A79" s="153"/>
      <c r="B79" s="229"/>
      <c r="C79" s="230"/>
      <c r="D79" s="231"/>
      <c r="E79" s="157"/>
      <c r="F79" s="12"/>
      <c r="G79" s="158"/>
    </row>
    <row r="80">
      <c r="A80" s="153"/>
      <c r="B80" s="229"/>
      <c r="C80" s="230"/>
      <c r="D80" s="231"/>
      <c r="E80" s="157"/>
      <c r="F80" s="12"/>
      <c r="G80" s="158"/>
    </row>
    <row r="81">
      <c r="A81" s="153"/>
      <c r="B81" s="229"/>
      <c r="C81" s="230"/>
      <c r="D81" s="231"/>
      <c r="E81" s="157"/>
      <c r="F81" s="12"/>
      <c r="G81" s="158"/>
    </row>
    <row r="82">
      <c r="A82" s="153"/>
      <c r="B82" s="229"/>
      <c r="C82" s="230"/>
      <c r="D82" s="231"/>
      <c r="E82" s="157"/>
      <c r="F82" s="12"/>
      <c r="G82" s="158"/>
    </row>
    <row r="83">
      <c r="A83" s="153"/>
      <c r="B83" s="229"/>
      <c r="C83" s="230"/>
      <c r="D83" s="231"/>
      <c r="E83" s="157"/>
      <c r="F83" s="12"/>
      <c r="G83" s="158"/>
    </row>
    <row r="84">
      <c r="A84" s="153"/>
      <c r="B84" s="229"/>
      <c r="C84" s="230"/>
      <c r="D84" s="231"/>
      <c r="E84" s="157"/>
      <c r="F84" s="12"/>
      <c r="G84" s="158"/>
    </row>
    <row r="85">
      <c r="A85" s="153"/>
      <c r="B85" s="229"/>
      <c r="C85" s="230"/>
      <c r="D85" s="231"/>
      <c r="E85" s="157"/>
      <c r="F85" s="12"/>
      <c r="G85" s="158"/>
    </row>
    <row r="86">
      <c r="A86" s="153"/>
      <c r="B86" s="229"/>
      <c r="C86" s="230"/>
      <c r="D86" s="231"/>
      <c r="E86" s="157"/>
      <c r="F86" s="12"/>
      <c r="G86" s="158"/>
    </row>
    <row r="87">
      <c r="A87" s="153"/>
      <c r="B87" s="229"/>
      <c r="C87" s="230"/>
      <c r="D87" s="231"/>
      <c r="E87" s="157"/>
      <c r="F87" s="12"/>
      <c r="G87" s="158"/>
    </row>
    <row r="88">
      <c r="A88" s="153"/>
      <c r="B88" s="229"/>
      <c r="C88" s="230"/>
      <c r="D88" s="231"/>
      <c r="E88" s="157"/>
      <c r="F88" s="12"/>
      <c r="G88" s="158"/>
    </row>
    <row r="89">
      <c r="A89" s="153"/>
      <c r="B89" s="229"/>
      <c r="C89" s="230"/>
      <c r="D89" s="231"/>
      <c r="E89" s="157"/>
      <c r="F89" s="12"/>
      <c r="G89" s="158"/>
    </row>
    <row r="90">
      <c r="A90" s="153"/>
      <c r="B90" s="229"/>
      <c r="C90" s="230"/>
      <c r="D90" s="231"/>
      <c r="E90" s="157"/>
      <c r="F90" s="12"/>
      <c r="G90" s="158"/>
    </row>
    <row r="91">
      <c r="A91" s="153"/>
      <c r="B91" s="229"/>
      <c r="C91" s="230"/>
      <c r="D91" s="231"/>
      <c r="E91" s="157"/>
      <c r="F91" s="12"/>
      <c r="G91" s="158"/>
    </row>
    <row r="92">
      <c r="A92" s="153"/>
      <c r="B92" s="229"/>
      <c r="C92" s="230"/>
      <c r="D92" s="231"/>
      <c r="E92" s="157"/>
      <c r="F92" s="12"/>
      <c r="G92" s="158"/>
    </row>
    <row r="93">
      <c r="A93" s="153"/>
      <c r="B93" s="229"/>
      <c r="C93" s="230"/>
      <c r="D93" s="231"/>
      <c r="E93" s="157"/>
      <c r="F93" s="12"/>
      <c r="G93" s="158"/>
    </row>
    <row r="94">
      <c r="A94" s="153"/>
      <c r="B94" s="229"/>
      <c r="C94" s="230"/>
      <c r="D94" s="231"/>
      <c r="E94" s="157"/>
      <c r="F94" s="12"/>
      <c r="G94" s="158"/>
    </row>
    <row r="95">
      <c r="A95" s="153"/>
      <c r="B95" s="229"/>
      <c r="C95" s="230"/>
      <c r="D95" s="231"/>
      <c r="E95" s="157"/>
      <c r="F95" s="12"/>
      <c r="G95" s="158"/>
    </row>
    <row r="96">
      <c r="A96" s="153"/>
      <c r="B96" s="229"/>
      <c r="C96" s="230"/>
      <c r="D96" s="231"/>
      <c r="E96" s="157"/>
      <c r="F96" s="12"/>
      <c r="G96" s="158"/>
    </row>
    <row r="97">
      <c r="A97" s="153"/>
      <c r="B97" s="229"/>
      <c r="C97" s="230"/>
      <c r="D97" s="231"/>
      <c r="E97" s="157"/>
      <c r="F97" s="12"/>
      <c r="G97" s="158"/>
    </row>
    <row r="98">
      <c r="A98" s="153"/>
      <c r="B98" s="229"/>
      <c r="C98" s="230"/>
      <c r="D98" s="231"/>
      <c r="E98" s="157"/>
      <c r="F98" s="12"/>
      <c r="G98" s="158"/>
    </row>
    <row r="99">
      <c r="A99" s="153"/>
      <c r="B99" s="229"/>
      <c r="C99" s="230"/>
      <c r="D99" s="231"/>
      <c r="E99" s="157"/>
      <c r="F99" s="12"/>
      <c r="G99" s="158"/>
    </row>
    <row r="100">
      <c r="A100" s="153"/>
      <c r="B100" s="229"/>
      <c r="C100" s="230"/>
      <c r="D100" s="231"/>
      <c r="E100" s="157"/>
      <c r="F100" s="12"/>
      <c r="G100" s="158"/>
    </row>
    <row r="101">
      <c r="A101" s="153"/>
      <c r="B101" s="229"/>
      <c r="C101" s="230"/>
      <c r="D101" s="231"/>
      <c r="E101" s="157"/>
      <c r="F101" s="12"/>
      <c r="G101" s="158"/>
    </row>
    <row r="102">
      <c r="A102" s="153"/>
      <c r="B102" s="229"/>
      <c r="C102" s="230"/>
      <c r="D102" s="231"/>
      <c r="E102" s="157"/>
      <c r="F102" s="12"/>
      <c r="G102" s="158"/>
    </row>
    <row r="103">
      <c r="A103" s="153"/>
      <c r="B103" s="229"/>
      <c r="C103" s="230"/>
      <c r="D103" s="231"/>
      <c r="E103" s="157"/>
      <c r="F103" s="12"/>
      <c r="G103" s="158"/>
    </row>
    <row r="104">
      <c r="A104" s="153"/>
      <c r="B104" s="229"/>
      <c r="C104" s="230"/>
      <c r="D104" s="231"/>
      <c r="E104" s="157"/>
      <c r="F104" s="12"/>
      <c r="G104" s="158"/>
    </row>
    <row r="105">
      <c r="A105" s="153"/>
      <c r="B105" s="229"/>
      <c r="C105" s="230"/>
      <c r="D105" s="231"/>
      <c r="E105" s="157"/>
      <c r="F105" s="12"/>
      <c r="G105" s="158"/>
    </row>
    <row r="106">
      <c r="A106" s="153"/>
      <c r="B106" s="229"/>
      <c r="C106" s="230"/>
      <c r="D106" s="231"/>
      <c r="E106" s="157"/>
      <c r="F106" s="12"/>
      <c r="G106" s="158"/>
    </row>
    <row r="107">
      <c r="A107" s="153"/>
      <c r="B107" s="229"/>
      <c r="C107" s="230"/>
      <c r="D107" s="231"/>
      <c r="E107" s="157"/>
      <c r="F107" s="12"/>
      <c r="G107" s="158"/>
    </row>
    <row r="108">
      <c r="A108" s="153"/>
      <c r="B108" s="229"/>
      <c r="C108" s="230"/>
      <c r="D108" s="231"/>
      <c r="E108" s="157"/>
      <c r="F108" s="12"/>
      <c r="G108" s="158"/>
    </row>
    <row r="109">
      <c r="A109" s="153"/>
      <c r="B109" s="229"/>
      <c r="C109" s="230"/>
      <c r="D109" s="231"/>
      <c r="E109" s="157"/>
      <c r="F109" s="12"/>
      <c r="G109" s="158"/>
    </row>
    <row r="110">
      <c r="A110" s="153"/>
      <c r="B110" s="229"/>
      <c r="C110" s="230"/>
      <c r="D110" s="231"/>
      <c r="E110" s="157"/>
      <c r="F110" s="12"/>
      <c r="G110" s="158"/>
    </row>
    <row r="111">
      <c r="A111" s="153"/>
      <c r="B111" s="229"/>
      <c r="C111" s="230"/>
      <c r="D111" s="231"/>
      <c r="E111" s="157"/>
      <c r="F111" s="12"/>
      <c r="G111" s="158"/>
    </row>
    <row r="112">
      <c r="A112" s="153"/>
      <c r="B112" s="229"/>
      <c r="C112" s="230"/>
      <c r="D112" s="231"/>
      <c r="E112" s="157"/>
      <c r="F112" s="12"/>
      <c r="G112" s="158"/>
    </row>
    <row r="113">
      <c r="A113" s="153"/>
      <c r="B113" s="229"/>
      <c r="C113" s="230"/>
      <c r="D113" s="231"/>
      <c r="E113" s="157"/>
      <c r="F113" s="12"/>
      <c r="G113" s="158"/>
    </row>
    <row r="114">
      <c r="A114" s="153"/>
      <c r="B114" s="229"/>
      <c r="C114" s="230"/>
      <c r="D114" s="231"/>
      <c r="E114" s="157"/>
      <c r="F114" s="12"/>
      <c r="G114" s="158"/>
    </row>
    <row r="115">
      <c r="A115" s="153"/>
      <c r="B115" s="229"/>
      <c r="C115" s="230"/>
      <c r="D115" s="231"/>
      <c r="E115" s="157"/>
      <c r="F115" s="12"/>
      <c r="G115" s="158"/>
    </row>
    <row r="116">
      <c r="A116" s="153"/>
      <c r="B116" s="229"/>
      <c r="C116" s="230"/>
      <c r="D116" s="231"/>
      <c r="E116" s="157"/>
      <c r="F116" s="12"/>
      <c r="G116" s="158"/>
    </row>
    <row r="117">
      <c r="A117" s="153"/>
      <c r="B117" s="229"/>
      <c r="C117" s="230"/>
      <c r="D117" s="231"/>
      <c r="E117" s="157"/>
      <c r="F117" s="12"/>
      <c r="G117" s="158"/>
    </row>
    <row r="118">
      <c r="A118" s="153"/>
      <c r="B118" s="229"/>
      <c r="C118" s="230"/>
      <c r="D118" s="231"/>
      <c r="E118" s="157"/>
      <c r="F118" s="12"/>
      <c r="G118" s="158"/>
    </row>
    <row r="119">
      <c r="A119" s="153"/>
      <c r="B119" s="229"/>
      <c r="C119" s="230"/>
      <c r="D119" s="231"/>
      <c r="E119" s="157"/>
      <c r="F119" s="12"/>
      <c r="G119" s="158"/>
    </row>
    <row r="120">
      <c r="A120" s="153"/>
      <c r="B120" s="229"/>
      <c r="C120" s="230"/>
      <c r="D120" s="231"/>
      <c r="E120" s="157"/>
      <c r="F120" s="12"/>
      <c r="G120" s="158"/>
    </row>
    <row r="121">
      <c r="A121" s="153"/>
      <c r="B121" s="229"/>
      <c r="C121" s="230"/>
      <c r="D121" s="231"/>
      <c r="E121" s="157"/>
      <c r="F121" s="12"/>
      <c r="G121" s="158"/>
    </row>
    <row r="122">
      <c r="A122" s="153"/>
      <c r="B122" s="229"/>
      <c r="C122" s="230"/>
      <c r="D122" s="231"/>
      <c r="E122" s="157"/>
      <c r="F122" s="12"/>
      <c r="G122" s="158"/>
    </row>
    <row r="123">
      <c r="A123" s="153"/>
      <c r="B123" s="229"/>
      <c r="C123" s="230"/>
      <c r="D123" s="231"/>
      <c r="E123" s="157"/>
      <c r="F123" s="12"/>
      <c r="G123" s="158"/>
    </row>
    <row r="124">
      <c r="A124" s="153"/>
      <c r="B124" s="229"/>
      <c r="C124" s="230"/>
      <c r="D124" s="231"/>
      <c r="E124" s="157"/>
      <c r="F124" s="12"/>
      <c r="G124" s="158"/>
    </row>
    <row r="125">
      <c r="A125" s="153"/>
      <c r="B125" s="229"/>
      <c r="C125" s="230"/>
      <c r="D125" s="231"/>
      <c r="E125" s="157"/>
      <c r="F125" s="12"/>
      <c r="G125" s="158"/>
    </row>
    <row r="126">
      <c r="A126" s="153"/>
      <c r="B126" s="229"/>
      <c r="C126" s="230"/>
      <c r="D126" s="231"/>
      <c r="E126" s="157"/>
      <c r="F126" s="12"/>
      <c r="G126" s="158"/>
    </row>
    <row r="127">
      <c r="A127" s="153"/>
      <c r="B127" s="229"/>
      <c r="C127" s="230"/>
      <c r="D127" s="231"/>
      <c r="E127" s="157"/>
      <c r="F127" s="12"/>
      <c r="G127" s="158"/>
    </row>
    <row r="128">
      <c r="A128" s="153"/>
      <c r="B128" s="229"/>
      <c r="C128" s="230"/>
      <c r="D128" s="231"/>
      <c r="E128" s="157"/>
      <c r="F128" s="12"/>
      <c r="G128" s="158"/>
    </row>
    <row r="129">
      <c r="A129" s="153"/>
      <c r="B129" s="229"/>
      <c r="C129" s="230"/>
      <c r="D129" s="231"/>
      <c r="E129" s="157"/>
      <c r="F129" s="12"/>
      <c r="G129" s="158"/>
    </row>
    <row r="130">
      <c r="A130" s="153"/>
      <c r="B130" s="229"/>
      <c r="C130" s="230"/>
      <c r="D130" s="231"/>
      <c r="E130" s="157"/>
      <c r="F130" s="12"/>
      <c r="G130" s="158"/>
    </row>
    <row r="131">
      <c r="A131" s="153"/>
      <c r="B131" s="229"/>
      <c r="C131" s="230"/>
      <c r="D131" s="231"/>
      <c r="E131" s="157"/>
      <c r="F131" s="12"/>
      <c r="G131" s="158"/>
    </row>
    <row r="132">
      <c r="A132" s="153"/>
      <c r="B132" s="229"/>
      <c r="C132" s="230"/>
      <c r="D132" s="231"/>
      <c r="E132" s="157"/>
      <c r="F132" s="12"/>
      <c r="G132" s="158"/>
    </row>
    <row r="133">
      <c r="A133" s="153"/>
      <c r="B133" s="229"/>
      <c r="C133" s="230"/>
      <c r="D133" s="231"/>
      <c r="E133" s="157"/>
      <c r="F133" s="12"/>
      <c r="G133" s="158"/>
    </row>
    <row r="134">
      <c r="A134" s="153"/>
      <c r="B134" s="229"/>
      <c r="C134" s="230"/>
      <c r="D134" s="231"/>
      <c r="E134" s="157"/>
      <c r="F134" s="12"/>
      <c r="G134" s="158"/>
    </row>
    <row r="135">
      <c r="A135" s="153"/>
      <c r="B135" s="229"/>
      <c r="C135" s="230"/>
      <c r="D135" s="231"/>
      <c r="E135" s="157"/>
      <c r="F135" s="12"/>
      <c r="G135" s="158"/>
    </row>
    <row r="136">
      <c r="A136" s="153"/>
      <c r="B136" s="229"/>
      <c r="C136" s="230"/>
      <c r="D136" s="231"/>
      <c r="E136" s="157"/>
      <c r="F136" s="12"/>
      <c r="G136" s="158"/>
    </row>
    <row r="137">
      <c r="A137" s="153"/>
      <c r="B137" s="229"/>
      <c r="C137" s="230"/>
      <c r="D137" s="231"/>
      <c r="E137" s="157"/>
      <c r="F137" s="12"/>
      <c r="G137" s="158"/>
    </row>
    <row r="138">
      <c r="A138" s="153"/>
      <c r="B138" s="229"/>
      <c r="C138" s="230"/>
      <c r="D138" s="231"/>
      <c r="E138" s="157"/>
      <c r="F138" s="12"/>
      <c r="G138" s="158"/>
    </row>
    <row r="139">
      <c r="A139" s="153"/>
      <c r="B139" s="229"/>
      <c r="C139" s="230"/>
      <c r="D139" s="231"/>
      <c r="E139" s="157"/>
      <c r="F139" s="12"/>
      <c r="G139" s="158"/>
    </row>
    <row r="140">
      <c r="A140" s="153"/>
      <c r="B140" s="229"/>
      <c r="C140" s="230"/>
      <c r="D140" s="231"/>
      <c r="E140" s="157"/>
      <c r="F140" s="12"/>
      <c r="G140" s="158"/>
    </row>
    <row r="141">
      <c r="A141" s="153"/>
      <c r="B141" s="229"/>
      <c r="C141" s="230"/>
      <c r="D141" s="231"/>
      <c r="E141" s="157"/>
      <c r="F141" s="12"/>
      <c r="G141" s="158"/>
    </row>
    <row r="142">
      <c r="A142" s="153"/>
      <c r="B142" s="229"/>
      <c r="C142" s="230"/>
      <c r="D142" s="231"/>
      <c r="E142" s="157"/>
      <c r="F142" s="12"/>
      <c r="G142" s="158"/>
    </row>
    <row r="143">
      <c r="A143" s="153"/>
      <c r="B143" s="229"/>
      <c r="C143" s="230"/>
      <c r="D143" s="231"/>
      <c r="E143" s="157"/>
      <c r="F143" s="12"/>
      <c r="G143" s="158"/>
    </row>
    <row r="144">
      <c r="A144" s="153"/>
      <c r="B144" s="229"/>
      <c r="C144" s="230"/>
      <c r="D144" s="231"/>
      <c r="E144" s="157"/>
      <c r="F144" s="12"/>
      <c r="G144" s="158"/>
    </row>
    <row r="145">
      <c r="A145" s="153"/>
      <c r="B145" s="229"/>
      <c r="C145" s="230"/>
      <c r="D145" s="231"/>
      <c r="E145" s="157"/>
      <c r="F145" s="12"/>
      <c r="G145" s="158"/>
    </row>
    <row r="146">
      <c r="A146" s="153"/>
      <c r="B146" s="229"/>
      <c r="C146" s="230"/>
      <c r="D146" s="231"/>
      <c r="E146" s="157"/>
      <c r="F146" s="12"/>
      <c r="G146" s="158"/>
    </row>
    <row r="147">
      <c r="A147" s="153"/>
      <c r="B147" s="229"/>
      <c r="C147" s="230"/>
      <c r="D147" s="231"/>
      <c r="E147" s="157"/>
      <c r="F147" s="12"/>
      <c r="G147" s="158"/>
    </row>
    <row r="148">
      <c r="A148" s="153"/>
      <c r="B148" s="229"/>
      <c r="C148" s="230"/>
      <c r="D148" s="231"/>
      <c r="E148" s="157"/>
      <c r="F148" s="12"/>
      <c r="G148" s="158"/>
    </row>
    <row r="149">
      <c r="A149" s="153"/>
      <c r="B149" s="229"/>
      <c r="C149" s="230"/>
      <c r="D149" s="231"/>
      <c r="E149" s="157"/>
      <c r="F149" s="12"/>
      <c r="G149" s="158"/>
    </row>
    <row r="150">
      <c r="A150" s="153"/>
      <c r="B150" s="229"/>
      <c r="C150" s="230"/>
      <c r="D150" s="231"/>
      <c r="E150" s="157"/>
      <c r="F150" s="12"/>
      <c r="G150" s="158"/>
    </row>
    <row r="151">
      <c r="A151" s="153"/>
      <c r="B151" s="229"/>
      <c r="C151" s="230"/>
      <c r="D151" s="231"/>
      <c r="E151" s="157"/>
      <c r="F151" s="12"/>
      <c r="G151" s="158"/>
    </row>
    <row r="152">
      <c r="A152" s="153"/>
      <c r="B152" s="229"/>
      <c r="C152" s="230"/>
      <c r="D152" s="231"/>
      <c r="E152" s="157"/>
      <c r="F152" s="12"/>
      <c r="G152" s="158"/>
    </row>
    <row r="153">
      <c r="A153" s="153"/>
      <c r="B153" s="229"/>
      <c r="C153" s="230"/>
      <c r="D153" s="231"/>
      <c r="E153" s="157"/>
      <c r="F153" s="12"/>
      <c r="G153" s="158"/>
    </row>
    <row r="154">
      <c r="A154" s="153"/>
      <c r="B154" s="229"/>
      <c r="C154" s="230"/>
      <c r="D154" s="231"/>
      <c r="E154" s="157"/>
      <c r="F154" s="12"/>
      <c r="G154" s="158"/>
    </row>
    <row r="155">
      <c r="A155" s="153"/>
      <c r="B155" s="229"/>
      <c r="C155" s="230"/>
      <c r="D155" s="231"/>
      <c r="E155" s="157"/>
      <c r="F155" s="12"/>
      <c r="G155" s="158"/>
    </row>
    <row r="156">
      <c r="A156" s="153"/>
      <c r="B156" s="229"/>
      <c r="C156" s="230"/>
      <c r="D156" s="231"/>
      <c r="E156" s="157"/>
      <c r="F156" s="12"/>
      <c r="G156" s="158"/>
    </row>
    <row r="157">
      <c r="A157" s="153"/>
      <c r="B157" s="229"/>
      <c r="C157" s="230"/>
      <c r="D157" s="231"/>
      <c r="E157" s="157"/>
      <c r="F157" s="12"/>
      <c r="G157" s="158"/>
    </row>
    <row r="158">
      <c r="A158" s="153"/>
      <c r="B158" s="229"/>
      <c r="C158" s="230"/>
      <c r="D158" s="231"/>
      <c r="E158" s="157"/>
      <c r="F158" s="12"/>
      <c r="G158" s="158"/>
    </row>
    <row r="159">
      <c r="A159" s="153"/>
      <c r="B159" s="229"/>
      <c r="C159" s="230"/>
      <c r="D159" s="231"/>
      <c r="E159" s="157"/>
      <c r="F159" s="12"/>
      <c r="G159" s="158"/>
    </row>
    <row r="160">
      <c r="A160" s="153"/>
      <c r="B160" s="229"/>
      <c r="C160" s="230"/>
      <c r="D160" s="231"/>
      <c r="E160" s="157"/>
      <c r="F160" s="12"/>
      <c r="G160" s="158"/>
    </row>
    <row r="161">
      <c r="A161" s="153"/>
      <c r="B161" s="229"/>
      <c r="C161" s="230"/>
      <c r="D161" s="231"/>
      <c r="E161" s="157"/>
      <c r="F161" s="12"/>
      <c r="G161" s="158"/>
    </row>
    <row r="162">
      <c r="A162" s="153"/>
      <c r="B162" s="229"/>
      <c r="C162" s="230"/>
      <c r="D162" s="231"/>
      <c r="E162" s="157"/>
      <c r="F162" s="12"/>
      <c r="G162" s="158"/>
    </row>
    <row r="163">
      <c r="A163" s="153"/>
      <c r="B163" s="229"/>
      <c r="C163" s="230"/>
      <c r="D163" s="231"/>
      <c r="E163" s="157"/>
      <c r="F163" s="12"/>
      <c r="G163" s="158"/>
    </row>
    <row r="164">
      <c r="A164" s="153"/>
      <c r="B164" s="229"/>
      <c r="C164" s="230"/>
      <c r="D164" s="231"/>
      <c r="E164" s="157"/>
      <c r="F164" s="12"/>
      <c r="G164" s="158"/>
    </row>
    <row r="165">
      <c r="A165" s="153"/>
      <c r="B165" s="229"/>
      <c r="C165" s="230"/>
      <c r="D165" s="231"/>
      <c r="E165" s="157"/>
      <c r="F165" s="12"/>
      <c r="G165" s="158"/>
    </row>
    <row r="166">
      <c r="A166" s="153"/>
      <c r="B166" s="229"/>
      <c r="C166" s="230"/>
      <c r="D166" s="231"/>
      <c r="E166" s="157"/>
      <c r="F166" s="12"/>
      <c r="G166" s="158"/>
    </row>
    <row r="167">
      <c r="A167" s="153"/>
      <c r="B167" s="229"/>
      <c r="C167" s="230"/>
      <c r="D167" s="231"/>
      <c r="E167" s="157"/>
      <c r="F167" s="12"/>
      <c r="G167" s="158"/>
    </row>
    <row r="168">
      <c r="A168" s="153"/>
      <c r="B168" s="229"/>
      <c r="C168" s="230"/>
      <c r="D168" s="231"/>
      <c r="E168" s="157"/>
      <c r="F168" s="12"/>
      <c r="G168" s="158"/>
    </row>
    <row r="169">
      <c r="A169" s="153"/>
      <c r="B169" s="229"/>
      <c r="C169" s="230"/>
      <c r="D169" s="231"/>
      <c r="E169" s="157"/>
      <c r="F169" s="12"/>
      <c r="G169" s="158"/>
    </row>
    <row r="170">
      <c r="A170" s="153"/>
      <c r="B170" s="229"/>
      <c r="C170" s="230"/>
      <c r="D170" s="231"/>
      <c r="E170" s="157"/>
      <c r="F170" s="12"/>
      <c r="G170" s="158"/>
    </row>
    <row r="171">
      <c r="A171" s="153"/>
      <c r="B171" s="229"/>
      <c r="C171" s="230"/>
      <c r="D171" s="231"/>
      <c r="E171" s="157"/>
      <c r="F171" s="12"/>
      <c r="G171" s="158"/>
    </row>
    <row r="172">
      <c r="A172" s="153"/>
      <c r="B172" s="229"/>
      <c r="C172" s="230"/>
      <c r="D172" s="231"/>
      <c r="E172" s="157"/>
      <c r="F172" s="12"/>
      <c r="G172" s="158"/>
    </row>
    <row r="173">
      <c r="A173" s="153"/>
      <c r="B173" s="229"/>
      <c r="C173" s="230"/>
      <c r="D173" s="231"/>
      <c r="E173" s="157"/>
      <c r="F173" s="12"/>
      <c r="G173" s="158"/>
    </row>
    <row r="174">
      <c r="A174" s="153"/>
      <c r="B174" s="229"/>
      <c r="C174" s="230"/>
      <c r="D174" s="231"/>
      <c r="E174" s="157"/>
      <c r="F174" s="12"/>
      <c r="G174" s="158"/>
    </row>
    <row r="175">
      <c r="A175" s="153"/>
      <c r="B175" s="229"/>
      <c r="C175" s="230"/>
      <c r="D175" s="231"/>
      <c r="E175" s="157"/>
      <c r="F175" s="12"/>
      <c r="G175" s="158"/>
    </row>
    <row r="176">
      <c r="A176" s="153"/>
      <c r="B176" s="229"/>
      <c r="C176" s="230"/>
      <c r="D176" s="231"/>
      <c r="E176" s="157"/>
      <c r="F176" s="12"/>
      <c r="G176" s="158"/>
    </row>
    <row r="177">
      <c r="A177" s="153"/>
      <c r="B177" s="229"/>
      <c r="C177" s="230"/>
      <c r="D177" s="231"/>
      <c r="E177" s="157"/>
      <c r="F177" s="12"/>
      <c r="G177" s="158"/>
    </row>
    <row r="178">
      <c r="A178" s="153"/>
      <c r="B178" s="229"/>
      <c r="C178" s="230"/>
      <c r="D178" s="231"/>
      <c r="E178" s="157"/>
      <c r="F178" s="12"/>
      <c r="G178" s="158"/>
    </row>
    <row r="179">
      <c r="A179" s="153"/>
      <c r="B179" s="229"/>
      <c r="C179" s="230"/>
      <c r="D179" s="231"/>
      <c r="E179" s="157"/>
      <c r="F179" s="12"/>
      <c r="G179" s="158"/>
    </row>
    <row r="180">
      <c r="A180" s="153"/>
      <c r="B180" s="229"/>
      <c r="C180" s="230"/>
      <c r="D180" s="231"/>
      <c r="E180" s="157"/>
      <c r="F180" s="12"/>
      <c r="G180" s="158"/>
    </row>
    <row r="181">
      <c r="A181" s="153"/>
      <c r="B181" s="229"/>
      <c r="C181" s="230"/>
      <c r="D181" s="231"/>
      <c r="E181" s="157"/>
      <c r="F181" s="12"/>
      <c r="G181" s="158"/>
    </row>
    <row r="182">
      <c r="A182" s="153"/>
      <c r="B182" s="229"/>
      <c r="C182" s="230"/>
      <c r="D182" s="231"/>
      <c r="E182" s="157"/>
      <c r="F182" s="12"/>
      <c r="G182" s="158"/>
    </row>
    <row r="183">
      <c r="A183" s="153"/>
      <c r="B183" s="229"/>
      <c r="C183" s="230"/>
      <c r="D183" s="231"/>
      <c r="E183" s="157"/>
      <c r="F183" s="12"/>
      <c r="G183" s="158"/>
    </row>
    <row r="184">
      <c r="A184" s="153"/>
      <c r="B184" s="229"/>
      <c r="C184" s="230"/>
      <c r="D184" s="231"/>
      <c r="E184" s="157"/>
      <c r="F184" s="12"/>
      <c r="G184" s="158"/>
    </row>
    <row r="185">
      <c r="A185" s="153"/>
      <c r="B185" s="229"/>
      <c r="C185" s="230"/>
      <c r="D185" s="231"/>
      <c r="E185" s="157"/>
      <c r="F185" s="12"/>
      <c r="G185" s="158"/>
    </row>
    <row r="186">
      <c r="A186" s="153"/>
      <c r="B186" s="229"/>
      <c r="C186" s="230"/>
      <c r="D186" s="231"/>
      <c r="E186" s="157"/>
      <c r="F186" s="12"/>
      <c r="G186" s="158"/>
    </row>
    <row r="187">
      <c r="A187" s="153"/>
      <c r="B187" s="229"/>
      <c r="C187" s="230"/>
      <c r="D187" s="231"/>
      <c r="E187" s="157"/>
      <c r="F187" s="12"/>
      <c r="G187" s="158"/>
    </row>
    <row r="188">
      <c r="A188" s="153"/>
      <c r="B188" s="229"/>
      <c r="C188" s="230"/>
      <c r="D188" s="231"/>
      <c r="E188" s="157"/>
      <c r="F188" s="12"/>
      <c r="G188" s="158"/>
    </row>
    <row r="189">
      <c r="A189" s="153"/>
      <c r="B189" s="229"/>
      <c r="C189" s="230"/>
      <c r="D189" s="231"/>
      <c r="E189" s="157"/>
      <c r="F189" s="12"/>
      <c r="G189" s="158"/>
    </row>
    <row r="190">
      <c r="A190" s="153"/>
      <c r="B190" s="229"/>
      <c r="C190" s="230"/>
      <c r="D190" s="231"/>
      <c r="E190" s="157"/>
      <c r="F190" s="12"/>
      <c r="G190" s="158"/>
    </row>
    <row r="191">
      <c r="A191" s="153"/>
      <c r="B191" s="229"/>
      <c r="C191" s="230"/>
      <c r="D191" s="231"/>
      <c r="E191" s="157"/>
      <c r="F191" s="12"/>
      <c r="G191" s="158"/>
    </row>
    <row r="192">
      <c r="A192" s="153"/>
      <c r="B192" s="229"/>
      <c r="C192" s="230"/>
      <c r="D192" s="231"/>
      <c r="E192" s="157"/>
      <c r="F192" s="12"/>
      <c r="G192" s="158"/>
    </row>
    <row r="193">
      <c r="A193" s="153"/>
      <c r="B193" s="229"/>
      <c r="C193" s="230"/>
      <c r="D193" s="231"/>
      <c r="E193" s="157"/>
      <c r="F193" s="12"/>
      <c r="G193" s="158"/>
    </row>
    <row r="194">
      <c r="A194" s="153"/>
      <c r="B194" s="229"/>
      <c r="C194" s="230"/>
      <c r="D194" s="231"/>
      <c r="E194" s="157"/>
      <c r="F194" s="12"/>
      <c r="G194" s="158"/>
    </row>
    <row r="195">
      <c r="A195" s="153"/>
      <c r="B195" s="229"/>
      <c r="C195" s="230"/>
      <c r="D195" s="231"/>
      <c r="E195" s="157"/>
      <c r="F195" s="12"/>
      <c r="G195" s="158"/>
    </row>
    <row r="196">
      <c r="A196" s="153"/>
      <c r="B196" s="229"/>
      <c r="C196" s="230"/>
      <c r="D196" s="231"/>
      <c r="E196" s="157"/>
      <c r="F196" s="12"/>
      <c r="G196" s="158"/>
    </row>
    <row r="197">
      <c r="A197" s="153"/>
      <c r="B197" s="229"/>
      <c r="C197" s="230"/>
      <c r="D197" s="231"/>
      <c r="E197" s="157"/>
      <c r="F197" s="12"/>
      <c r="G197" s="158"/>
    </row>
    <row r="198">
      <c r="A198" s="153"/>
      <c r="B198" s="229"/>
      <c r="C198" s="230"/>
      <c r="D198" s="231"/>
      <c r="E198" s="157"/>
      <c r="F198" s="12"/>
      <c r="G198" s="158"/>
    </row>
    <row r="199">
      <c r="A199" s="153"/>
      <c r="B199" s="229"/>
      <c r="C199" s="230"/>
      <c r="D199" s="231"/>
      <c r="E199" s="157"/>
      <c r="F199" s="12"/>
      <c r="G199" s="158"/>
    </row>
    <row r="200">
      <c r="A200" s="153"/>
      <c r="B200" s="229"/>
      <c r="C200" s="230"/>
      <c r="D200" s="231"/>
      <c r="E200" s="157"/>
      <c r="F200" s="12"/>
      <c r="G200" s="158"/>
    </row>
    <row r="201">
      <c r="A201" s="153"/>
      <c r="B201" s="229"/>
      <c r="C201" s="230"/>
      <c r="D201" s="231"/>
      <c r="E201" s="157"/>
      <c r="F201" s="12"/>
      <c r="G201" s="158"/>
    </row>
    <row r="202">
      <c r="A202" s="153"/>
      <c r="B202" s="229"/>
      <c r="C202" s="230"/>
      <c r="D202" s="231"/>
      <c r="E202" s="157"/>
      <c r="F202" s="12"/>
      <c r="G202" s="158"/>
    </row>
    <row r="203">
      <c r="A203" s="153"/>
      <c r="B203" s="229"/>
      <c r="C203" s="230"/>
      <c r="D203" s="231"/>
      <c r="E203" s="157"/>
      <c r="F203" s="12"/>
      <c r="G203" s="158"/>
    </row>
    <row r="204">
      <c r="A204" s="153"/>
      <c r="B204" s="229"/>
      <c r="C204" s="230"/>
      <c r="D204" s="231"/>
      <c r="E204" s="157"/>
      <c r="F204" s="12"/>
      <c r="G204" s="158"/>
    </row>
    <row r="205">
      <c r="A205" s="153"/>
      <c r="B205" s="229"/>
      <c r="C205" s="230"/>
      <c r="D205" s="231"/>
      <c r="E205" s="157"/>
      <c r="F205" s="12"/>
      <c r="G205" s="158"/>
    </row>
    <row r="206">
      <c r="A206" s="153"/>
      <c r="B206" s="229"/>
      <c r="C206" s="230"/>
      <c r="D206" s="231"/>
      <c r="E206" s="157"/>
      <c r="F206" s="12"/>
      <c r="G206" s="158"/>
    </row>
    <row r="207">
      <c r="A207" s="153"/>
      <c r="B207" s="229"/>
      <c r="C207" s="230"/>
      <c r="D207" s="231"/>
      <c r="E207" s="157"/>
      <c r="F207" s="12"/>
      <c r="G207" s="158"/>
    </row>
    <row r="208">
      <c r="A208" s="153"/>
      <c r="B208" s="229"/>
      <c r="C208" s="230"/>
      <c r="D208" s="231"/>
      <c r="E208" s="157"/>
      <c r="F208" s="12"/>
      <c r="G208" s="158"/>
    </row>
    <row r="209">
      <c r="A209" s="153"/>
      <c r="B209" s="229"/>
      <c r="C209" s="230"/>
      <c r="D209" s="231"/>
      <c r="E209" s="157"/>
      <c r="F209" s="12"/>
      <c r="G209" s="158"/>
    </row>
    <row r="210">
      <c r="A210" s="153"/>
      <c r="B210" s="229"/>
      <c r="C210" s="230"/>
      <c r="D210" s="231"/>
      <c r="E210" s="157"/>
      <c r="F210" s="12"/>
      <c r="G210" s="158"/>
    </row>
    <row r="211">
      <c r="A211" s="153"/>
      <c r="B211" s="229"/>
      <c r="C211" s="230"/>
      <c r="D211" s="231"/>
      <c r="E211" s="157"/>
      <c r="F211" s="12"/>
      <c r="G211" s="158"/>
    </row>
    <row r="212">
      <c r="A212" s="153"/>
      <c r="B212" s="229"/>
      <c r="C212" s="230"/>
      <c r="D212" s="231"/>
      <c r="E212" s="157"/>
      <c r="F212" s="12"/>
      <c r="G212" s="158"/>
    </row>
    <row r="213">
      <c r="A213" s="153"/>
      <c r="B213" s="229"/>
      <c r="C213" s="230"/>
      <c r="D213" s="231"/>
      <c r="E213" s="157"/>
      <c r="F213" s="12"/>
      <c r="G213" s="158"/>
    </row>
    <row r="214">
      <c r="A214" s="153"/>
      <c r="B214" s="229"/>
      <c r="C214" s="230"/>
      <c r="D214" s="231"/>
      <c r="E214" s="157"/>
      <c r="F214" s="12"/>
      <c r="G214" s="158"/>
    </row>
    <row r="215">
      <c r="A215" s="153"/>
      <c r="B215" s="229"/>
      <c r="C215" s="230"/>
      <c r="D215" s="231"/>
      <c r="E215" s="157"/>
      <c r="F215" s="12"/>
      <c r="G215" s="158"/>
    </row>
    <row r="216">
      <c r="A216" s="153"/>
      <c r="B216" s="229"/>
      <c r="C216" s="230"/>
      <c r="D216" s="231"/>
      <c r="E216" s="157"/>
      <c r="F216" s="12"/>
      <c r="G216" s="158"/>
    </row>
    <row r="217">
      <c r="A217" s="153"/>
      <c r="B217" s="229"/>
      <c r="C217" s="230"/>
      <c r="D217" s="231"/>
      <c r="E217" s="157"/>
      <c r="F217" s="12"/>
      <c r="G217" s="158"/>
    </row>
    <row r="218">
      <c r="A218" s="153"/>
      <c r="B218" s="229"/>
      <c r="C218" s="230"/>
      <c r="D218" s="231"/>
      <c r="E218" s="157"/>
      <c r="F218" s="12"/>
      <c r="G218" s="158"/>
    </row>
    <row r="219">
      <c r="A219" s="153"/>
      <c r="B219" s="229"/>
      <c r="C219" s="230"/>
      <c r="D219" s="231"/>
      <c r="E219" s="157"/>
      <c r="F219" s="12"/>
      <c r="G219" s="158"/>
    </row>
    <row r="220">
      <c r="A220" s="153"/>
      <c r="B220" s="229"/>
      <c r="C220" s="230"/>
      <c r="D220" s="231"/>
      <c r="E220" s="157"/>
      <c r="F220" s="12"/>
      <c r="G220" s="158"/>
    </row>
    <row r="221">
      <c r="A221" s="153"/>
      <c r="B221" s="229"/>
      <c r="C221" s="230"/>
      <c r="D221" s="231"/>
      <c r="E221" s="157"/>
      <c r="F221" s="12"/>
      <c r="G221" s="158"/>
    </row>
    <row r="222">
      <c r="A222" s="153"/>
      <c r="B222" s="229"/>
      <c r="C222" s="230"/>
      <c r="D222" s="231"/>
      <c r="E222" s="157"/>
      <c r="F222" s="12"/>
      <c r="G222" s="158"/>
    </row>
    <row r="223">
      <c r="A223" s="153"/>
      <c r="B223" s="229"/>
      <c r="C223" s="230"/>
      <c r="D223" s="231"/>
      <c r="E223" s="157"/>
      <c r="F223" s="12"/>
      <c r="G223" s="158"/>
    </row>
    <row r="224">
      <c r="A224" s="153"/>
      <c r="B224" s="229"/>
      <c r="C224" s="230"/>
      <c r="D224" s="231"/>
      <c r="E224" s="157"/>
      <c r="F224" s="12"/>
      <c r="G224" s="158"/>
    </row>
    <row r="225">
      <c r="A225" s="153"/>
      <c r="B225" s="229"/>
      <c r="C225" s="230"/>
      <c r="D225" s="231"/>
      <c r="E225" s="157"/>
      <c r="F225" s="12"/>
      <c r="G225" s="158"/>
    </row>
    <row r="226">
      <c r="A226" s="153"/>
      <c r="B226" s="229"/>
      <c r="C226" s="230"/>
      <c r="D226" s="231"/>
      <c r="E226" s="157"/>
      <c r="F226" s="12"/>
      <c r="G226" s="158"/>
    </row>
    <row r="227">
      <c r="A227" s="153"/>
      <c r="B227" s="229"/>
      <c r="C227" s="230"/>
      <c r="D227" s="231"/>
      <c r="E227" s="157"/>
      <c r="F227" s="12"/>
      <c r="G227" s="158"/>
    </row>
    <row r="228">
      <c r="A228" s="153"/>
      <c r="B228" s="229"/>
      <c r="C228" s="230"/>
      <c r="D228" s="231"/>
      <c r="E228" s="157"/>
      <c r="F228" s="12"/>
      <c r="G228" s="158"/>
    </row>
    <row r="229">
      <c r="A229" s="153"/>
      <c r="B229" s="229"/>
      <c r="C229" s="230"/>
      <c r="D229" s="231"/>
      <c r="E229" s="157"/>
      <c r="F229" s="12"/>
      <c r="G229" s="158"/>
    </row>
    <row r="230">
      <c r="A230" s="153"/>
      <c r="B230" s="229"/>
      <c r="C230" s="230"/>
      <c r="D230" s="231"/>
      <c r="E230" s="157"/>
      <c r="F230" s="12"/>
      <c r="G230" s="158"/>
    </row>
    <row r="231">
      <c r="A231" s="153"/>
      <c r="B231" s="229"/>
      <c r="C231" s="230"/>
      <c r="D231" s="231"/>
      <c r="E231" s="157"/>
      <c r="F231" s="12"/>
      <c r="G231" s="158"/>
    </row>
    <row r="232">
      <c r="A232" s="153"/>
      <c r="B232" s="229"/>
      <c r="C232" s="230"/>
      <c r="D232" s="231"/>
      <c r="E232" s="157"/>
      <c r="F232" s="12"/>
      <c r="G232" s="158"/>
    </row>
    <row r="233">
      <c r="A233" s="153"/>
      <c r="B233" s="229"/>
      <c r="C233" s="230"/>
      <c r="D233" s="231"/>
      <c r="E233" s="157"/>
      <c r="F233" s="12"/>
      <c r="G233" s="158"/>
    </row>
    <row r="234">
      <c r="A234" s="153"/>
      <c r="B234" s="229"/>
      <c r="C234" s="230"/>
      <c r="D234" s="231"/>
      <c r="E234" s="157"/>
      <c r="F234" s="12"/>
      <c r="G234" s="158"/>
    </row>
    <row r="235">
      <c r="A235" s="153"/>
      <c r="B235" s="229"/>
      <c r="C235" s="230"/>
      <c r="D235" s="231"/>
      <c r="E235" s="157"/>
      <c r="F235" s="12"/>
      <c r="G235" s="158"/>
    </row>
    <row r="236">
      <c r="A236" s="153"/>
      <c r="B236" s="229"/>
      <c r="C236" s="230"/>
      <c r="D236" s="231"/>
      <c r="E236" s="157"/>
      <c r="F236" s="12"/>
      <c r="G236" s="158"/>
    </row>
    <row r="237">
      <c r="A237" s="153"/>
      <c r="B237" s="229"/>
      <c r="C237" s="230"/>
      <c r="D237" s="231"/>
      <c r="E237" s="157"/>
      <c r="F237" s="12"/>
      <c r="G237" s="158"/>
    </row>
    <row r="238">
      <c r="A238" s="153"/>
      <c r="B238" s="229"/>
      <c r="C238" s="230"/>
      <c r="D238" s="231"/>
      <c r="E238" s="157"/>
      <c r="F238" s="12"/>
      <c r="G238" s="158"/>
    </row>
    <row r="239">
      <c r="A239" s="153"/>
      <c r="B239" s="229"/>
      <c r="C239" s="230"/>
      <c r="D239" s="231"/>
      <c r="E239" s="157"/>
      <c r="F239" s="12"/>
      <c r="G239" s="158"/>
    </row>
    <row r="240">
      <c r="A240" s="153"/>
      <c r="B240" s="229"/>
      <c r="C240" s="230"/>
      <c r="D240" s="231"/>
      <c r="E240" s="157"/>
      <c r="F240" s="12"/>
      <c r="G240" s="158"/>
    </row>
    <row r="241">
      <c r="A241" s="153"/>
      <c r="B241" s="229"/>
      <c r="C241" s="230"/>
      <c r="D241" s="231"/>
      <c r="E241" s="157"/>
      <c r="F241" s="12"/>
      <c r="G241" s="158"/>
    </row>
    <row r="242">
      <c r="A242" s="153"/>
      <c r="B242" s="229"/>
      <c r="C242" s="230"/>
      <c r="D242" s="231"/>
      <c r="E242" s="157"/>
      <c r="F242" s="12"/>
      <c r="G242" s="158"/>
    </row>
    <row r="243">
      <c r="A243" s="153"/>
      <c r="B243" s="229"/>
      <c r="C243" s="230"/>
      <c r="D243" s="231"/>
      <c r="E243" s="157"/>
      <c r="F243" s="12"/>
      <c r="G243" s="158"/>
    </row>
    <row r="244">
      <c r="A244" s="153"/>
      <c r="B244" s="229"/>
      <c r="C244" s="230"/>
      <c r="D244" s="231"/>
      <c r="E244" s="157"/>
      <c r="F244" s="12"/>
      <c r="G244" s="158"/>
    </row>
    <row r="245">
      <c r="A245" s="153"/>
      <c r="B245" s="229"/>
      <c r="C245" s="230"/>
      <c r="D245" s="231"/>
      <c r="E245" s="157"/>
      <c r="F245" s="12"/>
      <c r="G245" s="158"/>
    </row>
    <row r="246">
      <c r="A246" s="153"/>
      <c r="B246" s="229"/>
      <c r="C246" s="230"/>
      <c r="D246" s="231"/>
      <c r="E246" s="157"/>
      <c r="F246" s="12"/>
      <c r="G246" s="158"/>
    </row>
    <row r="247">
      <c r="A247" s="153"/>
      <c r="B247" s="229"/>
      <c r="C247" s="230"/>
      <c r="D247" s="231"/>
      <c r="E247" s="157"/>
      <c r="F247" s="12"/>
      <c r="G247" s="158"/>
    </row>
    <row r="248">
      <c r="A248" s="153"/>
      <c r="B248" s="229"/>
      <c r="C248" s="230"/>
      <c r="D248" s="231"/>
      <c r="E248" s="157"/>
      <c r="F248" s="12"/>
      <c r="G248" s="158"/>
    </row>
    <row r="249">
      <c r="A249" s="153"/>
      <c r="B249" s="229"/>
      <c r="C249" s="230"/>
      <c r="D249" s="231"/>
      <c r="E249" s="157"/>
      <c r="F249" s="12"/>
      <c r="G249" s="158"/>
    </row>
    <row r="250">
      <c r="A250" s="153"/>
      <c r="B250" s="229"/>
      <c r="C250" s="230"/>
      <c r="D250" s="231"/>
      <c r="E250" s="157"/>
      <c r="F250" s="12"/>
      <c r="G250" s="158"/>
    </row>
    <row r="251">
      <c r="A251" s="153"/>
      <c r="B251" s="229"/>
      <c r="C251" s="230"/>
      <c r="D251" s="231"/>
      <c r="E251" s="157"/>
      <c r="F251" s="12"/>
      <c r="G251" s="158"/>
    </row>
    <row r="252">
      <c r="A252" s="153"/>
      <c r="B252" s="229"/>
      <c r="C252" s="230"/>
      <c r="D252" s="231"/>
      <c r="E252" s="157"/>
      <c r="F252" s="12"/>
      <c r="G252" s="158"/>
    </row>
    <row r="253">
      <c r="A253" s="153"/>
      <c r="B253" s="229"/>
      <c r="C253" s="230"/>
      <c r="D253" s="231"/>
      <c r="E253" s="157"/>
      <c r="F253" s="12"/>
      <c r="G253" s="158"/>
    </row>
    <row r="254">
      <c r="A254" s="153"/>
      <c r="B254" s="229"/>
      <c r="C254" s="230"/>
      <c r="D254" s="231"/>
      <c r="E254" s="157"/>
      <c r="F254" s="12"/>
      <c r="G254" s="158"/>
    </row>
    <row r="255">
      <c r="A255" s="153"/>
      <c r="B255" s="229"/>
      <c r="C255" s="230"/>
      <c r="D255" s="231"/>
      <c r="E255" s="157"/>
      <c r="F255" s="12"/>
      <c r="G255" s="158"/>
    </row>
    <row r="256">
      <c r="A256" s="153"/>
      <c r="B256" s="229"/>
      <c r="C256" s="230"/>
      <c r="D256" s="231"/>
      <c r="E256" s="157"/>
      <c r="F256" s="12"/>
      <c r="G256" s="158"/>
    </row>
    <row r="257">
      <c r="A257" s="153"/>
      <c r="B257" s="229"/>
      <c r="C257" s="230"/>
      <c r="D257" s="231"/>
      <c r="E257" s="157"/>
      <c r="F257" s="12"/>
      <c r="G257" s="158"/>
    </row>
    <row r="258">
      <c r="A258" s="153"/>
      <c r="B258" s="229"/>
      <c r="C258" s="230"/>
      <c r="D258" s="231"/>
      <c r="E258" s="157"/>
      <c r="F258" s="12"/>
      <c r="G258" s="158"/>
    </row>
    <row r="259">
      <c r="A259" s="153"/>
      <c r="B259" s="229"/>
      <c r="C259" s="230"/>
      <c r="D259" s="231"/>
      <c r="E259" s="157"/>
      <c r="F259" s="12"/>
      <c r="G259" s="158"/>
    </row>
    <row r="260">
      <c r="A260" s="153"/>
      <c r="B260" s="229"/>
      <c r="C260" s="230"/>
      <c r="D260" s="231"/>
      <c r="E260" s="157"/>
      <c r="F260" s="12"/>
      <c r="G260" s="158"/>
    </row>
    <row r="261">
      <c r="A261" s="153"/>
      <c r="B261" s="229"/>
      <c r="C261" s="230"/>
      <c r="D261" s="231"/>
      <c r="E261" s="157"/>
      <c r="F261" s="12"/>
      <c r="G261" s="158"/>
    </row>
    <row r="262">
      <c r="A262" s="153"/>
      <c r="B262" s="229"/>
      <c r="C262" s="230"/>
      <c r="D262" s="231"/>
      <c r="E262" s="157"/>
      <c r="F262" s="12"/>
      <c r="G262" s="158"/>
    </row>
    <row r="263">
      <c r="A263" s="153"/>
      <c r="B263" s="229"/>
      <c r="C263" s="230"/>
      <c r="D263" s="231"/>
      <c r="E263" s="157"/>
      <c r="F263" s="12"/>
      <c r="G263" s="158"/>
    </row>
    <row r="264">
      <c r="A264" s="153"/>
      <c r="B264" s="229"/>
      <c r="C264" s="230"/>
      <c r="D264" s="231"/>
      <c r="E264" s="157"/>
      <c r="F264" s="12"/>
      <c r="G264" s="158"/>
    </row>
    <row r="265">
      <c r="A265" s="153"/>
      <c r="B265" s="229"/>
      <c r="C265" s="230"/>
      <c r="D265" s="231"/>
      <c r="E265" s="157"/>
      <c r="F265" s="12"/>
      <c r="G265" s="158"/>
    </row>
    <row r="266">
      <c r="A266" s="153"/>
      <c r="B266" s="229"/>
      <c r="C266" s="230"/>
      <c r="D266" s="231"/>
      <c r="E266" s="157"/>
      <c r="F266" s="12"/>
      <c r="G266" s="158"/>
    </row>
    <row r="267">
      <c r="A267" s="153"/>
      <c r="B267" s="229"/>
      <c r="C267" s="230"/>
      <c r="D267" s="231"/>
      <c r="E267" s="157"/>
      <c r="F267" s="12"/>
      <c r="G267" s="158"/>
    </row>
    <row r="268">
      <c r="A268" s="153"/>
      <c r="B268" s="229"/>
      <c r="C268" s="230"/>
      <c r="D268" s="231"/>
      <c r="E268" s="157"/>
      <c r="F268" s="12"/>
      <c r="G268" s="158"/>
    </row>
    <row r="269">
      <c r="A269" s="153"/>
      <c r="B269" s="229"/>
      <c r="C269" s="230"/>
      <c r="D269" s="231"/>
      <c r="E269" s="157"/>
      <c r="F269" s="12"/>
      <c r="G269" s="158"/>
    </row>
    <row r="270">
      <c r="A270" s="153"/>
      <c r="B270" s="229"/>
      <c r="C270" s="230"/>
      <c r="D270" s="231"/>
      <c r="E270" s="157"/>
      <c r="F270" s="12"/>
      <c r="G270" s="158"/>
    </row>
    <row r="271">
      <c r="A271" s="153"/>
      <c r="B271" s="229"/>
      <c r="C271" s="230"/>
      <c r="D271" s="231"/>
      <c r="E271" s="157"/>
      <c r="F271" s="12"/>
      <c r="G271" s="158"/>
    </row>
    <row r="272">
      <c r="A272" s="153"/>
      <c r="B272" s="229"/>
      <c r="C272" s="230"/>
      <c r="D272" s="231"/>
      <c r="E272" s="157"/>
      <c r="F272" s="12"/>
      <c r="G272" s="158"/>
    </row>
    <row r="273">
      <c r="A273" s="153"/>
      <c r="B273" s="229"/>
      <c r="C273" s="230"/>
      <c r="D273" s="231"/>
      <c r="E273" s="157"/>
      <c r="F273" s="12"/>
      <c r="G273" s="158"/>
    </row>
    <row r="274">
      <c r="A274" s="153"/>
      <c r="B274" s="229"/>
      <c r="C274" s="230"/>
      <c r="D274" s="231"/>
      <c r="E274" s="157"/>
      <c r="F274" s="12"/>
      <c r="G274" s="158"/>
    </row>
    <row r="275">
      <c r="A275" s="153"/>
      <c r="B275" s="229"/>
      <c r="C275" s="230"/>
      <c r="D275" s="231"/>
      <c r="E275" s="157"/>
      <c r="F275" s="12"/>
      <c r="G275" s="158"/>
    </row>
    <row r="276">
      <c r="A276" s="153"/>
      <c r="B276" s="229"/>
      <c r="C276" s="230"/>
      <c r="D276" s="231"/>
      <c r="E276" s="157"/>
      <c r="F276" s="12"/>
      <c r="G276" s="158"/>
    </row>
    <row r="277">
      <c r="A277" s="153"/>
      <c r="B277" s="229"/>
      <c r="C277" s="230"/>
      <c r="D277" s="231"/>
      <c r="E277" s="157"/>
      <c r="F277" s="12"/>
      <c r="G277" s="158"/>
    </row>
    <row r="278">
      <c r="A278" s="153"/>
      <c r="B278" s="229"/>
      <c r="C278" s="230"/>
      <c r="D278" s="231"/>
      <c r="E278" s="157"/>
      <c r="F278" s="12"/>
      <c r="G278" s="158"/>
    </row>
    <row r="279">
      <c r="A279" s="153"/>
      <c r="B279" s="229"/>
      <c r="C279" s="230"/>
      <c r="D279" s="231"/>
      <c r="E279" s="157"/>
      <c r="F279" s="12"/>
      <c r="G279" s="158"/>
    </row>
    <row r="280">
      <c r="A280" s="153"/>
      <c r="B280" s="229"/>
      <c r="C280" s="230"/>
      <c r="D280" s="231"/>
      <c r="E280" s="157"/>
      <c r="F280" s="12"/>
      <c r="G280" s="158"/>
    </row>
    <row r="281">
      <c r="A281" s="153"/>
      <c r="B281" s="229"/>
      <c r="C281" s="230"/>
      <c r="D281" s="231"/>
      <c r="E281" s="157"/>
      <c r="F281" s="12"/>
      <c r="G281" s="158"/>
    </row>
    <row r="282">
      <c r="A282" s="153"/>
      <c r="B282" s="229"/>
      <c r="C282" s="230"/>
      <c r="D282" s="231"/>
      <c r="E282" s="157"/>
      <c r="F282" s="12"/>
      <c r="G282" s="158"/>
    </row>
    <row r="283">
      <c r="A283" s="153"/>
      <c r="B283" s="229"/>
      <c r="C283" s="230"/>
      <c r="D283" s="231"/>
      <c r="E283" s="157"/>
      <c r="F283" s="12"/>
      <c r="G283" s="158"/>
    </row>
    <row r="284">
      <c r="A284" s="153"/>
      <c r="B284" s="229"/>
      <c r="C284" s="230"/>
      <c r="D284" s="231"/>
      <c r="E284" s="157"/>
      <c r="F284" s="12"/>
      <c r="G284" s="158"/>
    </row>
    <row r="285">
      <c r="A285" s="153"/>
      <c r="B285" s="229"/>
      <c r="C285" s="230"/>
      <c r="D285" s="231"/>
      <c r="E285" s="157"/>
      <c r="F285" s="12"/>
      <c r="G285" s="158"/>
    </row>
    <row r="286">
      <c r="A286" s="153"/>
      <c r="B286" s="229"/>
      <c r="C286" s="230"/>
      <c r="D286" s="231"/>
      <c r="E286" s="157"/>
      <c r="F286" s="12"/>
      <c r="G286" s="158"/>
    </row>
    <row r="287">
      <c r="A287" s="153"/>
      <c r="B287" s="229"/>
      <c r="C287" s="230"/>
      <c r="D287" s="231"/>
      <c r="E287" s="157"/>
      <c r="F287" s="12"/>
      <c r="G287" s="158"/>
    </row>
    <row r="288">
      <c r="A288" s="153"/>
      <c r="B288" s="229"/>
      <c r="C288" s="230"/>
      <c r="D288" s="231"/>
      <c r="E288" s="157"/>
      <c r="F288" s="12"/>
      <c r="G288" s="158"/>
    </row>
    <row r="289">
      <c r="A289" s="153"/>
      <c r="B289" s="229"/>
      <c r="C289" s="230"/>
      <c r="D289" s="231"/>
      <c r="E289" s="157"/>
      <c r="F289" s="12"/>
      <c r="G289" s="158"/>
    </row>
    <row r="290">
      <c r="A290" s="153"/>
      <c r="B290" s="229"/>
      <c r="C290" s="230"/>
      <c r="D290" s="231"/>
      <c r="E290" s="157"/>
      <c r="F290" s="12"/>
      <c r="G290" s="158"/>
    </row>
    <row r="291">
      <c r="A291" s="153"/>
      <c r="B291" s="229"/>
      <c r="C291" s="230"/>
      <c r="D291" s="231"/>
      <c r="E291" s="157"/>
      <c r="F291" s="12"/>
      <c r="G291" s="158"/>
    </row>
    <row r="292">
      <c r="A292" s="153"/>
      <c r="B292" s="229"/>
      <c r="C292" s="230"/>
      <c r="D292" s="231"/>
      <c r="E292" s="157"/>
      <c r="F292" s="12"/>
      <c r="G292" s="158"/>
    </row>
    <row r="293">
      <c r="A293" s="153"/>
      <c r="B293" s="229"/>
      <c r="C293" s="230"/>
      <c r="D293" s="231"/>
      <c r="E293" s="157"/>
      <c r="F293" s="12"/>
      <c r="G293" s="158"/>
    </row>
    <row r="294">
      <c r="A294" s="153"/>
      <c r="B294" s="229"/>
      <c r="C294" s="230"/>
      <c r="D294" s="231"/>
      <c r="E294" s="157"/>
      <c r="F294" s="12"/>
      <c r="G294" s="158"/>
    </row>
    <row r="295">
      <c r="A295" s="153"/>
      <c r="B295" s="229"/>
      <c r="C295" s="230"/>
      <c r="D295" s="231"/>
      <c r="E295" s="157"/>
      <c r="F295" s="12"/>
      <c r="G295" s="158"/>
    </row>
    <row r="296">
      <c r="A296" s="153"/>
      <c r="B296" s="229"/>
      <c r="C296" s="230"/>
      <c r="D296" s="231"/>
      <c r="E296" s="157"/>
      <c r="F296" s="12"/>
      <c r="G296" s="158"/>
    </row>
    <row r="297">
      <c r="A297" s="153"/>
      <c r="B297" s="229"/>
      <c r="C297" s="230"/>
      <c r="D297" s="231"/>
      <c r="E297" s="157"/>
      <c r="F297" s="12"/>
      <c r="G297" s="158"/>
    </row>
    <row r="298">
      <c r="A298" s="153"/>
      <c r="B298" s="229"/>
      <c r="C298" s="230"/>
      <c r="D298" s="231"/>
      <c r="E298" s="157"/>
      <c r="F298" s="12"/>
      <c r="G298" s="158"/>
    </row>
    <row r="299">
      <c r="A299" s="153"/>
      <c r="B299" s="229"/>
      <c r="C299" s="230"/>
      <c r="D299" s="231"/>
      <c r="E299" s="157"/>
      <c r="F299" s="12"/>
      <c r="G299" s="158"/>
    </row>
    <row r="300">
      <c r="A300" s="153"/>
      <c r="B300" s="229"/>
      <c r="C300" s="230"/>
      <c r="D300" s="231"/>
      <c r="E300" s="157"/>
      <c r="F300" s="12"/>
      <c r="G300" s="158"/>
    </row>
    <row r="301">
      <c r="A301" s="153"/>
      <c r="B301" s="229"/>
      <c r="C301" s="230"/>
      <c r="D301" s="231"/>
      <c r="E301" s="157"/>
      <c r="F301" s="12"/>
      <c r="G301" s="158"/>
    </row>
    <row r="302">
      <c r="A302" s="153"/>
      <c r="B302" s="229"/>
      <c r="C302" s="230"/>
      <c r="D302" s="231"/>
      <c r="E302" s="157"/>
      <c r="F302" s="12"/>
      <c r="G302" s="158"/>
    </row>
    <row r="303">
      <c r="A303" s="153"/>
      <c r="B303" s="229"/>
      <c r="C303" s="230"/>
      <c r="D303" s="231"/>
      <c r="E303" s="157"/>
      <c r="F303" s="12"/>
      <c r="G303" s="158"/>
    </row>
    <row r="304">
      <c r="A304" s="153"/>
      <c r="B304" s="229"/>
      <c r="C304" s="230"/>
      <c r="D304" s="231"/>
      <c r="E304" s="157"/>
      <c r="F304" s="12"/>
      <c r="G304" s="158"/>
    </row>
    <row r="305">
      <c r="A305" s="153"/>
      <c r="B305" s="229"/>
      <c r="C305" s="230"/>
      <c r="D305" s="231"/>
      <c r="E305" s="157"/>
      <c r="F305" s="12"/>
      <c r="G305" s="158"/>
    </row>
    <row r="306">
      <c r="A306" s="153"/>
      <c r="B306" s="229"/>
      <c r="C306" s="230"/>
      <c r="D306" s="231"/>
      <c r="E306" s="157"/>
      <c r="F306" s="12"/>
      <c r="G306" s="158"/>
    </row>
    <row r="307">
      <c r="A307" s="153"/>
      <c r="B307" s="229"/>
      <c r="C307" s="230"/>
      <c r="D307" s="231"/>
      <c r="E307" s="157"/>
      <c r="F307" s="12"/>
      <c r="G307" s="158"/>
    </row>
    <row r="308">
      <c r="A308" s="153"/>
      <c r="B308" s="229"/>
      <c r="C308" s="230"/>
      <c r="D308" s="231"/>
      <c r="E308" s="157"/>
      <c r="F308" s="12"/>
      <c r="G308" s="158"/>
    </row>
    <row r="309">
      <c r="A309" s="153"/>
      <c r="B309" s="229"/>
      <c r="C309" s="230"/>
      <c r="D309" s="231"/>
      <c r="E309" s="157"/>
      <c r="F309" s="12"/>
      <c r="G309" s="158"/>
    </row>
    <row r="310">
      <c r="A310" s="153"/>
      <c r="B310" s="229"/>
      <c r="C310" s="230"/>
      <c r="D310" s="231"/>
      <c r="E310" s="157"/>
      <c r="F310" s="12"/>
      <c r="G310" s="158"/>
    </row>
    <row r="311">
      <c r="A311" s="153"/>
      <c r="B311" s="229"/>
      <c r="C311" s="230"/>
      <c r="D311" s="231"/>
      <c r="E311" s="157"/>
      <c r="F311" s="12"/>
      <c r="G311" s="158"/>
    </row>
    <row r="312">
      <c r="A312" s="153"/>
      <c r="B312" s="229"/>
      <c r="C312" s="230"/>
      <c r="D312" s="231"/>
      <c r="E312" s="157"/>
      <c r="F312" s="12"/>
      <c r="G312" s="158"/>
    </row>
    <row r="313">
      <c r="A313" s="153"/>
      <c r="B313" s="229"/>
      <c r="C313" s="230"/>
      <c r="D313" s="231"/>
      <c r="E313" s="157"/>
      <c r="F313" s="12"/>
      <c r="G313" s="158"/>
    </row>
    <row r="314">
      <c r="A314" s="153"/>
      <c r="B314" s="229"/>
      <c r="C314" s="230"/>
      <c r="D314" s="231"/>
      <c r="E314" s="157"/>
      <c r="F314" s="12"/>
      <c r="G314" s="158"/>
    </row>
    <row r="315">
      <c r="A315" s="153"/>
      <c r="B315" s="229"/>
      <c r="C315" s="230"/>
      <c r="D315" s="231"/>
      <c r="E315" s="157"/>
      <c r="F315" s="12"/>
      <c r="G315" s="158"/>
    </row>
    <row r="316">
      <c r="A316" s="153"/>
      <c r="B316" s="229"/>
      <c r="C316" s="230"/>
      <c r="D316" s="231"/>
      <c r="E316" s="157"/>
      <c r="F316" s="12"/>
      <c r="G316" s="158"/>
    </row>
    <row r="317">
      <c r="A317" s="153"/>
      <c r="B317" s="229"/>
      <c r="C317" s="230"/>
      <c r="D317" s="231"/>
      <c r="E317" s="157"/>
      <c r="F317" s="12"/>
      <c r="G317" s="158"/>
    </row>
    <row r="318">
      <c r="A318" s="153"/>
      <c r="B318" s="229"/>
      <c r="C318" s="230"/>
      <c r="D318" s="231"/>
      <c r="E318" s="157"/>
      <c r="F318" s="12"/>
      <c r="G318" s="158"/>
    </row>
    <row r="319">
      <c r="A319" s="153"/>
      <c r="B319" s="229"/>
      <c r="C319" s="230"/>
      <c r="D319" s="231"/>
      <c r="E319" s="157"/>
      <c r="F319" s="12"/>
      <c r="G319" s="158"/>
    </row>
    <row r="320">
      <c r="A320" s="153"/>
      <c r="B320" s="229"/>
      <c r="C320" s="230"/>
      <c r="D320" s="231"/>
      <c r="E320" s="157"/>
      <c r="F320" s="12"/>
      <c r="G320" s="158"/>
    </row>
    <row r="321">
      <c r="A321" s="153"/>
      <c r="B321" s="229"/>
      <c r="C321" s="230"/>
      <c r="D321" s="231"/>
      <c r="E321" s="157"/>
      <c r="F321" s="12"/>
      <c r="G321" s="158"/>
    </row>
    <row r="322">
      <c r="A322" s="153"/>
      <c r="B322" s="229"/>
      <c r="C322" s="230"/>
      <c r="D322" s="231"/>
      <c r="E322" s="157"/>
      <c r="F322" s="12"/>
      <c r="G322" s="158"/>
    </row>
    <row r="323">
      <c r="A323" s="153"/>
      <c r="B323" s="229"/>
      <c r="C323" s="230"/>
      <c r="D323" s="231"/>
      <c r="E323" s="157"/>
      <c r="F323" s="12"/>
      <c r="G323" s="158"/>
    </row>
    <row r="324">
      <c r="A324" s="153"/>
      <c r="B324" s="229"/>
      <c r="C324" s="230"/>
      <c r="D324" s="231"/>
      <c r="E324" s="157"/>
      <c r="F324" s="12"/>
      <c r="G324" s="158"/>
    </row>
    <row r="325">
      <c r="A325" s="153"/>
      <c r="B325" s="229"/>
      <c r="C325" s="230"/>
      <c r="D325" s="231"/>
      <c r="E325" s="157"/>
      <c r="F325" s="12"/>
      <c r="G325" s="158"/>
    </row>
    <row r="326">
      <c r="A326" s="153"/>
      <c r="B326" s="229"/>
      <c r="C326" s="230"/>
      <c r="D326" s="231"/>
      <c r="E326" s="157"/>
      <c r="F326" s="12"/>
      <c r="G326" s="158"/>
    </row>
    <row r="327">
      <c r="A327" s="153"/>
      <c r="B327" s="229"/>
      <c r="C327" s="230"/>
      <c r="D327" s="231"/>
      <c r="E327" s="157"/>
      <c r="F327" s="12"/>
      <c r="G327" s="158"/>
    </row>
    <row r="328">
      <c r="A328" s="153"/>
      <c r="B328" s="229"/>
      <c r="C328" s="230"/>
      <c r="D328" s="231"/>
      <c r="E328" s="157"/>
      <c r="F328" s="12"/>
      <c r="G328" s="158"/>
    </row>
    <row r="329">
      <c r="A329" s="153"/>
      <c r="B329" s="229"/>
      <c r="C329" s="230"/>
      <c r="D329" s="231"/>
      <c r="E329" s="157"/>
      <c r="F329" s="12"/>
      <c r="G329" s="158"/>
    </row>
    <row r="330">
      <c r="A330" s="153"/>
      <c r="B330" s="229"/>
      <c r="C330" s="230"/>
      <c r="D330" s="231"/>
      <c r="E330" s="157"/>
      <c r="F330" s="12"/>
      <c r="G330" s="158"/>
    </row>
    <row r="331">
      <c r="A331" s="153"/>
      <c r="B331" s="229"/>
      <c r="C331" s="230"/>
      <c r="D331" s="231"/>
      <c r="E331" s="157"/>
      <c r="F331" s="12"/>
      <c r="G331" s="158"/>
    </row>
    <row r="332">
      <c r="A332" s="153"/>
      <c r="B332" s="229"/>
      <c r="C332" s="230"/>
      <c r="D332" s="231"/>
      <c r="E332" s="157"/>
      <c r="F332" s="12"/>
      <c r="G332" s="158"/>
    </row>
    <row r="333">
      <c r="A333" s="153"/>
      <c r="B333" s="229"/>
      <c r="C333" s="230"/>
      <c r="D333" s="231"/>
      <c r="E333" s="157"/>
      <c r="F333" s="12"/>
      <c r="G333" s="158"/>
    </row>
    <row r="334">
      <c r="A334" s="153"/>
      <c r="B334" s="229"/>
      <c r="C334" s="230"/>
      <c r="D334" s="231"/>
      <c r="E334" s="157"/>
      <c r="F334" s="12"/>
      <c r="G334" s="158"/>
    </row>
    <row r="335">
      <c r="A335" s="153"/>
      <c r="B335" s="229"/>
      <c r="C335" s="230"/>
      <c r="D335" s="231"/>
      <c r="E335" s="157"/>
      <c r="F335" s="12"/>
      <c r="G335" s="158"/>
    </row>
    <row r="336">
      <c r="A336" s="153"/>
      <c r="B336" s="229"/>
      <c r="C336" s="230"/>
      <c r="D336" s="231"/>
      <c r="E336" s="157"/>
      <c r="F336" s="12"/>
      <c r="G336" s="158"/>
    </row>
    <row r="337">
      <c r="A337" s="153"/>
      <c r="B337" s="229"/>
      <c r="C337" s="230"/>
      <c r="D337" s="231"/>
      <c r="E337" s="157"/>
      <c r="F337" s="12"/>
      <c r="G337" s="158"/>
    </row>
    <row r="338">
      <c r="A338" s="153"/>
      <c r="B338" s="229"/>
      <c r="C338" s="230"/>
      <c r="D338" s="231"/>
      <c r="E338" s="157"/>
      <c r="F338" s="12"/>
      <c r="G338" s="158"/>
    </row>
    <row r="339">
      <c r="A339" s="153"/>
      <c r="B339" s="229"/>
      <c r="C339" s="230"/>
      <c r="D339" s="231"/>
      <c r="E339" s="157"/>
      <c r="F339" s="12"/>
      <c r="G339" s="158"/>
    </row>
    <row r="340">
      <c r="A340" s="153"/>
      <c r="B340" s="229"/>
      <c r="C340" s="230"/>
      <c r="D340" s="231"/>
      <c r="E340" s="157"/>
      <c r="F340" s="12"/>
      <c r="G340" s="158"/>
    </row>
    <row r="341">
      <c r="A341" s="153"/>
      <c r="B341" s="229"/>
      <c r="C341" s="230"/>
      <c r="D341" s="231"/>
      <c r="E341" s="157"/>
      <c r="F341" s="12"/>
      <c r="G341" s="158"/>
    </row>
    <row r="342">
      <c r="A342" s="153"/>
      <c r="B342" s="229"/>
      <c r="C342" s="230"/>
      <c r="D342" s="231"/>
      <c r="E342" s="157"/>
      <c r="F342" s="12"/>
      <c r="G342" s="158"/>
    </row>
    <row r="343">
      <c r="A343" s="153"/>
      <c r="B343" s="229"/>
      <c r="C343" s="230"/>
      <c r="D343" s="231"/>
      <c r="E343" s="157"/>
      <c r="F343" s="12"/>
      <c r="G343" s="158"/>
    </row>
    <row r="344">
      <c r="A344" s="153"/>
      <c r="B344" s="229"/>
      <c r="C344" s="230"/>
      <c r="D344" s="231"/>
      <c r="E344" s="157"/>
      <c r="F344" s="12"/>
      <c r="G344" s="158"/>
    </row>
    <row r="345">
      <c r="A345" s="153"/>
      <c r="B345" s="229"/>
      <c r="C345" s="230"/>
      <c r="D345" s="231"/>
      <c r="E345" s="157"/>
      <c r="F345" s="12"/>
      <c r="G345" s="158"/>
    </row>
    <row r="346">
      <c r="A346" s="153"/>
      <c r="B346" s="229"/>
      <c r="C346" s="230"/>
      <c r="D346" s="231"/>
      <c r="E346" s="157"/>
      <c r="F346" s="12"/>
      <c r="G346" s="158"/>
    </row>
    <row r="347">
      <c r="A347" s="153"/>
      <c r="B347" s="229"/>
      <c r="C347" s="230"/>
      <c r="D347" s="231"/>
      <c r="E347" s="157"/>
      <c r="F347" s="12"/>
      <c r="G347" s="158"/>
    </row>
    <row r="348">
      <c r="A348" s="153"/>
      <c r="B348" s="229"/>
      <c r="C348" s="230"/>
      <c r="D348" s="231"/>
      <c r="E348" s="157"/>
      <c r="F348" s="12"/>
      <c r="G348" s="158"/>
    </row>
    <row r="349">
      <c r="A349" s="153"/>
      <c r="B349" s="229"/>
      <c r="C349" s="230"/>
      <c r="D349" s="231"/>
      <c r="E349" s="157"/>
      <c r="F349" s="12"/>
      <c r="G349" s="158"/>
    </row>
    <row r="350">
      <c r="A350" s="153"/>
      <c r="B350" s="229"/>
      <c r="C350" s="230"/>
      <c r="D350" s="231"/>
      <c r="E350" s="157"/>
      <c r="F350" s="12"/>
      <c r="G350" s="158"/>
    </row>
    <row r="351">
      <c r="A351" s="153"/>
      <c r="B351" s="229"/>
      <c r="C351" s="230"/>
      <c r="D351" s="231"/>
      <c r="E351" s="157"/>
      <c r="F351" s="12"/>
      <c r="G351" s="158"/>
    </row>
    <row r="352">
      <c r="A352" s="153"/>
      <c r="B352" s="229"/>
      <c r="C352" s="230"/>
      <c r="D352" s="231"/>
      <c r="E352" s="157"/>
      <c r="F352" s="12"/>
      <c r="G352" s="158"/>
    </row>
    <row r="353">
      <c r="A353" s="153"/>
      <c r="B353" s="229"/>
      <c r="C353" s="230"/>
      <c r="D353" s="231"/>
      <c r="E353" s="157"/>
      <c r="F353" s="12"/>
      <c r="G353" s="158"/>
    </row>
    <row r="354">
      <c r="A354" s="153"/>
      <c r="B354" s="229"/>
      <c r="C354" s="230"/>
      <c r="D354" s="231"/>
      <c r="E354" s="157"/>
      <c r="F354" s="12"/>
      <c r="G354" s="158"/>
    </row>
    <row r="355">
      <c r="A355" s="153"/>
      <c r="B355" s="229"/>
      <c r="C355" s="230"/>
      <c r="D355" s="231"/>
      <c r="E355" s="157"/>
      <c r="F355" s="12"/>
      <c r="G355" s="158"/>
    </row>
    <row r="356">
      <c r="A356" s="153"/>
      <c r="B356" s="229"/>
      <c r="C356" s="230"/>
      <c r="D356" s="231"/>
      <c r="E356" s="157"/>
      <c r="F356" s="12"/>
      <c r="G356" s="158"/>
    </row>
    <row r="357">
      <c r="A357" s="153"/>
      <c r="B357" s="229"/>
      <c r="C357" s="230"/>
      <c r="D357" s="231"/>
      <c r="E357" s="157"/>
      <c r="F357" s="12"/>
      <c r="G357" s="158"/>
    </row>
    <row r="358">
      <c r="A358" s="153"/>
      <c r="B358" s="229"/>
      <c r="C358" s="230"/>
      <c r="D358" s="231"/>
      <c r="E358" s="157"/>
      <c r="F358" s="12"/>
      <c r="G358" s="158"/>
    </row>
    <row r="359">
      <c r="A359" s="153"/>
      <c r="B359" s="229"/>
      <c r="C359" s="230"/>
      <c r="D359" s="231"/>
      <c r="E359" s="157"/>
      <c r="F359" s="12"/>
      <c r="G359" s="158"/>
    </row>
    <row r="360">
      <c r="A360" s="153"/>
      <c r="B360" s="229"/>
      <c r="C360" s="230"/>
      <c r="D360" s="231"/>
      <c r="E360" s="157"/>
      <c r="F360" s="12"/>
      <c r="G360" s="158"/>
    </row>
    <row r="361">
      <c r="A361" s="153"/>
      <c r="B361" s="229"/>
      <c r="C361" s="230"/>
      <c r="D361" s="231"/>
      <c r="E361" s="157"/>
      <c r="F361" s="12"/>
      <c r="G361" s="158"/>
    </row>
    <row r="362">
      <c r="A362" s="153"/>
      <c r="B362" s="229"/>
      <c r="C362" s="230"/>
      <c r="D362" s="231"/>
      <c r="E362" s="157"/>
      <c r="F362" s="12"/>
      <c r="G362" s="158"/>
    </row>
    <row r="363">
      <c r="A363" s="153"/>
      <c r="B363" s="229"/>
      <c r="C363" s="230"/>
      <c r="D363" s="231"/>
      <c r="E363" s="157"/>
      <c r="F363" s="12"/>
      <c r="G363" s="158"/>
    </row>
    <row r="364">
      <c r="A364" s="153"/>
      <c r="B364" s="229"/>
      <c r="C364" s="230"/>
      <c r="D364" s="231"/>
      <c r="E364" s="157"/>
      <c r="F364" s="12"/>
      <c r="G364" s="158"/>
    </row>
    <row r="365">
      <c r="A365" s="153"/>
      <c r="B365" s="229"/>
      <c r="C365" s="230"/>
      <c r="D365" s="231"/>
      <c r="E365" s="157"/>
      <c r="F365" s="12"/>
      <c r="G365" s="158"/>
    </row>
    <row r="366">
      <c r="A366" s="153"/>
      <c r="B366" s="229"/>
      <c r="C366" s="230"/>
      <c r="D366" s="231"/>
      <c r="E366" s="157"/>
      <c r="F366" s="12"/>
      <c r="G366" s="158"/>
    </row>
    <row r="367">
      <c r="A367" s="153"/>
      <c r="B367" s="229"/>
      <c r="C367" s="230"/>
      <c r="D367" s="231"/>
      <c r="E367" s="157"/>
      <c r="F367" s="12"/>
      <c r="G367" s="158"/>
    </row>
    <row r="368">
      <c r="A368" s="153"/>
      <c r="B368" s="229"/>
      <c r="C368" s="230"/>
      <c r="D368" s="231"/>
      <c r="E368" s="157"/>
      <c r="F368" s="12"/>
      <c r="G368" s="158"/>
    </row>
    <row r="369">
      <c r="A369" s="153"/>
      <c r="B369" s="229"/>
      <c r="C369" s="230"/>
      <c r="D369" s="231"/>
      <c r="E369" s="157"/>
      <c r="F369" s="12"/>
      <c r="G369" s="158"/>
    </row>
    <row r="370">
      <c r="A370" s="153"/>
      <c r="B370" s="229"/>
      <c r="C370" s="230"/>
      <c r="D370" s="231"/>
      <c r="E370" s="157"/>
      <c r="F370" s="12"/>
      <c r="G370" s="158"/>
    </row>
    <row r="371">
      <c r="A371" s="153"/>
      <c r="B371" s="229"/>
      <c r="C371" s="230"/>
      <c r="D371" s="231"/>
      <c r="E371" s="157"/>
      <c r="F371" s="12"/>
      <c r="G371" s="158"/>
    </row>
    <row r="372">
      <c r="A372" s="153"/>
      <c r="B372" s="229"/>
      <c r="C372" s="230"/>
      <c r="D372" s="231"/>
      <c r="E372" s="157"/>
      <c r="F372" s="12"/>
      <c r="G372" s="158"/>
    </row>
    <row r="373">
      <c r="A373" s="153"/>
      <c r="B373" s="229"/>
      <c r="C373" s="230"/>
      <c r="D373" s="231"/>
      <c r="E373" s="157"/>
      <c r="F373" s="12"/>
      <c r="G373" s="158"/>
    </row>
    <row r="374">
      <c r="A374" s="153"/>
      <c r="B374" s="229"/>
      <c r="C374" s="230"/>
      <c r="D374" s="231"/>
      <c r="E374" s="157"/>
      <c r="F374" s="12"/>
      <c r="G374" s="158"/>
    </row>
    <row r="375">
      <c r="A375" s="153"/>
      <c r="B375" s="229"/>
      <c r="C375" s="230"/>
      <c r="D375" s="231"/>
      <c r="E375" s="157"/>
      <c r="F375" s="12"/>
      <c r="G375" s="158"/>
    </row>
    <row r="376">
      <c r="A376" s="153"/>
      <c r="B376" s="229"/>
      <c r="C376" s="230"/>
      <c r="D376" s="231"/>
      <c r="E376" s="157"/>
      <c r="F376" s="12"/>
      <c r="G376" s="158"/>
    </row>
    <row r="377">
      <c r="A377" s="153"/>
      <c r="B377" s="229"/>
      <c r="C377" s="230"/>
      <c r="D377" s="231"/>
      <c r="E377" s="157"/>
      <c r="F377" s="12"/>
      <c r="G377" s="158"/>
    </row>
    <row r="378">
      <c r="A378" s="153"/>
      <c r="B378" s="229"/>
      <c r="C378" s="230"/>
      <c r="D378" s="231"/>
      <c r="E378" s="157"/>
      <c r="F378" s="12"/>
      <c r="G378" s="158"/>
    </row>
    <row r="379">
      <c r="A379" s="153"/>
      <c r="B379" s="229"/>
      <c r="C379" s="230"/>
      <c r="D379" s="231"/>
      <c r="E379" s="157"/>
      <c r="F379" s="12"/>
      <c r="G379" s="158"/>
    </row>
    <row r="380">
      <c r="A380" s="153"/>
      <c r="B380" s="229"/>
      <c r="C380" s="230"/>
      <c r="D380" s="231"/>
      <c r="E380" s="157"/>
      <c r="F380" s="12"/>
      <c r="G380" s="158"/>
    </row>
    <row r="381">
      <c r="A381" s="153"/>
      <c r="B381" s="229"/>
      <c r="C381" s="230"/>
      <c r="D381" s="231"/>
      <c r="E381" s="157"/>
      <c r="F381" s="12"/>
      <c r="G381" s="158"/>
    </row>
    <row r="382">
      <c r="A382" s="153"/>
      <c r="B382" s="229"/>
      <c r="C382" s="230"/>
      <c r="D382" s="231"/>
      <c r="E382" s="157"/>
      <c r="F382" s="12"/>
      <c r="G382" s="158"/>
    </row>
    <row r="383">
      <c r="A383" s="153"/>
      <c r="B383" s="229"/>
      <c r="C383" s="230"/>
      <c r="D383" s="231"/>
      <c r="E383" s="157"/>
      <c r="F383" s="12"/>
      <c r="G383" s="158"/>
    </row>
    <row r="384">
      <c r="A384" s="153"/>
      <c r="B384" s="229"/>
      <c r="C384" s="230"/>
      <c r="D384" s="231"/>
      <c r="E384" s="157"/>
      <c r="F384" s="12"/>
      <c r="G384" s="158"/>
    </row>
    <row r="385">
      <c r="A385" s="153"/>
      <c r="B385" s="229"/>
      <c r="C385" s="230"/>
      <c r="D385" s="231"/>
      <c r="E385" s="157"/>
      <c r="F385" s="12"/>
      <c r="G385" s="158"/>
    </row>
    <row r="386">
      <c r="A386" s="153"/>
      <c r="B386" s="229"/>
      <c r="C386" s="230"/>
      <c r="D386" s="231"/>
      <c r="E386" s="157"/>
      <c r="F386" s="12"/>
      <c r="G386" s="158"/>
    </row>
    <row r="387">
      <c r="A387" s="153"/>
      <c r="B387" s="229"/>
      <c r="C387" s="230"/>
      <c r="D387" s="231"/>
      <c r="E387" s="157"/>
      <c r="F387" s="12"/>
      <c r="G387" s="158"/>
    </row>
    <row r="388">
      <c r="A388" s="153"/>
      <c r="B388" s="229"/>
      <c r="C388" s="230"/>
      <c r="D388" s="231"/>
      <c r="E388" s="157"/>
      <c r="F388" s="12"/>
      <c r="G388" s="158"/>
    </row>
    <row r="389">
      <c r="A389" s="153"/>
      <c r="B389" s="229"/>
      <c r="C389" s="230"/>
      <c r="D389" s="231"/>
      <c r="E389" s="157"/>
      <c r="F389" s="12"/>
      <c r="G389" s="158"/>
    </row>
    <row r="390">
      <c r="A390" s="153"/>
      <c r="B390" s="229"/>
      <c r="C390" s="230"/>
      <c r="D390" s="231"/>
      <c r="E390" s="157"/>
      <c r="F390" s="12"/>
      <c r="G390" s="158"/>
    </row>
    <row r="391">
      <c r="A391" s="153"/>
      <c r="B391" s="229"/>
      <c r="C391" s="230"/>
      <c r="D391" s="231"/>
      <c r="E391" s="157"/>
      <c r="F391" s="12"/>
      <c r="G391" s="158"/>
    </row>
    <row r="392">
      <c r="A392" s="153"/>
      <c r="B392" s="229"/>
      <c r="C392" s="230"/>
      <c r="D392" s="231"/>
      <c r="E392" s="157"/>
      <c r="F392" s="12"/>
      <c r="G392" s="158"/>
    </row>
    <row r="393">
      <c r="A393" s="153"/>
      <c r="B393" s="229"/>
      <c r="C393" s="230"/>
      <c r="D393" s="231"/>
      <c r="E393" s="157"/>
      <c r="F393" s="12"/>
      <c r="G393" s="158"/>
    </row>
    <row r="394">
      <c r="A394" s="153"/>
      <c r="B394" s="229"/>
      <c r="C394" s="230"/>
      <c r="D394" s="231"/>
      <c r="E394" s="157"/>
      <c r="F394" s="12"/>
      <c r="G394" s="158"/>
    </row>
    <row r="395">
      <c r="A395" s="153"/>
      <c r="B395" s="229"/>
      <c r="C395" s="230"/>
      <c r="D395" s="231"/>
      <c r="E395" s="157"/>
      <c r="F395" s="12"/>
      <c r="G395" s="158"/>
    </row>
    <row r="396">
      <c r="A396" s="153"/>
      <c r="B396" s="229"/>
      <c r="C396" s="230"/>
      <c r="D396" s="231"/>
      <c r="E396" s="157"/>
      <c r="F396" s="12"/>
      <c r="G396" s="158"/>
    </row>
    <row r="397">
      <c r="A397" s="153"/>
      <c r="B397" s="229"/>
      <c r="C397" s="230"/>
      <c r="D397" s="231"/>
      <c r="E397" s="157"/>
      <c r="F397" s="12"/>
      <c r="G397" s="158"/>
    </row>
    <row r="398">
      <c r="A398" s="153"/>
      <c r="B398" s="229"/>
      <c r="C398" s="230"/>
      <c r="D398" s="231"/>
      <c r="E398" s="157"/>
      <c r="F398" s="12"/>
      <c r="G398" s="158"/>
    </row>
    <row r="399">
      <c r="A399" s="153"/>
      <c r="B399" s="229"/>
      <c r="C399" s="230"/>
      <c r="D399" s="231"/>
      <c r="E399" s="157"/>
      <c r="F399" s="12"/>
      <c r="G399" s="158"/>
    </row>
    <row r="400">
      <c r="A400" s="153"/>
      <c r="B400" s="229"/>
      <c r="C400" s="230"/>
      <c r="D400" s="231"/>
      <c r="E400" s="157"/>
      <c r="F400" s="12"/>
      <c r="G400" s="158"/>
    </row>
    <row r="401">
      <c r="A401" s="153"/>
      <c r="B401" s="229"/>
      <c r="C401" s="230"/>
      <c r="D401" s="231"/>
      <c r="E401" s="157"/>
      <c r="F401" s="12"/>
      <c r="G401" s="158"/>
    </row>
    <row r="402">
      <c r="A402" s="153"/>
      <c r="B402" s="229"/>
      <c r="C402" s="230"/>
      <c r="D402" s="231"/>
      <c r="E402" s="157"/>
      <c r="F402" s="12"/>
      <c r="G402" s="158"/>
    </row>
    <row r="403">
      <c r="A403" s="153"/>
      <c r="B403" s="229"/>
      <c r="C403" s="230"/>
      <c r="D403" s="231"/>
      <c r="E403" s="157"/>
      <c r="F403" s="12"/>
      <c r="G403" s="158"/>
    </row>
    <row r="404">
      <c r="A404" s="153"/>
      <c r="B404" s="229"/>
      <c r="C404" s="230"/>
      <c r="D404" s="231"/>
      <c r="E404" s="157"/>
      <c r="F404" s="12"/>
      <c r="G404" s="158"/>
    </row>
    <row r="405">
      <c r="A405" s="153"/>
      <c r="B405" s="229"/>
      <c r="C405" s="230"/>
      <c r="D405" s="231"/>
      <c r="E405" s="157"/>
      <c r="F405" s="12"/>
      <c r="G405" s="158"/>
    </row>
    <row r="406">
      <c r="A406" s="153"/>
      <c r="B406" s="229"/>
      <c r="C406" s="230"/>
      <c r="D406" s="231"/>
      <c r="E406" s="157"/>
      <c r="F406" s="12"/>
      <c r="G406" s="158"/>
    </row>
    <row r="407">
      <c r="A407" s="153"/>
      <c r="B407" s="229"/>
      <c r="C407" s="230"/>
      <c r="D407" s="231"/>
      <c r="E407" s="157"/>
      <c r="F407" s="12"/>
      <c r="G407" s="158"/>
    </row>
    <row r="408">
      <c r="A408" s="153"/>
      <c r="B408" s="229"/>
      <c r="C408" s="230"/>
      <c r="D408" s="231"/>
      <c r="E408" s="157"/>
      <c r="F408" s="12"/>
      <c r="G408" s="158"/>
    </row>
    <row r="409">
      <c r="A409" s="153"/>
      <c r="B409" s="229"/>
      <c r="C409" s="230"/>
      <c r="D409" s="231"/>
      <c r="E409" s="157"/>
      <c r="F409" s="12"/>
      <c r="G409" s="158"/>
    </row>
    <row r="410">
      <c r="A410" s="153"/>
      <c r="B410" s="229"/>
      <c r="C410" s="230"/>
      <c r="D410" s="231"/>
      <c r="E410" s="157"/>
      <c r="F410" s="12"/>
      <c r="G410" s="158"/>
    </row>
    <row r="411">
      <c r="A411" s="153"/>
      <c r="B411" s="229"/>
      <c r="C411" s="230"/>
      <c r="D411" s="231"/>
      <c r="E411" s="157"/>
      <c r="F411" s="12"/>
      <c r="G411" s="158"/>
    </row>
    <row r="412">
      <c r="A412" s="153"/>
      <c r="B412" s="229"/>
      <c r="C412" s="230"/>
      <c r="D412" s="231"/>
      <c r="E412" s="157"/>
      <c r="F412" s="12"/>
      <c r="G412" s="158"/>
    </row>
    <row r="413">
      <c r="A413" s="153"/>
      <c r="B413" s="229"/>
      <c r="C413" s="230"/>
      <c r="D413" s="231"/>
      <c r="E413" s="157"/>
      <c r="F413" s="12"/>
      <c r="G413" s="158"/>
    </row>
    <row r="414">
      <c r="A414" s="153"/>
      <c r="B414" s="229"/>
      <c r="C414" s="230"/>
      <c r="D414" s="231"/>
      <c r="E414" s="157"/>
      <c r="F414" s="12"/>
      <c r="G414" s="158"/>
    </row>
    <row r="415">
      <c r="A415" s="153"/>
      <c r="B415" s="229"/>
      <c r="C415" s="230"/>
      <c r="D415" s="231"/>
      <c r="E415" s="157"/>
      <c r="F415" s="12"/>
      <c r="G415" s="158"/>
    </row>
    <row r="416">
      <c r="A416" s="153"/>
      <c r="B416" s="229"/>
      <c r="C416" s="230"/>
      <c r="D416" s="231"/>
      <c r="E416" s="157"/>
      <c r="F416" s="12"/>
      <c r="G416" s="158"/>
    </row>
    <row r="417">
      <c r="A417" s="153"/>
      <c r="B417" s="229"/>
      <c r="C417" s="230"/>
      <c r="D417" s="231"/>
      <c r="E417" s="157"/>
      <c r="F417" s="12"/>
      <c r="G417" s="158"/>
    </row>
    <row r="418">
      <c r="A418" s="153"/>
      <c r="B418" s="229"/>
      <c r="C418" s="230"/>
      <c r="D418" s="231"/>
      <c r="E418" s="157"/>
      <c r="F418" s="12"/>
      <c r="G418" s="158"/>
    </row>
    <row r="419">
      <c r="A419" s="153"/>
      <c r="B419" s="229"/>
      <c r="C419" s="230"/>
      <c r="D419" s="231"/>
      <c r="E419" s="157"/>
      <c r="F419" s="12"/>
      <c r="G419" s="158"/>
    </row>
    <row r="420">
      <c r="A420" s="153"/>
      <c r="B420" s="229"/>
      <c r="C420" s="230"/>
      <c r="D420" s="231"/>
      <c r="E420" s="157"/>
      <c r="F420" s="12"/>
      <c r="G420" s="158"/>
    </row>
    <row r="421">
      <c r="A421" s="153"/>
      <c r="B421" s="229"/>
      <c r="C421" s="230"/>
      <c r="D421" s="231"/>
      <c r="E421" s="157"/>
      <c r="F421" s="12"/>
      <c r="G421" s="158"/>
    </row>
    <row r="422">
      <c r="A422" s="153"/>
      <c r="B422" s="229"/>
      <c r="C422" s="230"/>
      <c r="D422" s="231"/>
      <c r="E422" s="157"/>
      <c r="F422" s="12"/>
      <c r="G422" s="158"/>
    </row>
    <row r="423">
      <c r="A423" s="153"/>
      <c r="B423" s="229"/>
      <c r="C423" s="230"/>
      <c r="D423" s="231"/>
      <c r="E423" s="157"/>
      <c r="F423" s="12"/>
      <c r="G423" s="158"/>
    </row>
    <row r="424">
      <c r="A424" s="153"/>
      <c r="B424" s="229"/>
      <c r="C424" s="230"/>
      <c r="D424" s="231"/>
      <c r="E424" s="157"/>
      <c r="F424" s="12"/>
      <c r="G424" s="158"/>
    </row>
    <row r="425">
      <c r="A425" s="153"/>
      <c r="B425" s="229"/>
      <c r="C425" s="230"/>
      <c r="D425" s="231"/>
      <c r="E425" s="157"/>
      <c r="F425" s="12"/>
      <c r="G425" s="158"/>
    </row>
    <row r="426">
      <c r="A426" s="153"/>
      <c r="B426" s="229"/>
      <c r="C426" s="230"/>
      <c r="D426" s="231"/>
      <c r="E426" s="157"/>
      <c r="F426" s="12"/>
      <c r="G426" s="158"/>
    </row>
    <row r="427">
      <c r="A427" s="153"/>
      <c r="B427" s="229"/>
      <c r="C427" s="230"/>
      <c r="D427" s="231"/>
      <c r="E427" s="157"/>
      <c r="F427" s="12"/>
      <c r="G427" s="158"/>
    </row>
    <row r="428">
      <c r="A428" s="153"/>
      <c r="B428" s="229"/>
      <c r="C428" s="230"/>
      <c r="D428" s="231"/>
      <c r="E428" s="157"/>
      <c r="F428" s="12"/>
      <c r="G428" s="158"/>
    </row>
    <row r="429">
      <c r="A429" s="153"/>
      <c r="B429" s="229"/>
      <c r="C429" s="230"/>
      <c r="D429" s="231"/>
      <c r="E429" s="157"/>
      <c r="F429" s="12"/>
      <c r="G429" s="158"/>
    </row>
    <row r="430">
      <c r="A430" s="153"/>
      <c r="B430" s="229"/>
      <c r="C430" s="230"/>
      <c r="D430" s="231"/>
      <c r="E430" s="157"/>
      <c r="F430" s="12"/>
      <c r="G430" s="158"/>
    </row>
    <row r="431">
      <c r="A431" s="153"/>
      <c r="B431" s="229"/>
      <c r="C431" s="230"/>
      <c r="D431" s="231"/>
      <c r="E431" s="157"/>
      <c r="F431" s="12"/>
      <c r="G431" s="158"/>
    </row>
    <row r="432">
      <c r="A432" s="153"/>
      <c r="B432" s="229"/>
      <c r="C432" s="230"/>
      <c r="D432" s="231"/>
      <c r="E432" s="157"/>
      <c r="F432" s="12"/>
      <c r="G432" s="158"/>
    </row>
    <row r="433">
      <c r="A433" s="153"/>
      <c r="B433" s="229"/>
      <c r="C433" s="230"/>
      <c r="D433" s="231"/>
      <c r="E433" s="157"/>
      <c r="F433" s="12"/>
      <c r="G433" s="158"/>
    </row>
    <row r="434">
      <c r="A434" s="153"/>
      <c r="B434" s="229"/>
      <c r="C434" s="230"/>
      <c r="D434" s="231"/>
      <c r="E434" s="157"/>
      <c r="F434" s="12"/>
      <c r="G434" s="158"/>
    </row>
    <row r="435">
      <c r="A435" s="153"/>
      <c r="B435" s="229"/>
      <c r="C435" s="230"/>
      <c r="D435" s="231"/>
      <c r="E435" s="157"/>
      <c r="F435" s="12"/>
      <c r="G435" s="158"/>
    </row>
    <row r="436">
      <c r="A436" s="153"/>
      <c r="B436" s="229"/>
      <c r="C436" s="230"/>
      <c r="D436" s="231"/>
      <c r="E436" s="157"/>
      <c r="F436" s="12"/>
      <c r="G436" s="158"/>
    </row>
    <row r="437">
      <c r="A437" s="153"/>
      <c r="B437" s="229"/>
      <c r="C437" s="230"/>
      <c r="D437" s="231"/>
      <c r="E437" s="157"/>
      <c r="F437" s="12"/>
      <c r="G437" s="158"/>
    </row>
    <row r="438">
      <c r="A438" s="153"/>
      <c r="B438" s="229"/>
      <c r="C438" s="230"/>
      <c r="D438" s="231"/>
      <c r="E438" s="157"/>
      <c r="F438" s="12"/>
      <c r="G438" s="158"/>
    </row>
    <row r="439">
      <c r="A439" s="153"/>
      <c r="B439" s="229"/>
      <c r="C439" s="230"/>
      <c r="D439" s="231"/>
      <c r="E439" s="157"/>
      <c r="F439" s="12"/>
      <c r="G439" s="158"/>
    </row>
    <row r="440">
      <c r="A440" s="153"/>
      <c r="B440" s="229"/>
      <c r="C440" s="230"/>
      <c r="D440" s="231"/>
      <c r="E440" s="157"/>
      <c r="F440" s="12"/>
      <c r="G440" s="158"/>
    </row>
    <row r="441">
      <c r="A441" s="153"/>
      <c r="B441" s="229"/>
      <c r="C441" s="230"/>
      <c r="D441" s="231"/>
      <c r="E441" s="157"/>
      <c r="F441" s="12"/>
      <c r="G441" s="158"/>
    </row>
    <row r="442">
      <c r="A442" s="153"/>
      <c r="B442" s="229"/>
      <c r="C442" s="230"/>
      <c r="D442" s="231"/>
      <c r="E442" s="157"/>
      <c r="F442" s="12"/>
      <c r="G442" s="158"/>
    </row>
    <row r="443">
      <c r="A443" s="153"/>
      <c r="B443" s="229"/>
      <c r="C443" s="230"/>
      <c r="D443" s="231"/>
      <c r="E443" s="157"/>
      <c r="F443" s="12"/>
      <c r="G443" s="158"/>
    </row>
    <row r="444">
      <c r="A444" s="153"/>
      <c r="B444" s="229"/>
      <c r="C444" s="230"/>
      <c r="D444" s="231"/>
      <c r="E444" s="157"/>
      <c r="F444" s="12"/>
      <c r="G444" s="158"/>
    </row>
    <row r="445">
      <c r="A445" s="153"/>
      <c r="B445" s="229"/>
      <c r="C445" s="230"/>
      <c r="D445" s="231"/>
      <c r="E445" s="157"/>
      <c r="F445" s="12"/>
      <c r="G445" s="158"/>
    </row>
    <row r="446">
      <c r="A446" s="153"/>
      <c r="B446" s="229"/>
      <c r="C446" s="230"/>
      <c r="D446" s="231"/>
      <c r="E446" s="157"/>
      <c r="F446" s="12"/>
      <c r="G446" s="158"/>
    </row>
    <row r="447">
      <c r="A447" s="153"/>
      <c r="B447" s="229"/>
      <c r="C447" s="230"/>
      <c r="D447" s="231"/>
      <c r="E447" s="157"/>
      <c r="F447" s="12"/>
      <c r="G447" s="158"/>
    </row>
    <row r="448">
      <c r="A448" s="153"/>
      <c r="B448" s="229"/>
      <c r="C448" s="230"/>
      <c r="D448" s="231"/>
      <c r="E448" s="157"/>
      <c r="F448" s="12"/>
      <c r="G448" s="158"/>
    </row>
    <row r="449">
      <c r="A449" s="153"/>
      <c r="B449" s="229"/>
      <c r="C449" s="230"/>
      <c r="D449" s="231"/>
      <c r="E449" s="157"/>
      <c r="F449" s="12"/>
      <c r="G449" s="158"/>
    </row>
    <row r="450">
      <c r="A450" s="153"/>
      <c r="B450" s="229"/>
      <c r="C450" s="230"/>
      <c r="D450" s="231"/>
      <c r="E450" s="157"/>
      <c r="F450" s="12"/>
      <c r="G450" s="158"/>
    </row>
    <row r="451">
      <c r="A451" s="153"/>
      <c r="B451" s="229"/>
      <c r="C451" s="230"/>
      <c r="D451" s="231"/>
      <c r="E451" s="157"/>
      <c r="F451" s="12"/>
      <c r="G451" s="158"/>
    </row>
    <row r="452">
      <c r="A452" s="153"/>
      <c r="B452" s="229"/>
      <c r="C452" s="230"/>
      <c r="D452" s="231"/>
      <c r="E452" s="157"/>
      <c r="F452" s="12"/>
      <c r="G452" s="158"/>
    </row>
    <row r="453">
      <c r="A453" s="153"/>
      <c r="B453" s="229"/>
      <c r="C453" s="230"/>
      <c r="D453" s="231"/>
      <c r="E453" s="157"/>
      <c r="F453" s="12"/>
      <c r="G453" s="158"/>
    </row>
    <row r="454">
      <c r="A454" s="153"/>
      <c r="B454" s="229"/>
      <c r="C454" s="230"/>
      <c r="D454" s="231"/>
      <c r="E454" s="157"/>
      <c r="F454" s="12"/>
      <c r="G454" s="158"/>
    </row>
    <row r="455">
      <c r="A455" s="153"/>
      <c r="B455" s="229"/>
      <c r="C455" s="230"/>
      <c r="D455" s="231"/>
      <c r="E455" s="157"/>
      <c r="F455" s="12"/>
      <c r="G455" s="158"/>
    </row>
    <row r="456">
      <c r="A456" s="153"/>
      <c r="B456" s="229"/>
      <c r="C456" s="230"/>
      <c r="D456" s="231"/>
      <c r="E456" s="157"/>
      <c r="F456" s="12"/>
      <c r="G456" s="158"/>
    </row>
    <row r="457">
      <c r="A457" s="153"/>
      <c r="B457" s="229"/>
      <c r="C457" s="230"/>
      <c r="D457" s="231"/>
      <c r="E457" s="157"/>
      <c r="F457" s="12"/>
      <c r="G457" s="158"/>
    </row>
    <row r="458">
      <c r="A458" s="153"/>
      <c r="B458" s="229"/>
      <c r="C458" s="230"/>
      <c r="D458" s="231"/>
      <c r="E458" s="157"/>
      <c r="F458" s="12"/>
      <c r="G458" s="158"/>
    </row>
    <row r="459">
      <c r="A459" s="153"/>
      <c r="B459" s="229"/>
      <c r="C459" s="230"/>
      <c r="D459" s="231"/>
      <c r="E459" s="157"/>
      <c r="F459" s="12"/>
      <c r="G459" s="158"/>
    </row>
    <row r="460">
      <c r="A460" s="153"/>
      <c r="B460" s="229"/>
      <c r="C460" s="230"/>
      <c r="D460" s="231"/>
      <c r="E460" s="157"/>
      <c r="F460" s="12"/>
      <c r="G460" s="158"/>
    </row>
    <row r="461">
      <c r="A461" s="153"/>
      <c r="B461" s="229"/>
      <c r="C461" s="230"/>
      <c r="D461" s="231"/>
      <c r="E461" s="157"/>
      <c r="F461" s="12"/>
      <c r="G461" s="158"/>
    </row>
    <row r="462">
      <c r="A462" s="153"/>
      <c r="B462" s="229"/>
      <c r="C462" s="230"/>
      <c r="D462" s="231"/>
      <c r="E462" s="157"/>
      <c r="F462" s="12"/>
      <c r="G462" s="158"/>
    </row>
    <row r="463">
      <c r="A463" s="153"/>
      <c r="B463" s="229"/>
      <c r="C463" s="230"/>
      <c r="D463" s="231"/>
      <c r="E463" s="157"/>
      <c r="F463" s="12"/>
      <c r="G463" s="158"/>
    </row>
    <row r="464">
      <c r="A464" s="153"/>
      <c r="B464" s="229"/>
      <c r="C464" s="230"/>
      <c r="D464" s="231"/>
      <c r="E464" s="157"/>
      <c r="F464" s="12"/>
      <c r="G464" s="158"/>
    </row>
    <row r="465">
      <c r="A465" s="153"/>
      <c r="B465" s="229"/>
      <c r="C465" s="230"/>
      <c r="D465" s="231"/>
      <c r="E465" s="157"/>
      <c r="F465" s="12"/>
      <c r="G465" s="158"/>
    </row>
    <row r="466">
      <c r="A466" s="153"/>
      <c r="B466" s="229"/>
      <c r="C466" s="230"/>
      <c r="D466" s="231"/>
      <c r="E466" s="157"/>
      <c r="F466" s="12"/>
      <c r="G466" s="158"/>
    </row>
    <row r="467">
      <c r="A467" s="153"/>
      <c r="B467" s="229"/>
      <c r="C467" s="230"/>
      <c r="D467" s="231"/>
      <c r="E467" s="157"/>
      <c r="F467" s="12"/>
      <c r="G467" s="158"/>
    </row>
    <row r="468">
      <c r="A468" s="153"/>
      <c r="B468" s="229"/>
      <c r="C468" s="230"/>
      <c r="D468" s="231"/>
      <c r="E468" s="157"/>
      <c r="F468" s="12"/>
      <c r="G468" s="158"/>
    </row>
    <row r="469">
      <c r="A469" s="153"/>
      <c r="B469" s="229"/>
      <c r="C469" s="230"/>
      <c r="D469" s="231"/>
      <c r="E469" s="157"/>
      <c r="F469" s="12"/>
      <c r="G469" s="158"/>
    </row>
    <row r="470">
      <c r="A470" s="153"/>
      <c r="B470" s="229"/>
      <c r="C470" s="230"/>
      <c r="D470" s="231"/>
      <c r="E470" s="157"/>
      <c r="F470" s="12"/>
      <c r="G470" s="158"/>
    </row>
    <row r="471">
      <c r="A471" s="153"/>
      <c r="B471" s="229"/>
      <c r="C471" s="230"/>
      <c r="D471" s="231"/>
      <c r="E471" s="157"/>
      <c r="F471" s="12"/>
      <c r="G471" s="158"/>
    </row>
    <row r="472">
      <c r="A472" s="153"/>
      <c r="B472" s="229"/>
      <c r="C472" s="230"/>
      <c r="D472" s="231"/>
      <c r="E472" s="157"/>
      <c r="F472" s="12"/>
      <c r="G472" s="158"/>
    </row>
    <row r="473">
      <c r="A473" s="153"/>
      <c r="B473" s="229"/>
      <c r="C473" s="230"/>
      <c r="D473" s="231"/>
      <c r="E473" s="157"/>
      <c r="F473" s="12"/>
      <c r="G473" s="158"/>
    </row>
    <row r="474">
      <c r="A474" s="153"/>
      <c r="B474" s="229"/>
      <c r="C474" s="230"/>
      <c r="D474" s="231"/>
      <c r="E474" s="157"/>
      <c r="F474" s="12"/>
      <c r="G474" s="158"/>
    </row>
    <row r="475">
      <c r="A475" s="153"/>
      <c r="B475" s="229"/>
      <c r="C475" s="230"/>
      <c r="D475" s="231"/>
      <c r="E475" s="157"/>
      <c r="F475" s="12"/>
      <c r="G475" s="158"/>
    </row>
    <row r="476">
      <c r="A476" s="153"/>
      <c r="B476" s="229"/>
      <c r="C476" s="230"/>
      <c r="D476" s="231"/>
      <c r="E476" s="157"/>
      <c r="F476" s="12"/>
      <c r="G476" s="158"/>
    </row>
    <row r="477">
      <c r="A477" s="153"/>
      <c r="B477" s="229"/>
      <c r="C477" s="230"/>
      <c r="D477" s="231"/>
      <c r="E477" s="157"/>
      <c r="F477" s="12"/>
      <c r="G477" s="158"/>
    </row>
    <row r="478">
      <c r="A478" s="153"/>
      <c r="B478" s="229"/>
      <c r="C478" s="230"/>
      <c r="D478" s="231"/>
      <c r="E478" s="157"/>
      <c r="F478" s="12"/>
      <c r="G478" s="158"/>
    </row>
    <row r="479">
      <c r="A479" s="153"/>
      <c r="B479" s="229"/>
      <c r="C479" s="230"/>
      <c r="D479" s="231"/>
      <c r="E479" s="157"/>
      <c r="F479" s="12"/>
      <c r="G479" s="158"/>
    </row>
    <row r="480">
      <c r="A480" s="153"/>
      <c r="B480" s="229"/>
      <c r="C480" s="230"/>
      <c r="D480" s="231"/>
      <c r="E480" s="157"/>
      <c r="F480" s="12"/>
      <c r="G480" s="158"/>
    </row>
    <row r="481">
      <c r="A481" s="153"/>
      <c r="B481" s="229"/>
      <c r="C481" s="230"/>
      <c r="D481" s="231"/>
      <c r="E481" s="157"/>
      <c r="F481" s="12"/>
      <c r="G481" s="158"/>
    </row>
    <row r="482">
      <c r="A482" s="153"/>
      <c r="B482" s="229"/>
      <c r="C482" s="230"/>
      <c r="D482" s="231"/>
      <c r="E482" s="157"/>
      <c r="F482" s="12"/>
      <c r="G482" s="158"/>
    </row>
    <row r="483">
      <c r="A483" s="153"/>
      <c r="B483" s="229"/>
      <c r="C483" s="230"/>
      <c r="D483" s="231"/>
      <c r="E483" s="157"/>
      <c r="F483" s="12"/>
      <c r="G483" s="158"/>
    </row>
    <row r="484">
      <c r="A484" s="153"/>
      <c r="B484" s="229"/>
      <c r="C484" s="230"/>
      <c r="D484" s="231"/>
      <c r="E484" s="157"/>
      <c r="F484" s="12"/>
      <c r="G484" s="158"/>
    </row>
    <row r="485">
      <c r="A485" s="153"/>
      <c r="B485" s="229"/>
      <c r="C485" s="230"/>
      <c r="D485" s="231"/>
      <c r="E485" s="157"/>
      <c r="F485" s="12"/>
      <c r="G485" s="158"/>
    </row>
    <row r="486">
      <c r="A486" s="153"/>
      <c r="B486" s="229"/>
      <c r="C486" s="230"/>
      <c r="D486" s="231"/>
      <c r="E486" s="157"/>
      <c r="F486" s="12"/>
      <c r="G486" s="158"/>
    </row>
    <row r="487">
      <c r="A487" s="153"/>
      <c r="B487" s="229"/>
      <c r="C487" s="230"/>
      <c r="D487" s="231"/>
      <c r="E487" s="157"/>
      <c r="F487" s="12"/>
      <c r="G487" s="158"/>
    </row>
    <row r="488">
      <c r="A488" s="153"/>
      <c r="B488" s="229"/>
      <c r="C488" s="230"/>
      <c r="D488" s="231"/>
      <c r="E488" s="157"/>
      <c r="F488" s="12"/>
      <c r="G488" s="158"/>
    </row>
    <row r="489">
      <c r="A489" s="153"/>
      <c r="B489" s="229"/>
      <c r="C489" s="230"/>
      <c r="D489" s="231"/>
      <c r="E489" s="157"/>
      <c r="F489" s="12"/>
      <c r="G489" s="158"/>
    </row>
    <row r="490">
      <c r="A490" s="153"/>
      <c r="B490" s="229"/>
      <c r="C490" s="230"/>
      <c r="D490" s="231"/>
      <c r="E490" s="157"/>
      <c r="F490" s="12"/>
      <c r="G490" s="158"/>
    </row>
    <row r="491">
      <c r="A491" s="153"/>
      <c r="B491" s="229"/>
      <c r="C491" s="230"/>
      <c r="D491" s="231"/>
      <c r="E491" s="157"/>
      <c r="F491" s="12"/>
      <c r="G491" s="158"/>
    </row>
    <row r="492">
      <c r="A492" s="153"/>
      <c r="B492" s="229"/>
      <c r="C492" s="230"/>
      <c r="D492" s="231"/>
      <c r="E492" s="157"/>
      <c r="F492" s="12"/>
      <c r="G492" s="158"/>
    </row>
    <row r="493">
      <c r="A493" s="153"/>
      <c r="B493" s="229"/>
      <c r="C493" s="230"/>
      <c r="D493" s="231"/>
      <c r="E493" s="157"/>
      <c r="F493" s="12"/>
      <c r="G493" s="158"/>
    </row>
    <row r="494">
      <c r="A494" s="153"/>
      <c r="B494" s="229"/>
      <c r="C494" s="230"/>
      <c r="D494" s="231"/>
      <c r="E494" s="157"/>
      <c r="F494" s="12"/>
      <c r="G494" s="158"/>
    </row>
    <row r="495">
      <c r="A495" s="153"/>
      <c r="B495" s="229"/>
      <c r="C495" s="230"/>
      <c r="D495" s="231"/>
      <c r="E495" s="157"/>
      <c r="F495" s="12"/>
      <c r="G495" s="158"/>
    </row>
    <row r="496">
      <c r="A496" s="153"/>
      <c r="B496" s="229"/>
      <c r="C496" s="230"/>
      <c r="D496" s="231"/>
      <c r="E496" s="157"/>
      <c r="F496" s="12"/>
      <c r="G496" s="158"/>
    </row>
    <row r="497">
      <c r="A497" s="153"/>
      <c r="B497" s="229"/>
      <c r="C497" s="230"/>
      <c r="D497" s="231"/>
      <c r="E497" s="157"/>
      <c r="F497" s="12"/>
      <c r="G497" s="158"/>
    </row>
    <row r="498">
      <c r="A498" s="153"/>
      <c r="B498" s="229"/>
      <c r="C498" s="230"/>
      <c r="D498" s="231"/>
      <c r="E498" s="157"/>
      <c r="F498" s="12"/>
      <c r="G498" s="158"/>
    </row>
    <row r="499">
      <c r="A499" s="153"/>
      <c r="B499" s="229"/>
      <c r="C499" s="230"/>
      <c r="D499" s="231"/>
      <c r="E499" s="157"/>
      <c r="F499" s="12"/>
      <c r="G499" s="158"/>
    </row>
    <row r="500">
      <c r="A500" s="153"/>
      <c r="B500" s="229"/>
      <c r="C500" s="230"/>
      <c r="D500" s="231"/>
      <c r="E500" s="157"/>
      <c r="F500" s="12"/>
      <c r="G500" s="158"/>
    </row>
    <row r="501">
      <c r="A501" s="153"/>
      <c r="B501" s="229"/>
      <c r="C501" s="230"/>
      <c r="D501" s="231"/>
      <c r="E501" s="157"/>
      <c r="F501" s="12"/>
      <c r="G501" s="158"/>
    </row>
    <row r="502">
      <c r="A502" s="153"/>
      <c r="B502" s="229"/>
      <c r="C502" s="230"/>
      <c r="D502" s="231"/>
      <c r="E502" s="157"/>
      <c r="F502" s="12"/>
      <c r="G502" s="158"/>
    </row>
    <row r="503">
      <c r="A503" s="153"/>
      <c r="B503" s="229"/>
      <c r="C503" s="230"/>
      <c r="D503" s="231"/>
      <c r="E503" s="157"/>
      <c r="F503" s="12"/>
      <c r="G503" s="158"/>
    </row>
    <row r="504">
      <c r="A504" s="153"/>
      <c r="B504" s="229"/>
      <c r="C504" s="230"/>
      <c r="D504" s="231"/>
      <c r="E504" s="157"/>
      <c r="F504" s="12"/>
      <c r="G504" s="158"/>
    </row>
    <row r="505">
      <c r="A505" s="153"/>
      <c r="B505" s="229"/>
      <c r="C505" s="230"/>
      <c r="D505" s="231"/>
      <c r="E505" s="157"/>
      <c r="F505" s="12"/>
      <c r="G505" s="158"/>
    </row>
    <row r="506">
      <c r="A506" s="153"/>
      <c r="B506" s="229"/>
      <c r="C506" s="230"/>
      <c r="D506" s="231"/>
      <c r="E506" s="157"/>
      <c r="F506" s="12"/>
      <c r="G506" s="158"/>
    </row>
    <row r="507">
      <c r="A507" s="153"/>
      <c r="B507" s="229"/>
      <c r="C507" s="230"/>
      <c r="D507" s="231"/>
      <c r="E507" s="157"/>
      <c r="F507" s="12"/>
      <c r="G507" s="158"/>
    </row>
    <row r="508">
      <c r="A508" s="153"/>
      <c r="B508" s="229"/>
      <c r="C508" s="230"/>
      <c r="D508" s="231"/>
      <c r="E508" s="157"/>
      <c r="F508" s="12"/>
      <c r="G508" s="158"/>
    </row>
    <row r="509">
      <c r="A509" s="153"/>
      <c r="B509" s="229"/>
      <c r="C509" s="230"/>
      <c r="D509" s="231"/>
      <c r="E509" s="157"/>
      <c r="F509" s="12"/>
      <c r="G509" s="158"/>
    </row>
    <row r="510">
      <c r="A510" s="153"/>
      <c r="B510" s="229"/>
      <c r="C510" s="230"/>
      <c r="D510" s="231"/>
      <c r="E510" s="157"/>
      <c r="F510" s="12"/>
      <c r="G510" s="158"/>
    </row>
    <row r="511">
      <c r="A511" s="153"/>
      <c r="B511" s="229"/>
      <c r="C511" s="230"/>
      <c r="D511" s="231"/>
      <c r="E511" s="157"/>
      <c r="F511" s="12"/>
      <c r="G511" s="158"/>
    </row>
    <row r="512">
      <c r="A512" s="153"/>
      <c r="B512" s="229"/>
      <c r="C512" s="230"/>
      <c r="D512" s="231"/>
      <c r="E512" s="157"/>
      <c r="F512" s="12"/>
      <c r="G512" s="158"/>
    </row>
    <row r="513">
      <c r="A513" s="153"/>
      <c r="B513" s="229"/>
      <c r="C513" s="230"/>
      <c r="D513" s="231"/>
      <c r="E513" s="157"/>
      <c r="F513" s="12"/>
      <c r="G513" s="158"/>
    </row>
    <row r="514">
      <c r="A514" s="153"/>
      <c r="B514" s="229"/>
      <c r="C514" s="230"/>
      <c r="D514" s="231"/>
      <c r="E514" s="157"/>
      <c r="F514" s="12"/>
      <c r="G514" s="158"/>
    </row>
    <row r="515">
      <c r="A515" s="153"/>
      <c r="B515" s="229"/>
      <c r="C515" s="230"/>
      <c r="D515" s="231"/>
      <c r="E515" s="157"/>
      <c r="F515" s="12"/>
      <c r="G515" s="158"/>
    </row>
    <row r="516">
      <c r="A516" s="153"/>
      <c r="B516" s="229"/>
      <c r="C516" s="230"/>
      <c r="D516" s="231"/>
      <c r="E516" s="157"/>
      <c r="F516" s="12"/>
      <c r="G516" s="158"/>
    </row>
    <row r="517">
      <c r="A517" s="153"/>
      <c r="B517" s="229"/>
      <c r="C517" s="230"/>
      <c r="D517" s="231"/>
      <c r="E517" s="157"/>
      <c r="F517" s="12"/>
      <c r="G517" s="158"/>
    </row>
    <row r="518">
      <c r="A518" s="153"/>
      <c r="B518" s="229"/>
      <c r="C518" s="230"/>
      <c r="D518" s="231"/>
      <c r="E518" s="157"/>
      <c r="F518" s="12"/>
      <c r="G518" s="158"/>
    </row>
    <row r="519">
      <c r="A519" s="153"/>
      <c r="B519" s="229"/>
      <c r="C519" s="230"/>
      <c r="D519" s="231"/>
      <c r="E519" s="157"/>
      <c r="F519" s="12"/>
      <c r="G519" s="158"/>
    </row>
    <row r="520">
      <c r="A520" s="153"/>
      <c r="B520" s="229"/>
      <c r="C520" s="230"/>
      <c r="D520" s="231"/>
      <c r="E520" s="157"/>
      <c r="F520" s="12"/>
      <c r="G520" s="158"/>
    </row>
    <row r="521">
      <c r="A521" s="153"/>
      <c r="B521" s="229"/>
      <c r="C521" s="230"/>
      <c r="D521" s="231"/>
      <c r="E521" s="157"/>
      <c r="F521" s="12"/>
      <c r="G521" s="158"/>
    </row>
    <row r="522">
      <c r="A522" s="153"/>
      <c r="B522" s="229"/>
      <c r="C522" s="230"/>
      <c r="D522" s="231"/>
      <c r="E522" s="157"/>
      <c r="F522" s="12"/>
      <c r="G522" s="158"/>
    </row>
    <row r="523">
      <c r="A523" s="153"/>
      <c r="B523" s="229"/>
      <c r="C523" s="230"/>
      <c r="D523" s="231"/>
      <c r="E523" s="157"/>
      <c r="F523" s="12"/>
      <c r="G523" s="158"/>
    </row>
    <row r="524">
      <c r="A524" s="153"/>
      <c r="B524" s="229"/>
      <c r="C524" s="230"/>
      <c r="D524" s="231"/>
      <c r="E524" s="157"/>
      <c r="F524" s="12"/>
      <c r="G524" s="158"/>
    </row>
    <row r="525">
      <c r="A525" s="153"/>
      <c r="B525" s="229"/>
      <c r="C525" s="230"/>
      <c r="D525" s="231"/>
      <c r="E525" s="157"/>
      <c r="F525" s="12"/>
      <c r="G525" s="158"/>
    </row>
    <row r="526">
      <c r="A526" s="153"/>
      <c r="B526" s="229"/>
      <c r="C526" s="230"/>
      <c r="D526" s="231"/>
      <c r="E526" s="157"/>
      <c r="F526" s="12"/>
      <c r="G526" s="158"/>
    </row>
    <row r="527">
      <c r="A527" s="153"/>
      <c r="B527" s="229"/>
      <c r="C527" s="230"/>
      <c r="D527" s="231"/>
      <c r="E527" s="157"/>
      <c r="F527" s="12"/>
      <c r="G527" s="158"/>
    </row>
    <row r="528">
      <c r="A528" s="153"/>
      <c r="B528" s="229"/>
      <c r="C528" s="230"/>
      <c r="D528" s="231"/>
      <c r="E528" s="157"/>
      <c r="F528" s="12"/>
      <c r="G528" s="158"/>
    </row>
    <row r="529">
      <c r="A529" s="153"/>
      <c r="B529" s="229"/>
      <c r="C529" s="230"/>
      <c r="D529" s="231"/>
      <c r="E529" s="157"/>
      <c r="F529" s="12"/>
      <c r="G529" s="158"/>
    </row>
    <row r="530">
      <c r="A530" s="153"/>
      <c r="B530" s="229"/>
      <c r="C530" s="230"/>
      <c r="D530" s="231"/>
      <c r="E530" s="157"/>
      <c r="F530" s="12"/>
      <c r="G530" s="158"/>
    </row>
    <row r="531">
      <c r="A531" s="153"/>
      <c r="B531" s="229"/>
      <c r="C531" s="230"/>
      <c r="D531" s="231"/>
      <c r="E531" s="157"/>
      <c r="F531" s="12"/>
      <c r="G531" s="158"/>
    </row>
    <row r="532">
      <c r="A532" s="153"/>
      <c r="B532" s="229"/>
      <c r="C532" s="230"/>
      <c r="D532" s="231"/>
      <c r="E532" s="157"/>
      <c r="F532" s="12"/>
      <c r="G532" s="158"/>
    </row>
    <row r="533">
      <c r="A533" s="153"/>
      <c r="B533" s="229"/>
      <c r="C533" s="230"/>
      <c r="D533" s="231"/>
      <c r="E533" s="157"/>
      <c r="F533" s="12"/>
      <c r="G533" s="158"/>
    </row>
    <row r="534">
      <c r="A534" s="153"/>
      <c r="B534" s="229"/>
      <c r="C534" s="230"/>
      <c r="D534" s="231"/>
      <c r="E534" s="157"/>
      <c r="F534" s="12"/>
      <c r="G534" s="158"/>
    </row>
    <row r="535">
      <c r="A535" s="153"/>
      <c r="B535" s="229"/>
      <c r="C535" s="230"/>
      <c r="D535" s="231"/>
      <c r="E535" s="157"/>
      <c r="F535" s="12"/>
      <c r="G535" s="158"/>
    </row>
    <row r="536">
      <c r="A536" s="153"/>
      <c r="B536" s="229"/>
      <c r="C536" s="230"/>
      <c r="D536" s="231"/>
      <c r="E536" s="157"/>
      <c r="F536" s="12"/>
      <c r="G536" s="158"/>
    </row>
    <row r="537">
      <c r="A537" s="153"/>
      <c r="B537" s="229"/>
      <c r="C537" s="230"/>
      <c r="D537" s="231"/>
      <c r="E537" s="157"/>
      <c r="F537" s="12"/>
      <c r="G537" s="158"/>
    </row>
    <row r="538">
      <c r="A538" s="153"/>
      <c r="B538" s="229"/>
      <c r="C538" s="230"/>
      <c r="D538" s="231"/>
      <c r="E538" s="157"/>
      <c r="F538" s="12"/>
      <c r="G538" s="158"/>
    </row>
    <row r="539">
      <c r="A539" s="153"/>
      <c r="B539" s="229"/>
      <c r="C539" s="230"/>
      <c r="D539" s="231"/>
      <c r="E539" s="157"/>
      <c r="F539" s="12"/>
      <c r="G539" s="158"/>
    </row>
    <row r="540">
      <c r="A540" s="153"/>
      <c r="B540" s="229"/>
      <c r="C540" s="230"/>
      <c r="D540" s="231"/>
      <c r="E540" s="157"/>
      <c r="F540" s="12"/>
      <c r="G540" s="158"/>
    </row>
    <row r="541">
      <c r="A541" s="153"/>
      <c r="B541" s="229"/>
      <c r="C541" s="230"/>
      <c r="D541" s="231"/>
      <c r="E541" s="157"/>
      <c r="F541" s="12"/>
      <c r="G541" s="158"/>
    </row>
    <row r="542">
      <c r="A542" s="153"/>
      <c r="B542" s="229"/>
      <c r="C542" s="230"/>
      <c r="D542" s="231"/>
      <c r="E542" s="157"/>
      <c r="F542" s="12"/>
      <c r="G542" s="158"/>
    </row>
    <row r="543">
      <c r="A543" s="153"/>
      <c r="B543" s="229"/>
      <c r="C543" s="230"/>
      <c r="D543" s="231"/>
      <c r="E543" s="157"/>
      <c r="F543" s="12"/>
      <c r="G543" s="158"/>
    </row>
    <row r="544">
      <c r="A544" s="153"/>
      <c r="B544" s="229"/>
      <c r="C544" s="230"/>
      <c r="D544" s="231"/>
      <c r="E544" s="157"/>
      <c r="F544" s="12"/>
      <c r="G544" s="158"/>
    </row>
    <row r="545">
      <c r="A545" s="153"/>
      <c r="B545" s="229"/>
      <c r="C545" s="230"/>
      <c r="D545" s="231"/>
      <c r="E545" s="157"/>
      <c r="F545" s="12"/>
      <c r="G545" s="158"/>
    </row>
    <row r="546">
      <c r="A546" s="153"/>
      <c r="B546" s="229"/>
      <c r="C546" s="230"/>
      <c r="D546" s="231"/>
      <c r="E546" s="157"/>
      <c r="F546" s="12"/>
      <c r="G546" s="158"/>
    </row>
    <row r="547">
      <c r="A547" s="153"/>
      <c r="B547" s="229"/>
      <c r="C547" s="230"/>
      <c r="D547" s="231"/>
      <c r="E547" s="157"/>
      <c r="F547" s="12"/>
      <c r="G547" s="158"/>
    </row>
    <row r="548">
      <c r="A548" s="153"/>
      <c r="B548" s="229"/>
      <c r="C548" s="230"/>
      <c r="D548" s="231"/>
      <c r="E548" s="157"/>
      <c r="F548" s="12"/>
      <c r="G548" s="158"/>
    </row>
    <row r="549">
      <c r="A549" s="153"/>
      <c r="B549" s="229"/>
      <c r="C549" s="230"/>
      <c r="D549" s="231"/>
      <c r="E549" s="157"/>
      <c r="F549" s="12"/>
      <c r="G549" s="158"/>
    </row>
    <row r="550">
      <c r="A550" s="153"/>
      <c r="B550" s="229"/>
      <c r="C550" s="230"/>
      <c r="D550" s="231"/>
      <c r="E550" s="157"/>
      <c r="F550" s="12"/>
      <c r="G550" s="158"/>
    </row>
    <row r="551">
      <c r="A551" s="153"/>
      <c r="B551" s="229"/>
      <c r="C551" s="230"/>
      <c r="D551" s="231"/>
      <c r="E551" s="157"/>
      <c r="F551" s="12"/>
      <c r="G551" s="158"/>
    </row>
    <row r="552">
      <c r="A552" s="153"/>
      <c r="B552" s="229"/>
      <c r="C552" s="230"/>
      <c r="D552" s="231"/>
      <c r="E552" s="157"/>
      <c r="F552" s="12"/>
      <c r="G552" s="158"/>
    </row>
    <row r="553">
      <c r="A553" s="153"/>
      <c r="B553" s="229"/>
      <c r="C553" s="230"/>
      <c r="D553" s="231"/>
      <c r="E553" s="157"/>
      <c r="F553" s="12"/>
      <c r="G553" s="158"/>
    </row>
    <row r="554">
      <c r="A554" s="153"/>
      <c r="B554" s="229"/>
      <c r="C554" s="230"/>
      <c r="D554" s="231"/>
      <c r="E554" s="157"/>
      <c r="F554" s="12"/>
      <c r="G554" s="158"/>
    </row>
    <row r="555">
      <c r="A555" s="153"/>
      <c r="B555" s="229"/>
      <c r="C555" s="230"/>
      <c r="D555" s="231"/>
      <c r="E555" s="157"/>
      <c r="F555" s="12"/>
      <c r="G555" s="158"/>
    </row>
    <row r="556">
      <c r="A556" s="153"/>
      <c r="B556" s="229"/>
      <c r="C556" s="230"/>
      <c r="D556" s="231"/>
      <c r="E556" s="157"/>
      <c r="F556" s="12"/>
      <c r="G556" s="158"/>
    </row>
    <row r="557">
      <c r="A557" s="153"/>
      <c r="B557" s="229"/>
      <c r="C557" s="230"/>
      <c r="D557" s="231"/>
      <c r="E557" s="157"/>
      <c r="F557" s="12"/>
      <c r="G557" s="158"/>
    </row>
    <row r="558">
      <c r="A558" s="153"/>
      <c r="B558" s="229"/>
      <c r="C558" s="230"/>
      <c r="D558" s="231"/>
      <c r="E558" s="157"/>
      <c r="F558" s="12"/>
      <c r="G558" s="158"/>
    </row>
    <row r="559">
      <c r="A559" s="153"/>
      <c r="B559" s="229"/>
      <c r="C559" s="230"/>
      <c r="D559" s="231"/>
      <c r="E559" s="157"/>
      <c r="F559" s="12"/>
      <c r="G559" s="158"/>
    </row>
    <row r="560">
      <c r="A560" s="153"/>
      <c r="B560" s="229"/>
      <c r="C560" s="230"/>
      <c r="D560" s="231"/>
      <c r="E560" s="157"/>
      <c r="F560" s="12"/>
      <c r="G560" s="158"/>
    </row>
    <row r="561">
      <c r="A561" s="153"/>
      <c r="B561" s="229"/>
      <c r="C561" s="230"/>
      <c r="D561" s="231"/>
      <c r="E561" s="157"/>
      <c r="F561" s="12"/>
      <c r="G561" s="158"/>
    </row>
    <row r="562">
      <c r="A562" s="153"/>
      <c r="B562" s="229"/>
      <c r="C562" s="230"/>
      <c r="D562" s="231"/>
      <c r="E562" s="157"/>
      <c r="F562" s="12"/>
      <c r="G562" s="158"/>
    </row>
    <row r="563">
      <c r="A563" s="153"/>
      <c r="B563" s="229"/>
      <c r="C563" s="230"/>
      <c r="D563" s="231"/>
      <c r="E563" s="157"/>
      <c r="F563" s="12"/>
      <c r="G563" s="158"/>
    </row>
    <row r="564">
      <c r="A564" s="153"/>
      <c r="B564" s="229"/>
      <c r="C564" s="230"/>
      <c r="D564" s="231"/>
      <c r="E564" s="157"/>
      <c r="F564" s="12"/>
      <c r="G564" s="158"/>
    </row>
    <row r="565">
      <c r="A565" s="153"/>
      <c r="B565" s="229"/>
      <c r="C565" s="230"/>
      <c r="D565" s="231"/>
      <c r="E565" s="157"/>
      <c r="F565" s="12"/>
      <c r="G565" s="158"/>
    </row>
    <row r="566">
      <c r="A566" s="153"/>
      <c r="B566" s="229"/>
      <c r="C566" s="230"/>
      <c r="D566" s="231"/>
      <c r="E566" s="157"/>
      <c r="F566" s="12"/>
      <c r="G566" s="158"/>
    </row>
    <row r="567">
      <c r="A567" s="153"/>
      <c r="B567" s="229"/>
      <c r="C567" s="230"/>
      <c r="D567" s="231"/>
      <c r="E567" s="157"/>
      <c r="F567" s="12"/>
      <c r="G567" s="158"/>
    </row>
    <row r="568">
      <c r="A568" s="153"/>
      <c r="B568" s="229"/>
      <c r="C568" s="230"/>
      <c r="D568" s="231"/>
      <c r="E568" s="157"/>
      <c r="F568" s="12"/>
      <c r="G568" s="158"/>
    </row>
    <row r="569">
      <c r="A569" s="153"/>
      <c r="B569" s="229"/>
      <c r="C569" s="230"/>
      <c r="D569" s="231"/>
      <c r="E569" s="157"/>
      <c r="F569" s="12"/>
      <c r="G569" s="158"/>
    </row>
    <row r="570">
      <c r="A570" s="153"/>
      <c r="B570" s="229"/>
      <c r="C570" s="230"/>
      <c r="D570" s="231"/>
      <c r="E570" s="157"/>
      <c r="F570" s="12"/>
      <c r="G570" s="158"/>
    </row>
    <row r="571">
      <c r="A571" s="153"/>
      <c r="B571" s="229"/>
      <c r="C571" s="230"/>
      <c r="D571" s="231"/>
      <c r="E571" s="157"/>
      <c r="F571" s="12"/>
      <c r="G571" s="158"/>
    </row>
    <row r="572">
      <c r="A572" s="153"/>
      <c r="B572" s="229"/>
      <c r="C572" s="230"/>
      <c r="D572" s="231"/>
      <c r="E572" s="157"/>
      <c r="F572" s="12"/>
      <c r="G572" s="158"/>
    </row>
    <row r="573">
      <c r="A573" s="153"/>
      <c r="B573" s="229"/>
      <c r="C573" s="230"/>
      <c r="D573" s="231"/>
      <c r="E573" s="157"/>
      <c r="F573" s="12"/>
      <c r="G573" s="158"/>
    </row>
    <row r="574">
      <c r="A574" s="153"/>
      <c r="B574" s="229"/>
      <c r="C574" s="230"/>
      <c r="D574" s="231"/>
      <c r="E574" s="157"/>
      <c r="F574" s="12"/>
      <c r="G574" s="158"/>
    </row>
    <row r="575">
      <c r="A575" s="153"/>
      <c r="B575" s="229"/>
      <c r="C575" s="230"/>
      <c r="D575" s="231"/>
      <c r="E575" s="157"/>
      <c r="F575" s="12"/>
      <c r="G575" s="158"/>
    </row>
    <row r="576">
      <c r="A576" s="153"/>
      <c r="B576" s="229"/>
      <c r="C576" s="230"/>
      <c r="D576" s="231"/>
      <c r="E576" s="157"/>
      <c r="F576" s="12"/>
      <c r="G576" s="158"/>
    </row>
    <row r="577">
      <c r="A577" s="153"/>
      <c r="B577" s="229"/>
      <c r="C577" s="230"/>
      <c r="D577" s="231"/>
      <c r="E577" s="157"/>
      <c r="F577" s="12"/>
      <c r="G577" s="158"/>
    </row>
    <row r="578">
      <c r="A578" s="153"/>
      <c r="B578" s="229"/>
      <c r="C578" s="230"/>
      <c r="D578" s="231"/>
      <c r="E578" s="157"/>
      <c r="F578" s="12"/>
      <c r="G578" s="158"/>
    </row>
    <row r="579">
      <c r="A579" s="153"/>
      <c r="B579" s="229"/>
      <c r="C579" s="230"/>
      <c r="D579" s="231"/>
      <c r="E579" s="157"/>
      <c r="F579" s="12"/>
      <c r="G579" s="158"/>
    </row>
    <row r="580">
      <c r="A580" s="153"/>
      <c r="B580" s="229"/>
      <c r="C580" s="230"/>
      <c r="D580" s="231"/>
      <c r="E580" s="157"/>
      <c r="F580" s="12"/>
      <c r="G580" s="158"/>
    </row>
    <row r="581">
      <c r="A581" s="153"/>
      <c r="B581" s="229"/>
      <c r="C581" s="230"/>
      <c r="D581" s="231"/>
      <c r="E581" s="157"/>
      <c r="F581" s="12"/>
      <c r="G581" s="158"/>
    </row>
    <row r="582">
      <c r="A582" s="153"/>
      <c r="B582" s="229"/>
      <c r="C582" s="230"/>
      <c r="D582" s="231"/>
      <c r="E582" s="157"/>
      <c r="F582" s="12"/>
      <c r="G582" s="158"/>
    </row>
    <row r="583">
      <c r="A583" s="153"/>
      <c r="B583" s="229"/>
      <c r="C583" s="230"/>
      <c r="D583" s="231"/>
      <c r="E583" s="157"/>
      <c r="F583" s="12"/>
      <c r="G583" s="158"/>
    </row>
    <row r="584">
      <c r="A584" s="153"/>
      <c r="B584" s="229"/>
      <c r="C584" s="230"/>
      <c r="D584" s="231"/>
      <c r="E584" s="157"/>
      <c r="F584" s="12"/>
      <c r="G584" s="158"/>
    </row>
    <row r="585">
      <c r="A585" s="153"/>
      <c r="B585" s="229"/>
      <c r="C585" s="230"/>
      <c r="D585" s="231"/>
      <c r="E585" s="157"/>
      <c r="F585" s="12"/>
      <c r="G585" s="158"/>
    </row>
    <row r="586">
      <c r="A586" s="153"/>
      <c r="B586" s="229"/>
      <c r="C586" s="230"/>
      <c r="D586" s="231"/>
      <c r="E586" s="157"/>
      <c r="F586" s="12"/>
      <c r="G586" s="158"/>
    </row>
    <row r="587">
      <c r="A587" s="153"/>
      <c r="B587" s="229"/>
      <c r="C587" s="230"/>
      <c r="D587" s="231"/>
      <c r="E587" s="157"/>
      <c r="F587" s="12"/>
      <c r="G587" s="158"/>
    </row>
    <row r="588">
      <c r="A588" s="153"/>
      <c r="B588" s="229"/>
      <c r="C588" s="230"/>
      <c r="D588" s="231"/>
      <c r="E588" s="157"/>
      <c r="F588" s="12"/>
      <c r="G588" s="158"/>
    </row>
    <row r="589">
      <c r="A589" s="153"/>
      <c r="B589" s="229"/>
      <c r="C589" s="230"/>
      <c r="D589" s="231"/>
      <c r="E589" s="157"/>
      <c r="F589" s="12"/>
      <c r="G589" s="158"/>
    </row>
    <row r="590">
      <c r="A590" s="153"/>
      <c r="B590" s="229"/>
      <c r="C590" s="230"/>
      <c r="D590" s="231"/>
      <c r="E590" s="157"/>
      <c r="F590" s="12"/>
      <c r="G590" s="158"/>
    </row>
    <row r="591">
      <c r="A591" s="153"/>
      <c r="B591" s="229"/>
      <c r="C591" s="230"/>
      <c r="D591" s="231"/>
      <c r="E591" s="157"/>
      <c r="F591" s="12"/>
      <c r="G591" s="158"/>
    </row>
    <row r="592">
      <c r="A592" s="153"/>
      <c r="B592" s="229"/>
      <c r="C592" s="230"/>
      <c r="D592" s="231"/>
      <c r="E592" s="157"/>
      <c r="F592" s="12"/>
      <c r="G592" s="158"/>
    </row>
    <row r="593">
      <c r="A593" s="153"/>
      <c r="B593" s="229"/>
      <c r="C593" s="230"/>
      <c r="D593" s="231"/>
      <c r="E593" s="157"/>
      <c r="F593" s="12"/>
      <c r="G593" s="158"/>
    </row>
    <row r="594">
      <c r="A594" s="153"/>
      <c r="B594" s="229"/>
      <c r="C594" s="230"/>
      <c r="D594" s="231"/>
      <c r="E594" s="157"/>
      <c r="F594" s="12"/>
      <c r="G594" s="158"/>
    </row>
    <row r="595">
      <c r="A595" s="153"/>
      <c r="B595" s="229"/>
      <c r="C595" s="230"/>
      <c r="D595" s="231"/>
      <c r="E595" s="157"/>
      <c r="F595" s="12"/>
      <c r="G595" s="158"/>
    </row>
    <row r="596">
      <c r="A596" s="153"/>
      <c r="B596" s="229"/>
      <c r="C596" s="230"/>
      <c r="D596" s="231"/>
      <c r="E596" s="157"/>
      <c r="F596" s="12"/>
      <c r="G596" s="158"/>
    </row>
    <row r="597">
      <c r="A597" s="153"/>
      <c r="B597" s="229"/>
      <c r="C597" s="230"/>
      <c r="D597" s="231"/>
      <c r="E597" s="157"/>
      <c r="F597" s="12"/>
      <c r="G597" s="158"/>
    </row>
    <row r="598">
      <c r="A598" s="153"/>
      <c r="B598" s="229"/>
      <c r="C598" s="230"/>
      <c r="D598" s="231"/>
      <c r="E598" s="157"/>
      <c r="F598" s="12"/>
      <c r="G598" s="158"/>
    </row>
    <row r="599">
      <c r="A599" s="153"/>
      <c r="B599" s="229"/>
      <c r="C599" s="230"/>
      <c r="D599" s="231"/>
      <c r="E599" s="157"/>
      <c r="F599" s="12"/>
      <c r="G599" s="158"/>
    </row>
    <row r="600">
      <c r="A600" s="153"/>
      <c r="B600" s="229"/>
      <c r="C600" s="230"/>
      <c r="D600" s="231"/>
      <c r="E600" s="157"/>
      <c r="F600" s="12"/>
      <c r="G600" s="158"/>
    </row>
    <row r="601">
      <c r="A601" s="153"/>
      <c r="B601" s="229"/>
      <c r="C601" s="230"/>
      <c r="D601" s="231"/>
      <c r="E601" s="157"/>
      <c r="F601" s="12"/>
      <c r="G601" s="158"/>
    </row>
    <row r="602">
      <c r="A602" s="153"/>
      <c r="B602" s="229"/>
      <c r="C602" s="230"/>
      <c r="D602" s="231"/>
      <c r="E602" s="157"/>
      <c r="F602" s="12"/>
      <c r="G602" s="158"/>
    </row>
    <row r="603">
      <c r="A603" s="153"/>
      <c r="B603" s="229"/>
      <c r="C603" s="230"/>
      <c r="D603" s="231"/>
      <c r="E603" s="157"/>
      <c r="F603" s="12"/>
      <c r="G603" s="158"/>
    </row>
    <row r="604">
      <c r="A604" s="153"/>
      <c r="B604" s="229"/>
      <c r="C604" s="230"/>
      <c r="D604" s="231"/>
      <c r="E604" s="157"/>
      <c r="F604" s="12"/>
      <c r="G604" s="158"/>
    </row>
    <row r="605">
      <c r="A605" s="153"/>
      <c r="B605" s="229"/>
      <c r="C605" s="230"/>
      <c r="D605" s="231"/>
      <c r="E605" s="157"/>
      <c r="F605" s="12"/>
      <c r="G605" s="158"/>
    </row>
    <row r="606">
      <c r="A606" s="153"/>
      <c r="B606" s="229"/>
      <c r="C606" s="230"/>
      <c r="D606" s="231"/>
      <c r="E606" s="157"/>
      <c r="F606" s="12"/>
      <c r="G606" s="158"/>
    </row>
    <row r="607">
      <c r="A607" s="153"/>
      <c r="B607" s="229"/>
      <c r="C607" s="230"/>
      <c r="D607" s="231"/>
      <c r="E607" s="157"/>
      <c r="F607" s="12"/>
      <c r="G607" s="158"/>
    </row>
    <row r="608">
      <c r="A608" s="153"/>
      <c r="B608" s="229"/>
      <c r="C608" s="230"/>
      <c r="D608" s="231"/>
      <c r="E608" s="157"/>
      <c r="F608" s="12"/>
      <c r="G608" s="158"/>
    </row>
    <row r="609">
      <c r="A609" s="153"/>
      <c r="B609" s="229"/>
      <c r="C609" s="230"/>
      <c r="D609" s="231"/>
      <c r="E609" s="157"/>
      <c r="F609" s="12"/>
      <c r="G609" s="158"/>
    </row>
    <row r="610">
      <c r="A610" s="153"/>
      <c r="B610" s="229"/>
      <c r="C610" s="230"/>
      <c r="D610" s="231"/>
      <c r="E610" s="157"/>
      <c r="F610" s="12"/>
      <c r="G610" s="158"/>
    </row>
    <row r="611">
      <c r="A611" s="153"/>
      <c r="B611" s="229"/>
      <c r="C611" s="230"/>
      <c r="D611" s="231"/>
      <c r="E611" s="157"/>
      <c r="F611" s="12"/>
      <c r="G611" s="158"/>
    </row>
    <row r="612">
      <c r="A612" s="153"/>
      <c r="B612" s="229"/>
      <c r="C612" s="230"/>
      <c r="D612" s="231"/>
      <c r="E612" s="157"/>
      <c r="F612" s="12"/>
      <c r="G612" s="158"/>
    </row>
    <row r="613">
      <c r="A613" s="153"/>
      <c r="B613" s="229"/>
      <c r="C613" s="230"/>
      <c r="D613" s="231"/>
      <c r="E613" s="157"/>
      <c r="F613" s="12"/>
      <c r="G613" s="158"/>
    </row>
    <row r="614">
      <c r="A614" s="153"/>
      <c r="B614" s="229"/>
      <c r="C614" s="230"/>
      <c r="D614" s="231"/>
      <c r="E614" s="157"/>
      <c r="F614" s="12"/>
      <c r="G614" s="158"/>
    </row>
    <row r="615">
      <c r="A615" s="153"/>
      <c r="B615" s="229"/>
      <c r="C615" s="230"/>
      <c r="D615" s="231"/>
      <c r="E615" s="157"/>
      <c r="F615" s="12"/>
      <c r="G615" s="158"/>
    </row>
    <row r="616">
      <c r="A616" s="153"/>
      <c r="B616" s="229"/>
      <c r="C616" s="230"/>
      <c r="D616" s="231"/>
      <c r="E616" s="157"/>
      <c r="F616" s="12"/>
      <c r="G616" s="158"/>
    </row>
    <row r="617">
      <c r="A617" s="153"/>
      <c r="B617" s="229"/>
      <c r="C617" s="230"/>
      <c r="D617" s="231"/>
      <c r="E617" s="157"/>
      <c r="F617" s="12"/>
      <c r="G617" s="158"/>
    </row>
    <row r="618">
      <c r="A618" s="153"/>
      <c r="B618" s="229"/>
      <c r="C618" s="230"/>
      <c r="D618" s="231"/>
      <c r="E618" s="157"/>
      <c r="F618" s="12"/>
      <c r="G618" s="158"/>
    </row>
    <row r="619">
      <c r="A619" s="153"/>
      <c r="B619" s="229"/>
      <c r="C619" s="230"/>
      <c r="D619" s="231"/>
      <c r="E619" s="157"/>
      <c r="F619" s="12"/>
      <c r="G619" s="158"/>
    </row>
    <row r="620">
      <c r="A620" s="153"/>
      <c r="B620" s="229"/>
      <c r="C620" s="230"/>
      <c r="D620" s="231"/>
      <c r="E620" s="157"/>
      <c r="F620" s="12"/>
      <c r="G620" s="158"/>
    </row>
    <row r="621">
      <c r="A621" s="153"/>
      <c r="B621" s="229"/>
      <c r="C621" s="230"/>
      <c r="D621" s="231"/>
      <c r="E621" s="157"/>
      <c r="F621" s="12"/>
      <c r="G621" s="158"/>
    </row>
    <row r="622">
      <c r="A622" s="153"/>
      <c r="B622" s="229"/>
      <c r="C622" s="230"/>
      <c r="D622" s="231"/>
      <c r="E622" s="157"/>
      <c r="F622" s="12"/>
      <c r="G622" s="158"/>
    </row>
    <row r="623">
      <c r="A623" s="153"/>
      <c r="B623" s="229"/>
      <c r="C623" s="230"/>
      <c r="D623" s="231"/>
      <c r="E623" s="157"/>
      <c r="F623" s="12"/>
      <c r="G623" s="158"/>
    </row>
    <row r="624">
      <c r="A624" s="153"/>
      <c r="B624" s="229"/>
      <c r="C624" s="230"/>
      <c r="D624" s="231"/>
      <c r="E624" s="157"/>
      <c r="F624" s="12"/>
      <c r="G624" s="158"/>
    </row>
    <row r="625">
      <c r="A625" s="153"/>
      <c r="B625" s="229"/>
      <c r="C625" s="230"/>
      <c r="D625" s="231"/>
      <c r="E625" s="157"/>
      <c r="F625" s="12"/>
      <c r="G625" s="158"/>
    </row>
    <row r="626">
      <c r="A626" s="153"/>
      <c r="B626" s="229"/>
      <c r="C626" s="230"/>
      <c r="D626" s="231"/>
      <c r="E626" s="157"/>
      <c r="F626" s="12"/>
      <c r="G626" s="158"/>
    </row>
    <row r="627">
      <c r="A627" s="153"/>
      <c r="B627" s="229"/>
      <c r="C627" s="230"/>
      <c r="D627" s="231"/>
      <c r="E627" s="157"/>
      <c r="F627" s="12"/>
      <c r="G627" s="158"/>
    </row>
    <row r="628">
      <c r="A628" s="153"/>
      <c r="B628" s="229"/>
      <c r="C628" s="230"/>
      <c r="D628" s="231"/>
      <c r="E628" s="157"/>
      <c r="F628" s="12"/>
      <c r="G628" s="158"/>
    </row>
    <row r="629">
      <c r="A629" s="153"/>
      <c r="B629" s="229"/>
      <c r="C629" s="230"/>
      <c r="D629" s="231"/>
      <c r="E629" s="157"/>
      <c r="F629" s="12"/>
      <c r="G629" s="158"/>
    </row>
    <row r="630">
      <c r="A630" s="153"/>
      <c r="B630" s="229"/>
      <c r="C630" s="230"/>
      <c r="D630" s="231"/>
      <c r="E630" s="157"/>
      <c r="F630" s="12"/>
      <c r="G630" s="158"/>
    </row>
    <row r="631">
      <c r="A631" s="153"/>
      <c r="B631" s="229"/>
      <c r="C631" s="230"/>
      <c r="D631" s="231"/>
      <c r="E631" s="157"/>
      <c r="F631" s="12"/>
      <c r="G631" s="158"/>
    </row>
    <row r="632">
      <c r="A632" s="153"/>
      <c r="B632" s="229"/>
      <c r="C632" s="230"/>
      <c r="D632" s="231"/>
      <c r="E632" s="157"/>
      <c r="F632" s="12"/>
      <c r="G632" s="158"/>
    </row>
    <row r="633">
      <c r="A633" s="153"/>
      <c r="B633" s="229"/>
      <c r="C633" s="230"/>
      <c r="D633" s="231"/>
      <c r="E633" s="157"/>
      <c r="F633" s="12"/>
      <c r="G633" s="158"/>
    </row>
    <row r="634">
      <c r="A634" s="153"/>
      <c r="B634" s="229"/>
      <c r="C634" s="230"/>
      <c r="D634" s="231"/>
      <c r="E634" s="157"/>
      <c r="F634" s="12"/>
      <c r="G634" s="158"/>
    </row>
    <row r="635">
      <c r="A635" s="153"/>
      <c r="B635" s="229"/>
      <c r="C635" s="230"/>
      <c r="D635" s="231"/>
      <c r="E635" s="157"/>
      <c r="F635" s="12"/>
      <c r="G635" s="158"/>
    </row>
    <row r="636">
      <c r="A636" s="153"/>
      <c r="B636" s="229"/>
      <c r="C636" s="230"/>
      <c r="D636" s="231"/>
      <c r="E636" s="157"/>
      <c r="F636" s="12"/>
      <c r="G636" s="158"/>
    </row>
    <row r="637">
      <c r="A637" s="153"/>
      <c r="B637" s="229"/>
      <c r="C637" s="230"/>
      <c r="D637" s="231"/>
      <c r="E637" s="157"/>
      <c r="F637" s="12"/>
      <c r="G637" s="158"/>
    </row>
    <row r="638">
      <c r="A638" s="153"/>
      <c r="B638" s="229"/>
      <c r="C638" s="230"/>
      <c r="D638" s="231"/>
      <c r="E638" s="157"/>
      <c r="F638" s="12"/>
      <c r="G638" s="158"/>
    </row>
    <row r="639">
      <c r="A639" s="153"/>
      <c r="B639" s="229"/>
      <c r="C639" s="230"/>
      <c r="D639" s="231"/>
      <c r="E639" s="157"/>
      <c r="F639" s="12"/>
      <c r="G639" s="158"/>
    </row>
    <row r="640">
      <c r="A640" s="153"/>
      <c r="B640" s="229"/>
      <c r="C640" s="230"/>
      <c r="D640" s="231"/>
      <c r="E640" s="157"/>
      <c r="F640" s="12"/>
      <c r="G640" s="158"/>
    </row>
    <row r="641">
      <c r="A641" s="153"/>
      <c r="B641" s="229"/>
      <c r="C641" s="230"/>
      <c r="D641" s="231"/>
      <c r="E641" s="157"/>
      <c r="F641" s="12"/>
      <c r="G641" s="158"/>
    </row>
    <row r="642">
      <c r="A642" s="153"/>
      <c r="B642" s="229"/>
      <c r="C642" s="230"/>
      <c r="D642" s="231"/>
      <c r="E642" s="157"/>
      <c r="F642" s="12"/>
      <c r="G642" s="158"/>
    </row>
    <row r="643">
      <c r="A643" s="153"/>
      <c r="B643" s="229"/>
      <c r="C643" s="230"/>
      <c r="D643" s="231"/>
      <c r="E643" s="157"/>
      <c r="F643" s="12"/>
      <c r="G643" s="158"/>
    </row>
    <row r="644">
      <c r="A644" s="153"/>
      <c r="B644" s="229"/>
      <c r="C644" s="230"/>
      <c r="D644" s="231"/>
      <c r="E644" s="157"/>
      <c r="F644" s="12"/>
      <c r="G644" s="158"/>
    </row>
    <row r="645">
      <c r="A645" s="153"/>
      <c r="B645" s="229"/>
      <c r="C645" s="230"/>
      <c r="D645" s="231"/>
      <c r="E645" s="157"/>
      <c r="F645" s="12"/>
      <c r="G645" s="158"/>
    </row>
    <row r="646">
      <c r="A646" s="153"/>
      <c r="B646" s="229"/>
      <c r="C646" s="230"/>
      <c r="D646" s="231"/>
      <c r="E646" s="157"/>
      <c r="F646" s="12"/>
      <c r="G646" s="158"/>
    </row>
    <row r="647">
      <c r="A647" s="153"/>
      <c r="B647" s="229"/>
      <c r="C647" s="230"/>
      <c r="D647" s="231"/>
      <c r="E647" s="157"/>
      <c r="F647" s="12"/>
      <c r="G647" s="158"/>
    </row>
    <row r="648">
      <c r="A648" s="153"/>
      <c r="B648" s="229"/>
      <c r="C648" s="230"/>
      <c r="D648" s="231"/>
      <c r="E648" s="157"/>
      <c r="F648" s="12"/>
      <c r="G648" s="158"/>
    </row>
    <row r="649">
      <c r="A649" s="153"/>
      <c r="B649" s="229"/>
      <c r="C649" s="230"/>
      <c r="D649" s="231"/>
      <c r="E649" s="157"/>
      <c r="F649" s="12"/>
      <c r="G649" s="158"/>
    </row>
    <row r="650">
      <c r="A650" s="153"/>
      <c r="B650" s="229"/>
      <c r="C650" s="230"/>
      <c r="D650" s="231"/>
      <c r="E650" s="157"/>
      <c r="F650" s="12"/>
      <c r="G650" s="158"/>
    </row>
    <row r="651">
      <c r="A651" s="153"/>
      <c r="B651" s="229"/>
      <c r="C651" s="230"/>
      <c r="D651" s="231"/>
      <c r="E651" s="157"/>
      <c r="F651" s="12"/>
      <c r="G651" s="158"/>
    </row>
    <row r="652">
      <c r="A652" s="153"/>
      <c r="B652" s="229"/>
      <c r="C652" s="230"/>
      <c r="D652" s="231"/>
      <c r="E652" s="157"/>
      <c r="F652" s="12"/>
      <c r="G652" s="158"/>
    </row>
    <row r="653">
      <c r="A653" s="153"/>
      <c r="B653" s="229"/>
      <c r="C653" s="230"/>
      <c r="D653" s="231"/>
      <c r="E653" s="157"/>
      <c r="F653" s="12"/>
      <c r="G653" s="158"/>
    </row>
    <row r="654">
      <c r="A654" s="153"/>
      <c r="B654" s="229"/>
      <c r="C654" s="230"/>
      <c r="D654" s="231"/>
      <c r="E654" s="157"/>
      <c r="F654" s="12"/>
      <c r="G654" s="158"/>
    </row>
    <row r="655">
      <c r="A655" s="153"/>
      <c r="B655" s="229"/>
      <c r="C655" s="230"/>
      <c r="D655" s="231"/>
      <c r="E655" s="157"/>
      <c r="F655" s="12"/>
      <c r="G655" s="158"/>
    </row>
    <row r="656">
      <c r="A656" s="153"/>
      <c r="B656" s="229"/>
      <c r="C656" s="230"/>
      <c r="D656" s="231"/>
      <c r="E656" s="157"/>
      <c r="F656" s="12"/>
      <c r="G656" s="158"/>
    </row>
    <row r="657">
      <c r="A657" s="153"/>
      <c r="B657" s="229"/>
      <c r="C657" s="230"/>
      <c r="D657" s="231"/>
      <c r="E657" s="157"/>
      <c r="F657" s="12"/>
      <c r="G657" s="158"/>
    </row>
    <row r="658">
      <c r="A658" s="153"/>
      <c r="B658" s="229"/>
      <c r="C658" s="230"/>
      <c r="D658" s="231"/>
      <c r="E658" s="157"/>
      <c r="F658" s="12"/>
      <c r="G658" s="158"/>
    </row>
    <row r="659">
      <c r="A659" s="153"/>
      <c r="B659" s="229"/>
      <c r="C659" s="230"/>
      <c r="D659" s="231"/>
      <c r="E659" s="157"/>
      <c r="F659" s="12"/>
      <c r="G659" s="158"/>
    </row>
    <row r="660">
      <c r="A660" s="153"/>
      <c r="B660" s="229"/>
      <c r="C660" s="230"/>
      <c r="D660" s="231"/>
      <c r="E660" s="157"/>
      <c r="F660" s="12"/>
      <c r="G660" s="158"/>
    </row>
    <row r="661">
      <c r="A661" s="153"/>
      <c r="B661" s="229"/>
      <c r="C661" s="230"/>
      <c r="D661" s="231"/>
      <c r="E661" s="157"/>
      <c r="F661" s="12"/>
      <c r="G661" s="158"/>
    </row>
    <row r="662">
      <c r="A662" s="153"/>
      <c r="B662" s="229"/>
      <c r="C662" s="230"/>
      <c r="D662" s="231"/>
      <c r="E662" s="157"/>
      <c r="F662" s="12"/>
      <c r="G662" s="158"/>
    </row>
    <row r="663">
      <c r="A663" s="153"/>
      <c r="B663" s="229"/>
      <c r="C663" s="230"/>
      <c r="D663" s="231"/>
      <c r="E663" s="157"/>
      <c r="F663" s="12"/>
      <c r="G663" s="158"/>
    </row>
    <row r="664">
      <c r="A664" s="153"/>
      <c r="B664" s="229"/>
      <c r="C664" s="230"/>
      <c r="D664" s="231"/>
      <c r="E664" s="157"/>
      <c r="F664" s="12"/>
      <c r="G664" s="158"/>
    </row>
    <row r="665">
      <c r="A665" s="153"/>
      <c r="B665" s="229"/>
      <c r="C665" s="230"/>
      <c r="D665" s="231"/>
      <c r="E665" s="157"/>
      <c r="F665" s="12"/>
      <c r="G665" s="158"/>
    </row>
    <row r="666">
      <c r="A666" s="153"/>
      <c r="B666" s="229"/>
      <c r="C666" s="230"/>
      <c r="D666" s="231"/>
      <c r="E666" s="157"/>
      <c r="F666" s="12"/>
      <c r="G666" s="158"/>
    </row>
    <row r="667">
      <c r="A667" s="153"/>
      <c r="B667" s="229"/>
      <c r="C667" s="230"/>
      <c r="D667" s="231"/>
      <c r="E667" s="157"/>
      <c r="F667" s="12"/>
      <c r="G667" s="158"/>
    </row>
    <row r="668">
      <c r="A668" s="153"/>
      <c r="B668" s="229"/>
      <c r="C668" s="230"/>
      <c r="D668" s="231"/>
      <c r="E668" s="157"/>
      <c r="F668" s="12"/>
      <c r="G668" s="158"/>
    </row>
    <row r="669">
      <c r="A669" s="153"/>
      <c r="B669" s="229"/>
      <c r="C669" s="230"/>
      <c r="D669" s="231"/>
      <c r="E669" s="157"/>
      <c r="F669" s="12"/>
      <c r="G669" s="158"/>
    </row>
    <row r="670">
      <c r="A670" s="153"/>
      <c r="B670" s="229"/>
      <c r="C670" s="230"/>
      <c r="D670" s="231"/>
      <c r="E670" s="157"/>
      <c r="F670" s="12"/>
      <c r="G670" s="158"/>
    </row>
    <row r="671">
      <c r="A671" s="153"/>
      <c r="B671" s="229"/>
      <c r="C671" s="230"/>
      <c r="D671" s="231"/>
      <c r="E671" s="157"/>
      <c r="F671" s="12"/>
      <c r="G671" s="158"/>
    </row>
    <row r="672">
      <c r="A672" s="153"/>
      <c r="B672" s="229"/>
      <c r="C672" s="230"/>
      <c r="D672" s="231"/>
      <c r="E672" s="157"/>
      <c r="F672" s="12"/>
      <c r="G672" s="158"/>
    </row>
    <row r="673">
      <c r="A673" s="153"/>
      <c r="B673" s="229"/>
      <c r="C673" s="230"/>
      <c r="D673" s="231"/>
      <c r="E673" s="157"/>
      <c r="F673" s="12"/>
      <c r="G673" s="158"/>
    </row>
    <row r="674">
      <c r="A674" s="153"/>
      <c r="B674" s="229"/>
      <c r="C674" s="230"/>
      <c r="D674" s="231"/>
      <c r="E674" s="157"/>
      <c r="F674" s="12"/>
      <c r="G674" s="158"/>
    </row>
    <row r="675">
      <c r="A675" s="153"/>
      <c r="B675" s="229"/>
      <c r="C675" s="230"/>
      <c r="D675" s="231"/>
      <c r="E675" s="157"/>
      <c r="F675" s="12"/>
      <c r="G675" s="158"/>
    </row>
    <row r="676">
      <c r="A676" s="153"/>
      <c r="B676" s="229"/>
      <c r="C676" s="230"/>
      <c r="D676" s="231"/>
      <c r="E676" s="157"/>
      <c r="F676" s="12"/>
      <c r="G676" s="158"/>
    </row>
    <row r="677">
      <c r="A677" s="153"/>
      <c r="B677" s="229"/>
      <c r="C677" s="230"/>
      <c r="D677" s="231"/>
      <c r="E677" s="157"/>
      <c r="F677" s="12"/>
      <c r="G677" s="158"/>
    </row>
    <row r="678">
      <c r="A678" s="153"/>
      <c r="B678" s="229"/>
      <c r="C678" s="230"/>
      <c r="D678" s="231"/>
      <c r="E678" s="157"/>
      <c r="F678" s="12"/>
      <c r="G678" s="158"/>
    </row>
    <row r="679">
      <c r="A679" s="153"/>
      <c r="B679" s="229"/>
      <c r="C679" s="230"/>
      <c r="D679" s="231"/>
      <c r="E679" s="157"/>
      <c r="F679" s="12"/>
      <c r="G679" s="158"/>
    </row>
    <row r="680">
      <c r="A680" s="153"/>
      <c r="B680" s="229"/>
      <c r="C680" s="230"/>
      <c r="D680" s="231"/>
      <c r="E680" s="157"/>
      <c r="F680" s="12"/>
      <c r="G680" s="158"/>
    </row>
    <row r="681">
      <c r="A681" s="153"/>
      <c r="B681" s="229"/>
      <c r="C681" s="230"/>
      <c r="D681" s="231"/>
      <c r="E681" s="157"/>
      <c r="F681" s="12"/>
      <c r="G681" s="158"/>
    </row>
    <row r="682">
      <c r="A682" s="153"/>
      <c r="B682" s="229"/>
      <c r="C682" s="230"/>
      <c r="D682" s="231"/>
      <c r="E682" s="157"/>
      <c r="F682" s="12"/>
      <c r="G682" s="158"/>
    </row>
    <row r="683">
      <c r="A683" s="153"/>
      <c r="B683" s="229"/>
      <c r="C683" s="230"/>
      <c r="D683" s="231"/>
      <c r="E683" s="157"/>
      <c r="F683" s="12"/>
      <c r="G683" s="158"/>
    </row>
    <row r="684">
      <c r="A684" s="153"/>
      <c r="B684" s="229"/>
      <c r="C684" s="230"/>
      <c r="D684" s="231"/>
      <c r="E684" s="157"/>
      <c r="F684" s="12"/>
      <c r="G684" s="158"/>
    </row>
    <row r="685">
      <c r="A685" s="153"/>
      <c r="B685" s="229"/>
      <c r="C685" s="230"/>
      <c r="D685" s="231"/>
      <c r="E685" s="157"/>
      <c r="F685" s="12"/>
      <c r="G685" s="158"/>
    </row>
    <row r="686">
      <c r="A686" s="153"/>
      <c r="B686" s="229"/>
      <c r="C686" s="230"/>
      <c r="D686" s="231"/>
      <c r="E686" s="157"/>
      <c r="F686" s="12"/>
      <c r="G686" s="158"/>
    </row>
    <row r="687">
      <c r="A687" s="153"/>
      <c r="B687" s="229"/>
      <c r="C687" s="230"/>
      <c r="D687" s="231"/>
      <c r="E687" s="157"/>
      <c r="F687" s="12"/>
      <c r="G687" s="158"/>
    </row>
    <row r="688">
      <c r="A688" s="153"/>
      <c r="B688" s="229"/>
      <c r="C688" s="230"/>
      <c r="D688" s="231"/>
      <c r="E688" s="157"/>
      <c r="F688" s="12"/>
      <c r="G688" s="158"/>
    </row>
    <row r="689">
      <c r="A689" s="153"/>
      <c r="B689" s="229"/>
      <c r="C689" s="230"/>
      <c r="D689" s="231"/>
      <c r="E689" s="157"/>
      <c r="F689" s="12"/>
      <c r="G689" s="158"/>
    </row>
    <row r="690">
      <c r="A690" s="153"/>
      <c r="B690" s="229"/>
      <c r="C690" s="230"/>
      <c r="D690" s="231"/>
      <c r="E690" s="157"/>
      <c r="F690" s="12"/>
      <c r="G690" s="158"/>
    </row>
    <row r="691">
      <c r="A691" s="153"/>
      <c r="B691" s="229"/>
      <c r="C691" s="230"/>
      <c r="D691" s="231"/>
      <c r="E691" s="157"/>
      <c r="F691" s="12"/>
      <c r="G691" s="158"/>
    </row>
    <row r="692">
      <c r="A692" s="153"/>
      <c r="B692" s="229"/>
      <c r="C692" s="230"/>
      <c r="D692" s="231"/>
      <c r="E692" s="157"/>
      <c r="F692" s="12"/>
      <c r="G692" s="158"/>
    </row>
    <row r="693">
      <c r="A693" s="153"/>
      <c r="B693" s="229"/>
      <c r="C693" s="230"/>
      <c r="D693" s="231"/>
      <c r="E693" s="157"/>
      <c r="F693" s="12"/>
      <c r="G693" s="158"/>
    </row>
    <row r="694">
      <c r="A694" s="153"/>
      <c r="B694" s="229"/>
      <c r="C694" s="230"/>
      <c r="D694" s="231"/>
      <c r="E694" s="157"/>
      <c r="F694" s="12"/>
      <c r="G694" s="158"/>
    </row>
    <row r="695">
      <c r="A695" s="153"/>
      <c r="B695" s="229"/>
      <c r="C695" s="230"/>
      <c r="D695" s="231"/>
      <c r="E695" s="157"/>
      <c r="F695" s="12"/>
      <c r="G695" s="158"/>
    </row>
    <row r="696">
      <c r="A696" s="153"/>
      <c r="B696" s="229"/>
      <c r="C696" s="230"/>
      <c r="D696" s="231"/>
      <c r="E696" s="157"/>
      <c r="F696" s="12"/>
      <c r="G696" s="158"/>
    </row>
    <row r="697">
      <c r="A697" s="153"/>
      <c r="B697" s="229"/>
      <c r="C697" s="230"/>
      <c r="D697" s="231"/>
      <c r="E697" s="157"/>
      <c r="F697" s="12"/>
      <c r="G697" s="158"/>
    </row>
    <row r="698">
      <c r="A698" s="153"/>
      <c r="B698" s="229"/>
      <c r="C698" s="230"/>
      <c r="D698" s="231"/>
      <c r="E698" s="157"/>
      <c r="F698" s="12"/>
      <c r="G698" s="158"/>
    </row>
    <row r="699">
      <c r="A699" s="153"/>
      <c r="B699" s="229"/>
      <c r="C699" s="230"/>
      <c r="D699" s="231"/>
      <c r="E699" s="157"/>
      <c r="F699" s="12"/>
      <c r="G699" s="158"/>
    </row>
    <row r="700">
      <c r="A700" s="153"/>
      <c r="B700" s="229"/>
      <c r="C700" s="230"/>
      <c r="D700" s="231"/>
      <c r="E700" s="157"/>
      <c r="F700" s="12"/>
      <c r="G700" s="158"/>
    </row>
    <row r="701">
      <c r="A701" s="153"/>
      <c r="B701" s="229"/>
      <c r="C701" s="230"/>
      <c r="D701" s="231"/>
      <c r="E701" s="157"/>
      <c r="F701" s="12"/>
      <c r="G701" s="158"/>
    </row>
    <row r="702">
      <c r="A702" s="153"/>
      <c r="B702" s="229"/>
      <c r="C702" s="230"/>
      <c r="D702" s="231"/>
      <c r="E702" s="157"/>
      <c r="F702" s="12"/>
      <c r="G702" s="158"/>
    </row>
    <row r="703">
      <c r="A703" s="153"/>
      <c r="B703" s="229"/>
      <c r="C703" s="230"/>
      <c r="D703" s="231"/>
      <c r="E703" s="157"/>
      <c r="F703" s="12"/>
      <c r="G703" s="158"/>
    </row>
    <row r="704">
      <c r="A704" s="153"/>
      <c r="B704" s="229"/>
      <c r="C704" s="230"/>
      <c r="D704" s="231"/>
      <c r="E704" s="157"/>
      <c r="F704" s="12"/>
      <c r="G704" s="158"/>
    </row>
    <row r="705">
      <c r="A705" s="153"/>
      <c r="B705" s="229"/>
      <c r="C705" s="230"/>
      <c r="D705" s="231"/>
      <c r="E705" s="157"/>
      <c r="F705" s="12"/>
      <c r="G705" s="158"/>
    </row>
    <row r="706">
      <c r="A706" s="153"/>
      <c r="B706" s="229"/>
      <c r="C706" s="230"/>
      <c r="D706" s="231"/>
      <c r="E706" s="157"/>
      <c r="F706" s="12"/>
      <c r="G706" s="158"/>
    </row>
    <row r="707">
      <c r="A707" s="153"/>
      <c r="B707" s="229"/>
      <c r="C707" s="230"/>
      <c r="D707" s="231"/>
      <c r="E707" s="157"/>
      <c r="F707" s="12"/>
      <c r="G707" s="158"/>
    </row>
    <row r="708">
      <c r="A708" s="153"/>
      <c r="B708" s="229"/>
      <c r="C708" s="230"/>
      <c r="D708" s="231"/>
      <c r="E708" s="157"/>
      <c r="F708" s="12"/>
      <c r="G708" s="158"/>
    </row>
    <row r="709">
      <c r="A709" s="153"/>
      <c r="B709" s="229"/>
      <c r="C709" s="230"/>
      <c r="D709" s="231"/>
      <c r="E709" s="157"/>
      <c r="F709" s="12"/>
      <c r="G709" s="158"/>
    </row>
    <row r="710">
      <c r="A710" s="153"/>
      <c r="B710" s="229"/>
      <c r="C710" s="230"/>
      <c r="D710" s="231"/>
      <c r="E710" s="157"/>
      <c r="F710" s="12"/>
      <c r="G710" s="158"/>
    </row>
    <row r="711">
      <c r="A711" s="153"/>
      <c r="B711" s="229"/>
      <c r="C711" s="230"/>
      <c r="D711" s="231"/>
      <c r="E711" s="157"/>
      <c r="F711" s="12"/>
      <c r="G711" s="158"/>
    </row>
    <row r="712">
      <c r="A712" s="153"/>
      <c r="B712" s="229"/>
      <c r="C712" s="230"/>
      <c r="D712" s="231"/>
      <c r="E712" s="157"/>
      <c r="F712" s="12"/>
      <c r="G712" s="158"/>
    </row>
    <row r="713">
      <c r="A713" s="153"/>
      <c r="B713" s="229"/>
      <c r="C713" s="230"/>
      <c r="D713" s="231"/>
      <c r="E713" s="157"/>
      <c r="F713" s="12"/>
      <c r="G713" s="158"/>
    </row>
    <row r="714">
      <c r="A714" s="153"/>
      <c r="B714" s="229"/>
      <c r="C714" s="230"/>
      <c r="D714" s="231"/>
      <c r="E714" s="157"/>
      <c r="F714" s="12"/>
      <c r="G714" s="158"/>
    </row>
    <row r="715">
      <c r="A715" s="153"/>
      <c r="B715" s="229"/>
      <c r="C715" s="230"/>
      <c r="D715" s="231"/>
      <c r="E715" s="157"/>
      <c r="F715" s="12"/>
      <c r="G715" s="158"/>
    </row>
    <row r="716">
      <c r="A716" s="153"/>
      <c r="B716" s="229"/>
      <c r="C716" s="230"/>
      <c r="D716" s="231"/>
      <c r="E716" s="157"/>
      <c r="F716" s="12"/>
      <c r="G716" s="158"/>
    </row>
    <row r="717">
      <c r="A717" s="153"/>
      <c r="B717" s="229"/>
      <c r="C717" s="230"/>
      <c r="D717" s="231"/>
      <c r="E717" s="157"/>
      <c r="F717" s="12"/>
      <c r="G717" s="158"/>
    </row>
    <row r="718">
      <c r="A718" s="153"/>
      <c r="B718" s="229"/>
      <c r="C718" s="230"/>
      <c r="D718" s="231"/>
      <c r="E718" s="157"/>
      <c r="F718" s="12"/>
      <c r="G718" s="158"/>
    </row>
    <row r="719">
      <c r="A719" s="153"/>
      <c r="B719" s="229"/>
      <c r="C719" s="230"/>
      <c r="D719" s="231"/>
      <c r="E719" s="157"/>
      <c r="F719" s="12"/>
      <c r="G719" s="158"/>
    </row>
    <row r="720">
      <c r="A720" s="153"/>
      <c r="B720" s="229"/>
      <c r="C720" s="230"/>
      <c r="D720" s="231"/>
      <c r="E720" s="157"/>
      <c r="F720" s="12"/>
      <c r="G720" s="158"/>
    </row>
    <row r="721">
      <c r="A721" s="153"/>
      <c r="B721" s="229"/>
      <c r="C721" s="230"/>
      <c r="D721" s="231"/>
      <c r="E721" s="157"/>
      <c r="F721" s="12"/>
      <c r="G721" s="158"/>
    </row>
    <row r="722">
      <c r="A722" s="153"/>
      <c r="B722" s="229"/>
      <c r="C722" s="230"/>
      <c r="D722" s="231"/>
      <c r="E722" s="157"/>
      <c r="F722" s="12"/>
      <c r="G722" s="158"/>
    </row>
    <row r="723">
      <c r="A723" s="153"/>
      <c r="B723" s="229"/>
      <c r="C723" s="230"/>
      <c r="D723" s="231"/>
      <c r="E723" s="157"/>
      <c r="F723" s="12"/>
      <c r="G723" s="158"/>
    </row>
    <row r="724">
      <c r="A724" s="153"/>
      <c r="B724" s="229"/>
      <c r="C724" s="230"/>
      <c r="D724" s="231"/>
      <c r="E724" s="157"/>
      <c r="F724" s="12"/>
      <c r="G724" s="158"/>
    </row>
    <row r="725">
      <c r="A725" s="153"/>
      <c r="B725" s="229"/>
      <c r="C725" s="230"/>
      <c r="D725" s="231"/>
      <c r="E725" s="157"/>
      <c r="F725" s="12"/>
      <c r="G725" s="158"/>
    </row>
    <row r="726">
      <c r="A726" s="153"/>
      <c r="B726" s="229"/>
      <c r="C726" s="230"/>
      <c r="D726" s="231"/>
      <c r="E726" s="157"/>
      <c r="F726" s="12"/>
      <c r="G726" s="158"/>
    </row>
    <row r="727">
      <c r="A727" s="153"/>
      <c r="B727" s="229"/>
      <c r="C727" s="230"/>
      <c r="D727" s="231"/>
      <c r="E727" s="157"/>
      <c r="F727" s="12"/>
      <c r="G727" s="158"/>
    </row>
    <row r="728">
      <c r="A728" s="153"/>
      <c r="B728" s="229"/>
      <c r="C728" s="230"/>
      <c r="D728" s="231"/>
      <c r="E728" s="157"/>
      <c r="F728" s="12"/>
      <c r="G728" s="158"/>
    </row>
    <row r="729">
      <c r="A729" s="153"/>
      <c r="B729" s="229"/>
      <c r="C729" s="230"/>
      <c r="D729" s="231"/>
      <c r="E729" s="157"/>
      <c r="F729" s="12"/>
      <c r="G729" s="158"/>
    </row>
    <row r="730">
      <c r="A730" s="153"/>
      <c r="B730" s="229"/>
      <c r="C730" s="230"/>
      <c r="D730" s="231"/>
      <c r="E730" s="157"/>
      <c r="F730" s="12"/>
      <c r="G730" s="158"/>
    </row>
    <row r="731">
      <c r="A731" s="153"/>
      <c r="B731" s="229"/>
      <c r="C731" s="230"/>
      <c r="D731" s="231"/>
      <c r="E731" s="157"/>
      <c r="F731" s="12"/>
      <c r="G731" s="158"/>
    </row>
    <row r="732">
      <c r="A732" s="153"/>
      <c r="B732" s="229"/>
      <c r="C732" s="230"/>
      <c r="D732" s="231"/>
      <c r="E732" s="157"/>
      <c r="F732" s="12"/>
      <c r="G732" s="158"/>
    </row>
    <row r="733">
      <c r="A733" s="153"/>
      <c r="B733" s="229"/>
      <c r="C733" s="230"/>
      <c r="D733" s="231"/>
      <c r="E733" s="157"/>
      <c r="F733" s="12"/>
      <c r="G733" s="158"/>
    </row>
    <row r="734">
      <c r="A734" s="153"/>
      <c r="B734" s="229"/>
      <c r="C734" s="230"/>
      <c r="D734" s="231"/>
      <c r="E734" s="157"/>
      <c r="F734" s="12"/>
      <c r="G734" s="158"/>
    </row>
    <row r="735">
      <c r="A735" s="153"/>
      <c r="B735" s="229"/>
      <c r="C735" s="230"/>
      <c r="D735" s="231"/>
      <c r="E735" s="157"/>
      <c r="F735" s="12"/>
      <c r="G735" s="158"/>
    </row>
    <row r="736">
      <c r="A736" s="153"/>
      <c r="B736" s="229"/>
      <c r="C736" s="230"/>
      <c r="D736" s="231"/>
      <c r="E736" s="157"/>
      <c r="F736" s="12"/>
      <c r="G736" s="158"/>
    </row>
    <row r="737">
      <c r="A737" s="153"/>
      <c r="B737" s="229"/>
      <c r="C737" s="230"/>
      <c r="D737" s="231"/>
      <c r="E737" s="157"/>
      <c r="F737" s="12"/>
      <c r="G737" s="158"/>
    </row>
    <row r="738">
      <c r="A738" s="153"/>
      <c r="B738" s="229"/>
      <c r="C738" s="230"/>
      <c r="D738" s="231"/>
      <c r="E738" s="157"/>
      <c r="F738" s="12"/>
      <c r="G738" s="158"/>
    </row>
    <row r="739">
      <c r="A739" s="153"/>
      <c r="B739" s="229"/>
      <c r="C739" s="230"/>
      <c r="D739" s="231"/>
      <c r="E739" s="157"/>
      <c r="F739" s="12"/>
      <c r="G739" s="158"/>
    </row>
    <row r="740">
      <c r="A740" s="153"/>
      <c r="B740" s="229"/>
      <c r="C740" s="230"/>
      <c r="D740" s="231"/>
      <c r="E740" s="157"/>
      <c r="F740" s="12"/>
      <c r="G740" s="158"/>
    </row>
    <row r="741">
      <c r="A741" s="153"/>
      <c r="B741" s="229"/>
      <c r="C741" s="230"/>
      <c r="D741" s="231"/>
      <c r="E741" s="157"/>
      <c r="F741" s="12"/>
      <c r="G741" s="158"/>
    </row>
    <row r="742">
      <c r="A742" s="153"/>
      <c r="B742" s="229"/>
      <c r="C742" s="230"/>
      <c r="D742" s="231"/>
      <c r="E742" s="157"/>
      <c r="F742" s="12"/>
      <c r="G742" s="158"/>
    </row>
    <row r="743">
      <c r="A743" s="153"/>
      <c r="B743" s="229"/>
      <c r="C743" s="230"/>
      <c r="D743" s="231"/>
      <c r="E743" s="157"/>
      <c r="F743" s="12"/>
      <c r="G743" s="158"/>
    </row>
    <row r="744">
      <c r="A744" s="153"/>
      <c r="B744" s="229"/>
      <c r="C744" s="230"/>
      <c r="D744" s="231"/>
      <c r="E744" s="157"/>
      <c r="F744" s="12"/>
      <c r="G744" s="158"/>
    </row>
    <row r="745">
      <c r="A745" s="153"/>
      <c r="B745" s="229"/>
      <c r="C745" s="230"/>
      <c r="D745" s="231"/>
      <c r="E745" s="157"/>
      <c r="F745" s="12"/>
      <c r="G745" s="158"/>
    </row>
    <row r="746">
      <c r="A746" s="153"/>
      <c r="B746" s="229"/>
      <c r="C746" s="230"/>
      <c r="D746" s="231"/>
      <c r="E746" s="157"/>
      <c r="F746" s="12"/>
      <c r="G746" s="158"/>
    </row>
    <row r="747">
      <c r="A747" s="153"/>
      <c r="B747" s="229"/>
      <c r="C747" s="230"/>
      <c r="D747" s="231"/>
      <c r="E747" s="157"/>
      <c r="F747" s="12"/>
      <c r="G747" s="158"/>
    </row>
    <row r="748">
      <c r="A748" s="153"/>
      <c r="B748" s="229"/>
      <c r="C748" s="230"/>
      <c r="D748" s="231"/>
      <c r="E748" s="157"/>
      <c r="F748" s="12"/>
      <c r="G748" s="158"/>
    </row>
    <row r="749">
      <c r="A749" s="153"/>
      <c r="B749" s="229"/>
      <c r="C749" s="230"/>
      <c r="D749" s="231"/>
      <c r="E749" s="157"/>
      <c r="F749" s="12"/>
      <c r="G749" s="158"/>
    </row>
    <row r="750">
      <c r="A750" s="153"/>
      <c r="B750" s="229"/>
      <c r="C750" s="230"/>
      <c r="D750" s="231"/>
      <c r="E750" s="157"/>
      <c r="F750" s="12"/>
      <c r="G750" s="158"/>
    </row>
    <row r="751">
      <c r="A751" s="153"/>
      <c r="B751" s="229"/>
      <c r="C751" s="230"/>
      <c r="D751" s="231"/>
      <c r="E751" s="157"/>
      <c r="F751" s="12"/>
      <c r="G751" s="158"/>
    </row>
    <row r="752">
      <c r="A752" s="153"/>
      <c r="B752" s="229"/>
      <c r="C752" s="230"/>
      <c r="D752" s="231"/>
      <c r="E752" s="157"/>
      <c r="F752" s="12"/>
      <c r="G752" s="158"/>
    </row>
    <row r="753">
      <c r="A753" s="153"/>
      <c r="B753" s="229"/>
      <c r="C753" s="230"/>
      <c r="D753" s="231"/>
      <c r="E753" s="157"/>
      <c r="F753" s="12"/>
      <c r="G753" s="158"/>
    </row>
    <row r="754">
      <c r="A754" s="153"/>
      <c r="B754" s="229"/>
      <c r="C754" s="230"/>
      <c r="D754" s="231"/>
      <c r="E754" s="157"/>
      <c r="F754" s="12"/>
      <c r="G754" s="158"/>
    </row>
    <row r="755">
      <c r="A755" s="153"/>
      <c r="B755" s="229"/>
      <c r="C755" s="230"/>
      <c r="D755" s="231"/>
      <c r="E755" s="157"/>
      <c r="F755" s="12"/>
      <c r="G755" s="158"/>
    </row>
    <row r="756">
      <c r="A756" s="153"/>
      <c r="B756" s="229"/>
      <c r="C756" s="230"/>
      <c r="D756" s="231"/>
      <c r="E756" s="157"/>
      <c r="F756" s="12"/>
      <c r="G756" s="158"/>
    </row>
    <row r="757">
      <c r="A757" s="153"/>
      <c r="B757" s="229"/>
      <c r="C757" s="230"/>
      <c r="D757" s="231"/>
      <c r="E757" s="157"/>
      <c r="F757" s="12"/>
      <c r="G757" s="158"/>
    </row>
    <row r="758">
      <c r="A758" s="153"/>
      <c r="B758" s="229"/>
      <c r="C758" s="230"/>
      <c r="D758" s="231"/>
      <c r="E758" s="157"/>
      <c r="F758" s="12"/>
      <c r="G758" s="158"/>
    </row>
    <row r="759">
      <c r="A759" s="153"/>
      <c r="B759" s="229"/>
      <c r="C759" s="230"/>
      <c r="D759" s="231"/>
      <c r="E759" s="157"/>
      <c r="F759" s="12"/>
      <c r="G759" s="158"/>
    </row>
    <row r="760">
      <c r="A760" s="153"/>
      <c r="B760" s="229"/>
      <c r="C760" s="230"/>
      <c r="D760" s="231"/>
      <c r="E760" s="157"/>
      <c r="F760" s="12"/>
      <c r="G760" s="158"/>
    </row>
    <row r="761">
      <c r="A761" s="153"/>
      <c r="B761" s="229"/>
      <c r="C761" s="230"/>
      <c r="D761" s="231"/>
      <c r="E761" s="157"/>
      <c r="F761" s="12"/>
      <c r="G761" s="158"/>
    </row>
    <row r="762">
      <c r="A762" s="153"/>
      <c r="B762" s="229"/>
      <c r="C762" s="230"/>
      <c r="D762" s="231"/>
      <c r="E762" s="157"/>
      <c r="F762" s="12"/>
      <c r="G762" s="158"/>
    </row>
    <row r="763">
      <c r="A763" s="153"/>
      <c r="B763" s="229"/>
      <c r="C763" s="230"/>
      <c r="D763" s="231"/>
      <c r="E763" s="157"/>
      <c r="F763" s="12"/>
      <c r="G763" s="158"/>
    </row>
    <row r="764">
      <c r="A764" s="153"/>
      <c r="B764" s="229"/>
      <c r="C764" s="230"/>
      <c r="D764" s="231"/>
      <c r="E764" s="157"/>
      <c r="F764" s="12"/>
      <c r="G764" s="158"/>
    </row>
    <row r="765">
      <c r="A765" s="153"/>
      <c r="B765" s="229"/>
      <c r="C765" s="230"/>
      <c r="D765" s="231"/>
      <c r="E765" s="157"/>
      <c r="F765" s="12"/>
      <c r="G765" s="158"/>
    </row>
    <row r="766">
      <c r="A766" s="153"/>
      <c r="B766" s="229"/>
      <c r="C766" s="230"/>
      <c r="D766" s="231"/>
      <c r="E766" s="157"/>
      <c r="F766" s="12"/>
      <c r="G766" s="158"/>
    </row>
    <row r="767">
      <c r="A767" s="153"/>
      <c r="B767" s="229"/>
      <c r="C767" s="230"/>
      <c r="D767" s="231"/>
      <c r="E767" s="157"/>
      <c r="F767" s="12"/>
      <c r="G767" s="158"/>
    </row>
    <row r="768">
      <c r="A768" s="153"/>
      <c r="B768" s="229"/>
      <c r="C768" s="230"/>
      <c r="D768" s="231"/>
      <c r="E768" s="157"/>
      <c r="F768" s="12"/>
      <c r="G768" s="158"/>
    </row>
    <row r="769">
      <c r="A769" s="153"/>
      <c r="B769" s="229"/>
      <c r="C769" s="230"/>
      <c r="D769" s="231"/>
      <c r="E769" s="157"/>
      <c r="F769" s="12"/>
      <c r="G769" s="158"/>
    </row>
    <row r="770">
      <c r="A770" s="153"/>
      <c r="B770" s="229"/>
      <c r="C770" s="230"/>
      <c r="D770" s="231"/>
      <c r="E770" s="157"/>
      <c r="F770" s="12"/>
      <c r="G770" s="158"/>
    </row>
    <row r="771">
      <c r="A771" s="153"/>
      <c r="B771" s="229"/>
      <c r="C771" s="230"/>
      <c r="D771" s="231"/>
      <c r="E771" s="157"/>
      <c r="F771" s="12"/>
      <c r="G771" s="158"/>
    </row>
    <row r="772">
      <c r="A772" s="153"/>
      <c r="B772" s="229"/>
      <c r="C772" s="230"/>
      <c r="D772" s="231"/>
      <c r="E772" s="157"/>
      <c r="F772" s="12"/>
      <c r="G772" s="158"/>
    </row>
    <row r="773">
      <c r="A773" s="153"/>
      <c r="B773" s="229"/>
      <c r="C773" s="230"/>
      <c r="D773" s="231"/>
      <c r="E773" s="157"/>
      <c r="F773" s="12"/>
      <c r="G773" s="158"/>
    </row>
    <row r="774">
      <c r="A774" s="153"/>
      <c r="B774" s="229"/>
      <c r="C774" s="230"/>
      <c r="D774" s="231"/>
      <c r="E774" s="157"/>
      <c r="F774" s="12"/>
      <c r="G774" s="158"/>
    </row>
    <row r="775">
      <c r="A775" s="153"/>
      <c r="B775" s="229"/>
      <c r="C775" s="230"/>
      <c r="D775" s="231"/>
      <c r="E775" s="157"/>
      <c r="F775" s="12"/>
      <c r="G775" s="158"/>
    </row>
    <row r="776">
      <c r="A776" s="153"/>
      <c r="B776" s="229"/>
      <c r="C776" s="230"/>
      <c r="D776" s="231"/>
      <c r="E776" s="157"/>
      <c r="F776" s="12"/>
      <c r="G776" s="158"/>
    </row>
    <row r="777">
      <c r="A777" s="153"/>
      <c r="B777" s="229"/>
      <c r="C777" s="230"/>
      <c r="D777" s="231"/>
      <c r="E777" s="157"/>
      <c r="F777" s="12"/>
      <c r="G777" s="158"/>
    </row>
    <row r="778">
      <c r="A778" s="153"/>
      <c r="B778" s="229"/>
      <c r="C778" s="230"/>
      <c r="D778" s="231"/>
      <c r="E778" s="157"/>
      <c r="F778" s="12"/>
      <c r="G778" s="158"/>
    </row>
    <row r="779">
      <c r="A779" s="153"/>
      <c r="B779" s="229"/>
      <c r="C779" s="230"/>
      <c r="D779" s="231"/>
      <c r="E779" s="157"/>
      <c r="F779" s="12"/>
      <c r="G779" s="158"/>
    </row>
    <row r="780">
      <c r="A780" s="153"/>
      <c r="B780" s="229"/>
      <c r="C780" s="230"/>
      <c r="D780" s="231"/>
      <c r="E780" s="157"/>
      <c r="F780" s="12"/>
      <c r="G780" s="158"/>
    </row>
    <row r="781">
      <c r="A781" s="153"/>
      <c r="B781" s="229"/>
      <c r="C781" s="230"/>
      <c r="D781" s="231"/>
      <c r="E781" s="157"/>
      <c r="F781" s="12"/>
      <c r="G781" s="158"/>
    </row>
    <row r="782">
      <c r="A782" s="153"/>
      <c r="B782" s="229"/>
      <c r="C782" s="230"/>
      <c r="D782" s="231"/>
      <c r="E782" s="157"/>
      <c r="F782" s="12"/>
      <c r="G782" s="158"/>
    </row>
    <row r="783">
      <c r="A783" s="153"/>
      <c r="B783" s="229"/>
      <c r="C783" s="230"/>
      <c r="D783" s="231"/>
      <c r="E783" s="157"/>
      <c r="F783" s="12"/>
      <c r="G783" s="158"/>
    </row>
    <row r="784">
      <c r="A784" s="153"/>
      <c r="B784" s="229"/>
      <c r="C784" s="230"/>
      <c r="D784" s="231"/>
      <c r="E784" s="157"/>
      <c r="F784" s="12"/>
      <c r="G784" s="158"/>
    </row>
    <row r="785">
      <c r="A785" s="153"/>
      <c r="B785" s="229"/>
      <c r="C785" s="230"/>
      <c r="D785" s="231"/>
      <c r="E785" s="157"/>
      <c r="F785" s="12"/>
      <c r="G785" s="158"/>
    </row>
    <row r="786">
      <c r="A786" s="153"/>
      <c r="B786" s="229"/>
      <c r="C786" s="230"/>
      <c r="D786" s="231"/>
      <c r="E786" s="157"/>
      <c r="F786" s="12"/>
      <c r="G786" s="158"/>
    </row>
    <row r="787">
      <c r="A787" s="153"/>
      <c r="B787" s="229"/>
      <c r="C787" s="230"/>
      <c r="D787" s="231"/>
      <c r="E787" s="157"/>
      <c r="F787" s="12"/>
      <c r="G787" s="158"/>
    </row>
    <row r="788">
      <c r="A788" s="153"/>
      <c r="B788" s="229"/>
      <c r="C788" s="230"/>
      <c r="D788" s="231"/>
      <c r="E788" s="157"/>
      <c r="F788" s="12"/>
      <c r="G788" s="158"/>
    </row>
    <row r="789">
      <c r="A789" s="153"/>
      <c r="B789" s="229"/>
      <c r="C789" s="230"/>
      <c r="D789" s="231"/>
      <c r="E789" s="157"/>
      <c r="F789" s="12"/>
      <c r="G789" s="158"/>
    </row>
    <row r="790">
      <c r="A790" s="153"/>
      <c r="B790" s="229"/>
      <c r="C790" s="230"/>
      <c r="D790" s="231"/>
      <c r="E790" s="157"/>
      <c r="F790" s="12"/>
      <c r="G790" s="158"/>
    </row>
    <row r="791">
      <c r="A791" s="153"/>
      <c r="B791" s="229"/>
      <c r="C791" s="230"/>
      <c r="D791" s="231"/>
      <c r="E791" s="157"/>
      <c r="F791" s="12"/>
      <c r="G791" s="158"/>
    </row>
    <row r="792">
      <c r="A792" s="153"/>
      <c r="B792" s="229"/>
      <c r="C792" s="230"/>
      <c r="D792" s="231"/>
      <c r="E792" s="157"/>
      <c r="F792" s="12"/>
      <c r="G792" s="158"/>
    </row>
    <row r="793">
      <c r="A793" s="153"/>
      <c r="B793" s="229"/>
      <c r="C793" s="230"/>
      <c r="D793" s="231"/>
      <c r="E793" s="157"/>
      <c r="F793" s="12"/>
      <c r="G793" s="158"/>
    </row>
    <row r="794">
      <c r="A794" s="153"/>
      <c r="B794" s="229"/>
      <c r="C794" s="230"/>
      <c r="D794" s="231"/>
      <c r="E794" s="157"/>
      <c r="F794" s="12"/>
      <c r="G794" s="158"/>
    </row>
    <row r="795">
      <c r="A795" s="153"/>
      <c r="B795" s="229"/>
      <c r="C795" s="230"/>
      <c r="D795" s="231"/>
      <c r="E795" s="157"/>
      <c r="F795" s="12"/>
      <c r="G795" s="158"/>
    </row>
    <row r="796">
      <c r="A796" s="153"/>
      <c r="B796" s="229"/>
      <c r="C796" s="230"/>
      <c r="D796" s="231"/>
      <c r="E796" s="157"/>
      <c r="F796" s="12"/>
      <c r="G796" s="158"/>
    </row>
    <row r="797">
      <c r="A797" s="153"/>
      <c r="B797" s="229"/>
      <c r="C797" s="230"/>
      <c r="D797" s="231"/>
      <c r="E797" s="157"/>
      <c r="F797" s="12"/>
      <c r="G797" s="158"/>
    </row>
    <row r="798">
      <c r="A798" s="153"/>
      <c r="B798" s="229"/>
      <c r="C798" s="230"/>
      <c r="D798" s="231"/>
      <c r="E798" s="157"/>
      <c r="F798" s="12"/>
      <c r="G798" s="158"/>
    </row>
    <row r="799">
      <c r="A799" s="153"/>
      <c r="B799" s="229"/>
      <c r="C799" s="230"/>
      <c r="D799" s="231"/>
      <c r="E799" s="157"/>
      <c r="F799" s="12"/>
      <c r="G799" s="158"/>
    </row>
    <row r="800">
      <c r="A800" s="153"/>
      <c r="B800" s="229"/>
      <c r="C800" s="230"/>
      <c r="D800" s="231"/>
      <c r="E800" s="157"/>
      <c r="F800" s="12"/>
      <c r="G800" s="158"/>
    </row>
    <row r="801">
      <c r="A801" s="153"/>
      <c r="B801" s="229"/>
      <c r="C801" s="230"/>
      <c r="D801" s="231"/>
      <c r="E801" s="157"/>
      <c r="F801" s="12"/>
      <c r="G801" s="158"/>
    </row>
    <row r="802">
      <c r="A802" s="153"/>
      <c r="B802" s="229"/>
      <c r="C802" s="230"/>
      <c r="D802" s="231"/>
      <c r="E802" s="157"/>
      <c r="F802" s="12"/>
      <c r="G802" s="158"/>
    </row>
    <row r="803">
      <c r="A803" s="153"/>
      <c r="B803" s="229"/>
      <c r="C803" s="230"/>
      <c r="D803" s="231"/>
      <c r="E803" s="157"/>
      <c r="F803" s="12"/>
      <c r="G803" s="158"/>
    </row>
    <row r="804">
      <c r="A804" s="153"/>
      <c r="B804" s="229"/>
      <c r="C804" s="230"/>
      <c r="D804" s="231"/>
      <c r="E804" s="157"/>
      <c r="F804" s="12"/>
      <c r="G804" s="158"/>
    </row>
    <row r="805">
      <c r="A805" s="153"/>
      <c r="B805" s="229"/>
      <c r="C805" s="230"/>
      <c r="D805" s="231"/>
      <c r="E805" s="157"/>
      <c r="F805" s="12"/>
      <c r="G805" s="158"/>
    </row>
    <row r="806">
      <c r="A806" s="153"/>
      <c r="B806" s="229"/>
      <c r="C806" s="230"/>
      <c r="D806" s="231"/>
      <c r="E806" s="157"/>
      <c r="F806" s="12"/>
      <c r="G806" s="158"/>
    </row>
    <row r="807">
      <c r="A807" s="153"/>
      <c r="B807" s="229"/>
      <c r="C807" s="230"/>
      <c r="D807" s="231"/>
      <c r="E807" s="157"/>
      <c r="F807" s="12"/>
      <c r="G807" s="158"/>
    </row>
    <row r="808">
      <c r="A808" s="153"/>
      <c r="B808" s="229"/>
      <c r="C808" s="230"/>
      <c r="D808" s="231"/>
      <c r="E808" s="157"/>
      <c r="F808" s="12"/>
      <c r="G808" s="158"/>
    </row>
    <row r="809">
      <c r="A809" s="153"/>
      <c r="B809" s="229"/>
      <c r="C809" s="230"/>
      <c r="D809" s="231"/>
      <c r="E809" s="157"/>
      <c r="F809" s="12"/>
      <c r="G809" s="158"/>
    </row>
    <row r="810">
      <c r="A810" s="153"/>
      <c r="B810" s="229"/>
      <c r="C810" s="230"/>
      <c r="D810" s="231"/>
      <c r="E810" s="157"/>
      <c r="F810" s="12"/>
      <c r="G810" s="158"/>
    </row>
    <row r="811">
      <c r="A811" s="153"/>
      <c r="B811" s="229"/>
      <c r="C811" s="230"/>
      <c r="D811" s="231"/>
      <c r="E811" s="157"/>
      <c r="F811" s="12"/>
      <c r="G811" s="158"/>
    </row>
    <row r="812">
      <c r="A812" s="153"/>
      <c r="B812" s="229"/>
      <c r="C812" s="230"/>
      <c r="D812" s="231"/>
      <c r="E812" s="157"/>
      <c r="F812" s="12"/>
      <c r="G812" s="158"/>
    </row>
    <row r="813">
      <c r="A813" s="153"/>
      <c r="B813" s="229"/>
      <c r="C813" s="230"/>
      <c r="D813" s="231"/>
      <c r="E813" s="157"/>
      <c r="F813" s="12"/>
      <c r="G813" s="158"/>
    </row>
    <row r="814">
      <c r="A814" s="153"/>
      <c r="B814" s="229"/>
      <c r="C814" s="230"/>
      <c r="D814" s="231"/>
      <c r="E814" s="157"/>
      <c r="F814" s="12"/>
      <c r="G814" s="158"/>
    </row>
    <row r="815">
      <c r="A815" s="153"/>
      <c r="B815" s="229"/>
      <c r="C815" s="230"/>
      <c r="D815" s="231"/>
      <c r="E815" s="157"/>
      <c r="F815" s="12"/>
      <c r="G815" s="158"/>
    </row>
    <row r="816">
      <c r="A816" s="153"/>
      <c r="B816" s="229"/>
      <c r="C816" s="230"/>
      <c r="D816" s="231"/>
      <c r="E816" s="157"/>
      <c r="F816" s="12"/>
      <c r="G816" s="158"/>
    </row>
    <row r="817">
      <c r="A817" s="153"/>
      <c r="B817" s="229"/>
      <c r="C817" s="230"/>
      <c r="D817" s="231"/>
      <c r="E817" s="157"/>
      <c r="F817" s="12"/>
      <c r="G817" s="158"/>
    </row>
    <row r="818">
      <c r="A818" s="153"/>
      <c r="B818" s="229"/>
      <c r="C818" s="230"/>
      <c r="D818" s="231"/>
      <c r="E818" s="157"/>
      <c r="F818" s="12"/>
      <c r="G818" s="158"/>
    </row>
    <row r="819">
      <c r="A819" s="153"/>
      <c r="B819" s="229"/>
      <c r="C819" s="230"/>
      <c r="D819" s="231"/>
      <c r="E819" s="157"/>
      <c r="F819" s="12"/>
      <c r="G819" s="158"/>
    </row>
    <row r="820">
      <c r="A820" s="153"/>
      <c r="B820" s="229"/>
      <c r="C820" s="230"/>
      <c r="D820" s="231"/>
      <c r="E820" s="157"/>
      <c r="F820" s="12"/>
      <c r="G820" s="158"/>
    </row>
    <row r="821">
      <c r="A821" s="153"/>
      <c r="B821" s="229"/>
      <c r="C821" s="230"/>
      <c r="D821" s="231"/>
      <c r="E821" s="157"/>
      <c r="F821" s="12"/>
      <c r="G821" s="158"/>
    </row>
    <row r="822">
      <c r="A822" s="153"/>
      <c r="B822" s="229"/>
      <c r="C822" s="230"/>
      <c r="D822" s="231"/>
      <c r="E822" s="157"/>
      <c r="F822" s="12"/>
      <c r="G822" s="158"/>
    </row>
    <row r="823">
      <c r="A823" s="153"/>
      <c r="B823" s="229"/>
      <c r="C823" s="230"/>
      <c r="D823" s="231"/>
      <c r="E823" s="157"/>
      <c r="F823" s="12"/>
      <c r="G823" s="158"/>
    </row>
    <row r="824">
      <c r="A824" s="153"/>
      <c r="B824" s="229"/>
      <c r="C824" s="230"/>
      <c r="D824" s="231"/>
      <c r="E824" s="157"/>
      <c r="F824" s="12"/>
      <c r="G824" s="158"/>
    </row>
    <row r="825">
      <c r="A825" s="153"/>
      <c r="B825" s="229"/>
      <c r="C825" s="230"/>
      <c r="D825" s="231"/>
      <c r="E825" s="157"/>
      <c r="F825" s="12"/>
      <c r="G825" s="158"/>
    </row>
    <row r="826">
      <c r="A826" s="153"/>
      <c r="B826" s="229"/>
      <c r="C826" s="230"/>
      <c r="D826" s="231"/>
      <c r="E826" s="157"/>
      <c r="F826" s="12"/>
      <c r="G826" s="158"/>
    </row>
    <row r="827">
      <c r="A827" s="153"/>
      <c r="B827" s="229"/>
      <c r="C827" s="230"/>
      <c r="D827" s="231"/>
      <c r="E827" s="157"/>
      <c r="F827" s="12"/>
      <c r="G827" s="158"/>
    </row>
    <row r="828">
      <c r="A828" s="153"/>
      <c r="B828" s="229"/>
      <c r="C828" s="230"/>
      <c r="D828" s="231"/>
      <c r="E828" s="157"/>
      <c r="F828" s="12"/>
      <c r="G828" s="158"/>
    </row>
    <row r="829">
      <c r="A829" s="153"/>
      <c r="B829" s="229"/>
      <c r="C829" s="230"/>
      <c r="D829" s="231"/>
      <c r="E829" s="157"/>
      <c r="F829" s="12"/>
      <c r="G829" s="158"/>
    </row>
    <row r="830">
      <c r="A830" s="153"/>
      <c r="B830" s="229"/>
      <c r="C830" s="230"/>
      <c r="D830" s="231"/>
      <c r="E830" s="157"/>
      <c r="F830" s="12"/>
      <c r="G830" s="158"/>
    </row>
    <row r="831">
      <c r="A831" s="153"/>
      <c r="B831" s="229"/>
      <c r="C831" s="230"/>
      <c r="D831" s="231"/>
      <c r="E831" s="157"/>
      <c r="F831" s="12"/>
      <c r="G831" s="158"/>
    </row>
    <row r="832">
      <c r="A832" s="153"/>
      <c r="B832" s="229"/>
      <c r="C832" s="230"/>
      <c r="D832" s="231"/>
      <c r="E832" s="157"/>
      <c r="F832" s="12"/>
      <c r="G832" s="158"/>
    </row>
    <row r="833">
      <c r="A833" s="153"/>
      <c r="B833" s="229"/>
      <c r="C833" s="230"/>
      <c r="D833" s="231"/>
      <c r="E833" s="157"/>
      <c r="F833" s="12"/>
      <c r="G833" s="158"/>
    </row>
    <row r="834">
      <c r="A834" s="153"/>
      <c r="B834" s="229"/>
      <c r="C834" s="230"/>
      <c r="D834" s="231"/>
      <c r="E834" s="157"/>
      <c r="F834" s="12"/>
      <c r="G834" s="158"/>
    </row>
    <row r="835">
      <c r="A835" s="153"/>
      <c r="B835" s="229"/>
      <c r="C835" s="230"/>
      <c r="D835" s="231"/>
      <c r="E835" s="157"/>
      <c r="F835" s="12"/>
      <c r="G835" s="158"/>
    </row>
    <row r="836">
      <c r="A836" s="153"/>
      <c r="B836" s="229"/>
      <c r="C836" s="230"/>
      <c r="D836" s="231"/>
      <c r="E836" s="157"/>
      <c r="F836" s="12"/>
      <c r="G836" s="158"/>
    </row>
    <row r="837">
      <c r="A837" s="153"/>
      <c r="B837" s="229"/>
      <c r="C837" s="230"/>
      <c r="D837" s="231"/>
      <c r="E837" s="157"/>
      <c r="F837" s="12"/>
      <c r="G837" s="158"/>
    </row>
    <row r="838">
      <c r="A838" s="153"/>
      <c r="B838" s="229"/>
      <c r="C838" s="230"/>
      <c r="D838" s="231"/>
      <c r="E838" s="157"/>
      <c r="F838" s="12"/>
      <c r="G838" s="158"/>
    </row>
    <row r="839">
      <c r="A839" s="153"/>
      <c r="B839" s="229"/>
      <c r="C839" s="230"/>
      <c r="D839" s="231"/>
      <c r="E839" s="157"/>
      <c r="F839" s="12"/>
      <c r="G839" s="158"/>
    </row>
    <row r="840">
      <c r="A840" s="153"/>
      <c r="B840" s="229"/>
      <c r="C840" s="230"/>
      <c r="D840" s="231"/>
      <c r="E840" s="157"/>
      <c r="F840" s="12"/>
      <c r="G840" s="158"/>
    </row>
    <row r="841">
      <c r="A841" s="153"/>
      <c r="B841" s="229"/>
      <c r="C841" s="230"/>
      <c r="D841" s="231"/>
      <c r="E841" s="157"/>
      <c r="F841" s="12"/>
      <c r="G841" s="158"/>
    </row>
    <row r="842">
      <c r="A842" s="153"/>
      <c r="B842" s="229"/>
      <c r="C842" s="230"/>
      <c r="D842" s="231"/>
      <c r="E842" s="157"/>
      <c r="F842" s="12"/>
      <c r="G842" s="158"/>
    </row>
    <row r="843">
      <c r="A843" s="153"/>
      <c r="B843" s="229"/>
      <c r="C843" s="230"/>
      <c r="D843" s="231"/>
      <c r="E843" s="157"/>
      <c r="F843" s="12"/>
      <c r="G843" s="158"/>
    </row>
    <row r="844">
      <c r="A844" s="153"/>
      <c r="B844" s="229"/>
      <c r="C844" s="230"/>
      <c r="D844" s="231"/>
      <c r="E844" s="157"/>
      <c r="F844" s="12"/>
      <c r="G844" s="158"/>
    </row>
    <row r="845">
      <c r="A845" s="153"/>
      <c r="B845" s="229"/>
      <c r="C845" s="230"/>
      <c r="D845" s="231"/>
      <c r="E845" s="157"/>
      <c r="F845" s="12"/>
      <c r="G845" s="158"/>
    </row>
    <row r="846">
      <c r="A846" s="153"/>
      <c r="B846" s="229"/>
      <c r="C846" s="230"/>
      <c r="D846" s="231"/>
      <c r="E846" s="157"/>
      <c r="F846" s="12"/>
      <c r="G846" s="158"/>
    </row>
    <row r="847">
      <c r="A847" s="153"/>
      <c r="B847" s="229"/>
      <c r="C847" s="230"/>
      <c r="D847" s="231"/>
      <c r="E847" s="157"/>
      <c r="F847" s="12"/>
      <c r="G847" s="158"/>
    </row>
    <row r="848">
      <c r="A848" s="153"/>
      <c r="B848" s="229"/>
      <c r="C848" s="230"/>
      <c r="D848" s="231"/>
      <c r="E848" s="157"/>
      <c r="F848" s="12"/>
      <c r="G848" s="158"/>
    </row>
    <row r="849">
      <c r="A849" s="153"/>
      <c r="B849" s="229"/>
      <c r="C849" s="230"/>
      <c r="D849" s="231"/>
      <c r="E849" s="157"/>
      <c r="F849" s="12"/>
      <c r="G849" s="158"/>
    </row>
    <row r="850">
      <c r="A850" s="153"/>
      <c r="B850" s="229"/>
      <c r="C850" s="230"/>
      <c r="D850" s="231"/>
      <c r="E850" s="157"/>
      <c r="F850" s="12"/>
      <c r="G850" s="158"/>
    </row>
    <row r="851">
      <c r="A851" s="153"/>
      <c r="B851" s="229"/>
      <c r="C851" s="230"/>
      <c r="D851" s="231"/>
      <c r="E851" s="157"/>
      <c r="F851" s="12"/>
      <c r="G851" s="158"/>
    </row>
    <row r="852">
      <c r="A852" s="153"/>
      <c r="B852" s="229"/>
      <c r="C852" s="230"/>
      <c r="D852" s="231"/>
      <c r="E852" s="157"/>
      <c r="F852" s="12"/>
      <c r="G852" s="158"/>
    </row>
    <row r="853">
      <c r="A853" s="153"/>
      <c r="B853" s="229"/>
      <c r="C853" s="230"/>
      <c r="D853" s="231"/>
      <c r="E853" s="157"/>
      <c r="F853" s="12"/>
      <c r="G853" s="158"/>
    </row>
    <row r="854">
      <c r="A854" s="153"/>
      <c r="B854" s="229"/>
      <c r="C854" s="230"/>
      <c r="D854" s="231"/>
      <c r="E854" s="157"/>
      <c r="F854" s="12"/>
      <c r="G854" s="158"/>
    </row>
    <row r="855">
      <c r="A855" s="153"/>
      <c r="B855" s="229"/>
      <c r="C855" s="230"/>
      <c r="D855" s="231"/>
      <c r="E855" s="157"/>
      <c r="F855" s="12"/>
      <c r="G855" s="158"/>
    </row>
    <row r="856">
      <c r="A856" s="153"/>
      <c r="B856" s="229"/>
      <c r="C856" s="230"/>
      <c r="D856" s="231"/>
      <c r="E856" s="157"/>
      <c r="F856" s="12"/>
      <c r="G856" s="158"/>
    </row>
    <row r="857">
      <c r="A857" s="153"/>
      <c r="B857" s="229"/>
      <c r="C857" s="230"/>
      <c r="D857" s="231"/>
      <c r="E857" s="157"/>
      <c r="F857" s="12"/>
      <c r="G857" s="158"/>
    </row>
    <row r="858">
      <c r="A858" s="153"/>
      <c r="B858" s="229"/>
      <c r="C858" s="230"/>
      <c r="D858" s="231"/>
      <c r="E858" s="157"/>
      <c r="F858" s="12"/>
      <c r="G858" s="158"/>
    </row>
    <row r="859">
      <c r="A859" s="153"/>
      <c r="B859" s="229"/>
      <c r="C859" s="230"/>
      <c r="D859" s="231"/>
      <c r="E859" s="157"/>
      <c r="F859" s="12"/>
      <c r="G859" s="158"/>
    </row>
    <row r="860">
      <c r="A860" s="153"/>
      <c r="B860" s="229"/>
      <c r="C860" s="230"/>
      <c r="D860" s="231"/>
      <c r="E860" s="157"/>
      <c r="F860" s="12"/>
      <c r="G860" s="158"/>
    </row>
    <row r="861">
      <c r="A861" s="153"/>
      <c r="B861" s="229"/>
      <c r="C861" s="230"/>
      <c r="D861" s="231"/>
      <c r="E861" s="157"/>
      <c r="F861" s="12"/>
      <c r="G861" s="158"/>
    </row>
    <row r="862">
      <c r="A862" s="153"/>
      <c r="B862" s="229"/>
      <c r="C862" s="230"/>
      <c r="D862" s="231"/>
      <c r="E862" s="157"/>
      <c r="F862" s="12"/>
      <c r="G862" s="158"/>
    </row>
    <row r="863">
      <c r="A863" s="153"/>
      <c r="B863" s="229"/>
      <c r="C863" s="230"/>
      <c r="D863" s="231"/>
      <c r="E863" s="157"/>
      <c r="F863" s="12"/>
      <c r="G863" s="158"/>
    </row>
    <row r="864">
      <c r="A864" s="153"/>
      <c r="B864" s="229"/>
      <c r="C864" s="230"/>
      <c r="D864" s="231"/>
      <c r="E864" s="157"/>
      <c r="F864" s="12"/>
      <c r="G864" s="158"/>
    </row>
    <row r="865">
      <c r="A865" s="153"/>
      <c r="B865" s="229"/>
      <c r="C865" s="230"/>
      <c r="D865" s="231"/>
      <c r="E865" s="157"/>
      <c r="F865" s="12"/>
      <c r="G865" s="158"/>
    </row>
    <row r="866">
      <c r="A866" s="153"/>
      <c r="B866" s="229"/>
      <c r="C866" s="230"/>
      <c r="D866" s="231"/>
      <c r="E866" s="157"/>
      <c r="F866" s="12"/>
      <c r="G866" s="158"/>
    </row>
    <row r="867">
      <c r="A867" s="153"/>
      <c r="B867" s="229"/>
      <c r="C867" s="230"/>
      <c r="D867" s="231"/>
      <c r="E867" s="157"/>
      <c r="F867" s="12"/>
      <c r="G867" s="158"/>
    </row>
    <row r="868">
      <c r="A868" s="153"/>
      <c r="B868" s="229"/>
      <c r="C868" s="230"/>
      <c r="D868" s="231"/>
      <c r="E868" s="157"/>
      <c r="F868" s="12"/>
      <c r="G868" s="158"/>
    </row>
    <row r="869">
      <c r="A869" s="153"/>
      <c r="B869" s="229"/>
      <c r="C869" s="230"/>
      <c r="D869" s="231"/>
      <c r="E869" s="157"/>
      <c r="F869" s="12"/>
      <c r="G869" s="158"/>
    </row>
    <row r="870">
      <c r="A870" s="153"/>
      <c r="B870" s="229"/>
      <c r="C870" s="230"/>
      <c r="D870" s="231"/>
      <c r="E870" s="157"/>
      <c r="F870" s="12"/>
      <c r="G870" s="158"/>
    </row>
    <row r="871">
      <c r="A871" s="153"/>
      <c r="B871" s="229"/>
      <c r="C871" s="230"/>
      <c r="D871" s="231"/>
      <c r="E871" s="157"/>
      <c r="F871" s="12"/>
      <c r="G871" s="158"/>
    </row>
    <row r="872">
      <c r="A872" s="153"/>
      <c r="B872" s="229"/>
      <c r="C872" s="230"/>
      <c r="D872" s="231"/>
      <c r="E872" s="157"/>
      <c r="F872" s="12"/>
      <c r="G872" s="158"/>
    </row>
    <row r="873">
      <c r="A873" s="153"/>
      <c r="B873" s="229"/>
      <c r="C873" s="230"/>
      <c r="D873" s="231"/>
      <c r="E873" s="157"/>
      <c r="F873" s="12"/>
      <c r="G873" s="158"/>
    </row>
    <row r="874">
      <c r="A874" s="153"/>
      <c r="B874" s="229"/>
      <c r="C874" s="230"/>
      <c r="D874" s="231"/>
      <c r="E874" s="157"/>
      <c r="F874" s="12"/>
      <c r="G874" s="158"/>
    </row>
    <row r="875">
      <c r="A875" s="153"/>
      <c r="B875" s="229"/>
      <c r="C875" s="230"/>
      <c r="D875" s="231"/>
      <c r="E875" s="157"/>
      <c r="F875" s="12"/>
      <c r="G875" s="158"/>
    </row>
    <row r="876">
      <c r="A876" s="153"/>
      <c r="B876" s="229"/>
      <c r="C876" s="230"/>
      <c r="D876" s="231"/>
      <c r="E876" s="157"/>
      <c r="F876" s="12"/>
      <c r="G876" s="158"/>
    </row>
    <row r="877">
      <c r="A877" s="153"/>
      <c r="B877" s="229"/>
      <c r="C877" s="230"/>
      <c r="D877" s="231"/>
      <c r="E877" s="157"/>
      <c r="F877" s="12"/>
      <c r="G877" s="158"/>
    </row>
    <row r="878">
      <c r="A878" s="153"/>
      <c r="B878" s="229"/>
      <c r="C878" s="230"/>
      <c r="D878" s="231"/>
      <c r="E878" s="157"/>
      <c r="F878" s="12"/>
      <c r="G878" s="158"/>
    </row>
    <row r="879">
      <c r="A879" s="153"/>
      <c r="B879" s="229"/>
      <c r="C879" s="230"/>
      <c r="D879" s="231"/>
      <c r="E879" s="157"/>
      <c r="F879" s="12"/>
      <c r="G879" s="158"/>
    </row>
    <row r="880">
      <c r="A880" s="153"/>
      <c r="B880" s="229"/>
      <c r="C880" s="230"/>
      <c r="D880" s="231"/>
      <c r="E880" s="157"/>
      <c r="F880" s="12"/>
      <c r="G880" s="158"/>
    </row>
    <row r="881">
      <c r="A881" s="153"/>
      <c r="B881" s="229"/>
      <c r="C881" s="230"/>
      <c r="D881" s="231"/>
      <c r="E881" s="157"/>
      <c r="F881" s="12"/>
      <c r="G881" s="158"/>
    </row>
    <row r="882">
      <c r="A882" s="153"/>
      <c r="B882" s="229"/>
      <c r="C882" s="230"/>
      <c r="D882" s="231"/>
      <c r="E882" s="157"/>
      <c r="F882" s="12"/>
      <c r="G882" s="158"/>
    </row>
    <row r="883">
      <c r="A883" s="153"/>
      <c r="B883" s="229"/>
      <c r="C883" s="230"/>
      <c r="D883" s="231"/>
      <c r="E883" s="157"/>
      <c r="F883" s="12"/>
      <c r="G883" s="158"/>
    </row>
    <row r="884">
      <c r="A884" s="153"/>
      <c r="B884" s="229"/>
      <c r="C884" s="230"/>
      <c r="D884" s="231"/>
      <c r="E884" s="157"/>
      <c r="F884" s="12"/>
      <c r="G884" s="158"/>
    </row>
    <row r="885">
      <c r="A885" s="153"/>
      <c r="B885" s="229"/>
      <c r="C885" s="230"/>
      <c r="D885" s="231"/>
      <c r="E885" s="157"/>
      <c r="F885" s="12"/>
      <c r="G885" s="158"/>
    </row>
    <row r="886">
      <c r="A886" s="153"/>
      <c r="B886" s="229"/>
      <c r="C886" s="230"/>
      <c r="D886" s="231"/>
      <c r="E886" s="157"/>
      <c r="F886" s="12"/>
      <c r="G886" s="158"/>
    </row>
    <row r="887">
      <c r="A887" s="153"/>
      <c r="B887" s="229"/>
      <c r="C887" s="230"/>
      <c r="D887" s="231"/>
      <c r="E887" s="157"/>
      <c r="F887" s="12"/>
      <c r="G887" s="158"/>
    </row>
    <row r="888">
      <c r="A888" s="153"/>
      <c r="B888" s="229"/>
      <c r="C888" s="230"/>
      <c r="D888" s="231"/>
      <c r="E888" s="157"/>
      <c r="F888" s="12"/>
      <c r="G888" s="158"/>
    </row>
    <row r="889">
      <c r="A889" s="153"/>
      <c r="B889" s="229"/>
      <c r="C889" s="230"/>
      <c r="D889" s="231"/>
      <c r="E889" s="157"/>
      <c r="F889" s="12"/>
      <c r="G889" s="158"/>
    </row>
    <row r="890">
      <c r="A890" s="153"/>
      <c r="B890" s="229"/>
      <c r="C890" s="230"/>
      <c r="D890" s="231"/>
      <c r="E890" s="157"/>
      <c r="F890" s="12"/>
      <c r="G890" s="158"/>
    </row>
    <row r="891">
      <c r="A891" s="153"/>
      <c r="B891" s="229"/>
      <c r="C891" s="230"/>
      <c r="D891" s="231"/>
      <c r="E891" s="157"/>
      <c r="F891" s="12"/>
      <c r="G891" s="158"/>
    </row>
    <row r="892">
      <c r="A892" s="153"/>
      <c r="B892" s="229"/>
      <c r="C892" s="230"/>
      <c r="D892" s="231"/>
      <c r="E892" s="157"/>
      <c r="F892" s="12"/>
      <c r="G892" s="158"/>
    </row>
    <row r="893">
      <c r="A893" s="153"/>
      <c r="B893" s="229"/>
      <c r="C893" s="230"/>
      <c r="D893" s="231"/>
      <c r="E893" s="157"/>
      <c r="F893" s="12"/>
      <c r="G893" s="158"/>
    </row>
    <row r="894">
      <c r="A894" s="153"/>
      <c r="B894" s="229"/>
      <c r="C894" s="230"/>
      <c r="D894" s="231"/>
      <c r="E894" s="157"/>
      <c r="F894" s="12"/>
      <c r="G894" s="158"/>
    </row>
    <row r="895">
      <c r="A895" s="153"/>
      <c r="B895" s="229"/>
      <c r="C895" s="230"/>
      <c r="D895" s="231"/>
      <c r="E895" s="157"/>
      <c r="F895" s="12"/>
      <c r="G895" s="158"/>
    </row>
    <row r="896">
      <c r="A896" s="153"/>
      <c r="B896" s="229"/>
      <c r="C896" s="230"/>
      <c r="D896" s="231"/>
      <c r="E896" s="157"/>
      <c r="F896" s="12"/>
      <c r="G896" s="158"/>
    </row>
    <row r="897">
      <c r="A897" s="153"/>
      <c r="B897" s="229"/>
      <c r="C897" s="230"/>
      <c r="D897" s="231"/>
      <c r="E897" s="157"/>
      <c r="F897" s="12"/>
      <c r="G897" s="158"/>
    </row>
    <row r="898">
      <c r="A898" s="153"/>
      <c r="B898" s="229"/>
      <c r="C898" s="230"/>
      <c r="D898" s="231"/>
      <c r="E898" s="157"/>
      <c r="F898" s="12"/>
      <c r="G898" s="158"/>
    </row>
    <row r="899">
      <c r="A899" s="153"/>
      <c r="B899" s="229"/>
      <c r="C899" s="230"/>
      <c r="D899" s="231"/>
      <c r="E899" s="157"/>
      <c r="F899" s="12"/>
      <c r="G899" s="158"/>
    </row>
    <row r="900">
      <c r="A900" s="153"/>
      <c r="B900" s="229"/>
      <c r="C900" s="230"/>
      <c r="D900" s="231"/>
      <c r="E900" s="157"/>
      <c r="F900" s="12"/>
      <c r="G900" s="158"/>
    </row>
    <row r="901">
      <c r="A901" s="153"/>
      <c r="B901" s="229"/>
      <c r="C901" s="230"/>
      <c r="D901" s="231"/>
      <c r="E901" s="157"/>
      <c r="F901" s="12"/>
      <c r="G901" s="158"/>
    </row>
    <row r="902">
      <c r="A902" s="153"/>
      <c r="B902" s="229"/>
      <c r="C902" s="230"/>
      <c r="D902" s="231"/>
      <c r="E902" s="157"/>
      <c r="F902" s="12"/>
      <c r="G902" s="158"/>
    </row>
    <row r="903">
      <c r="A903" s="153"/>
      <c r="B903" s="229"/>
      <c r="C903" s="230"/>
      <c r="D903" s="231"/>
      <c r="E903" s="157"/>
      <c r="F903" s="12"/>
      <c r="G903" s="158"/>
    </row>
    <row r="904">
      <c r="A904" s="153"/>
      <c r="B904" s="229"/>
      <c r="C904" s="230"/>
      <c r="D904" s="231"/>
      <c r="E904" s="157"/>
      <c r="F904" s="12"/>
      <c r="G904" s="158"/>
    </row>
    <row r="905">
      <c r="A905" s="153"/>
      <c r="B905" s="229"/>
      <c r="C905" s="230"/>
      <c r="D905" s="231"/>
      <c r="E905" s="157"/>
      <c r="F905" s="12"/>
      <c r="G905" s="158"/>
    </row>
    <row r="906">
      <c r="A906" s="153"/>
      <c r="B906" s="229"/>
      <c r="C906" s="230"/>
      <c r="D906" s="231"/>
      <c r="E906" s="157"/>
      <c r="F906" s="12"/>
      <c r="G906" s="158"/>
    </row>
    <row r="907">
      <c r="A907" s="153"/>
      <c r="B907" s="229"/>
      <c r="C907" s="230"/>
      <c r="D907" s="231"/>
      <c r="E907" s="157"/>
      <c r="F907" s="12"/>
      <c r="G907" s="158"/>
    </row>
    <row r="908">
      <c r="A908" s="153"/>
      <c r="B908" s="229"/>
      <c r="C908" s="230"/>
      <c r="D908" s="231"/>
      <c r="E908" s="157"/>
      <c r="F908" s="12"/>
      <c r="G908" s="158"/>
    </row>
    <row r="909">
      <c r="A909" s="153"/>
      <c r="B909" s="229"/>
      <c r="C909" s="230"/>
      <c r="D909" s="231"/>
      <c r="E909" s="157"/>
      <c r="F909" s="12"/>
      <c r="G909" s="158"/>
    </row>
    <row r="910">
      <c r="A910" s="153"/>
      <c r="B910" s="229"/>
      <c r="C910" s="230"/>
      <c r="D910" s="231"/>
      <c r="E910" s="157"/>
      <c r="F910" s="12"/>
      <c r="G910" s="158"/>
    </row>
    <row r="911">
      <c r="A911" s="153"/>
      <c r="B911" s="229"/>
      <c r="C911" s="230"/>
      <c r="D911" s="231"/>
      <c r="E911" s="157"/>
      <c r="F911" s="12"/>
      <c r="G911" s="158"/>
    </row>
    <row r="912">
      <c r="A912" s="153"/>
      <c r="B912" s="229"/>
      <c r="C912" s="230"/>
      <c r="D912" s="231"/>
      <c r="E912" s="157"/>
      <c r="F912" s="12"/>
      <c r="G912" s="158"/>
    </row>
    <row r="913">
      <c r="A913" s="153"/>
      <c r="B913" s="229"/>
      <c r="C913" s="230"/>
      <c r="D913" s="231"/>
      <c r="E913" s="157"/>
      <c r="F913" s="12"/>
      <c r="G913" s="158"/>
    </row>
    <row r="914">
      <c r="A914" s="153"/>
      <c r="B914" s="229"/>
      <c r="C914" s="230"/>
      <c r="D914" s="231"/>
      <c r="E914" s="157"/>
      <c r="F914" s="12"/>
      <c r="G914" s="158"/>
    </row>
    <row r="915">
      <c r="A915" s="153"/>
      <c r="B915" s="229"/>
      <c r="C915" s="230"/>
      <c r="D915" s="231"/>
      <c r="E915" s="157"/>
      <c r="F915" s="12"/>
      <c r="G915" s="158"/>
    </row>
    <row r="916">
      <c r="A916" s="153"/>
      <c r="B916" s="229"/>
      <c r="C916" s="230"/>
      <c r="D916" s="231"/>
      <c r="E916" s="157"/>
      <c r="F916" s="12"/>
      <c r="G916" s="158"/>
    </row>
    <row r="917">
      <c r="A917" s="153"/>
      <c r="B917" s="229"/>
      <c r="C917" s="230"/>
      <c r="D917" s="231"/>
      <c r="E917" s="157"/>
      <c r="F917" s="12"/>
      <c r="G917" s="158"/>
    </row>
    <row r="918">
      <c r="A918" s="153"/>
      <c r="B918" s="229"/>
      <c r="C918" s="230"/>
      <c r="D918" s="231"/>
      <c r="E918" s="157"/>
      <c r="F918" s="12"/>
      <c r="G918" s="158"/>
    </row>
    <row r="919">
      <c r="A919" s="153"/>
      <c r="B919" s="229"/>
      <c r="C919" s="230"/>
      <c r="D919" s="231"/>
      <c r="E919" s="157"/>
      <c r="F919" s="12"/>
      <c r="G919" s="158"/>
    </row>
    <row r="920">
      <c r="A920" s="153"/>
      <c r="B920" s="229"/>
      <c r="C920" s="230"/>
      <c r="D920" s="231"/>
      <c r="E920" s="157"/>
      <c r="F920" s="12"/>
      <c r="G920" s="158"/>
    </row>
    <row r="921">
      <c r="A921" s="153"/>
      <c r="B921" s="229"/>
      <c r="C921" s="230"/>
      <c r="D921" s="231"/>
      <c r="E921" s="157"/>
      <c r="F921" s="12"/>
      <c r="G921" s="158"/>
    </row>
    <row r="922">
      <c r="A922" s="153"/>
      <c r="B922" s="229"/>
      <c r="C922" s="230"/>
      <c r="D922" s="231"/>
      <c r="E922" s="157"/>
      <c r="F922" s="12"/>
      <c r="G922" s="158"/>
    </row>
    <row r="923">
      <c r="A923" s="153"/>
      <c r="B923" s="229"/>
      <c r="C923" s="230"/>
      <c r="D923" s="231"/>
      <c r="E923" s="157"/>
      <c r="F923" s="12"/>
      <c r="G923" s="158"/>
    </row>
    <row r="924">
      <c r="A924" s="153"/>
      <c r="B924" s="229"/>
      <c r="C924" s="230"/>
      <c r="D924" s="231"/>
      <c r="E924" s="157"/>
      <c r="F924" s="12"/>
      <c r="G924" s="158"/>
    </row>
    <row r="925">
      <c r="A925" s="153"/>
      <c r="B925" s="229"/>
      <c r="C925" s="230"/>
      <c r="D925" s="231"/>
      <c r="E925" s="157"/>
      <c r="F925" s="12"/>
      <c r="G925" s="158"/>
    </row>
    <row r="926">
      <c r="A926" s="153"/>
      <c r="B926" s="229"/>
      <c r="C926" s="230"/>
      <c r="D926" s="231"/>
      <c r="E926" s="157"/>
      <c r="F926" s="12"/>
      <c r="G926" s="158"/>
    </row>
    <row r="927">
      <c r="A927" s="153"/>
      <c r="B927" s="229"/>
      <c r="C927" s="230"/>
      <c r="D927" s="231"/>
      <c r="E927" s="157"/>
      <c r="F927" s="12"/>
      <c r="G927" s="158"/>
    </row>
    <row r="928">
      <c r="A928" s="153"/>
      <c r="B928" s="229"/>
      <c r="C928" s="230"/>
      <c r="D928" s="231"/>
      <c r="E928" s="157"/>
      <c r="F928" s="12"/>
      <c r="G928" s="158"/>
    </row>
    <row r="929">
      <c r="A929" s="153"/>
      <c r="B929" s="229"/>
      <c r="C929" s="230"/>
      <c r="D929" s="231"/>
      <c r="E929" s="157"/>
      <c r="F929" s="12"/>
      <c r="G929" s="158"/>
    </row>
    <row r="930">
      <c r="A930" s="153"/>
      <c r="B930" s="229"/>
      <c r="C930" s="230"/>
      <c r="D930" s="231"/>
      <c r="E930" s="157"/>
      <c r="F930" s="12"/>
      <c r="G930" s="158"/>
    </row>
    <row r="931">
      <c r="A931" s="153"/>
      <c r="B931" s="229"/>
      <c r="C931" s="230"/>
      <c r="D931" s="231"/>
      <c r="E931" s="157"/>
      <c r="F931" s="12"/>
      <c r="G931" s="158"/>
    </row>
    <row r="932">
      <c r="A932" s="153"/>
      <c r="B932" s="229"/>
      <c r="C932" s="230"/>
      <c r="D932" s="231"/>
      <c r="E932" s="157"/>
      <c r="F932" s="12"/>
      <c r="G932" s="158"/>
    </row>
    <row r="933">
      <c r="A933" s="153"/>
      <c r="B933" s="229"/>
      <c r="C933" s="230"/>
      <c r="D933" s="231"/>
      <c r="E933" s="157"/>
      <c r="F933" s="12"/>
      <c r="G933" s="158"/>
    </row>
    <row r="934">
      <c r="A934" s="153"/>
      <c r="B934" s="229"/>
      <c r="C934" s="230"/>
      <c r="D934" s="231"/>
      <c r="E934" s="157"/>
      <c r="F934" s="12"/>
      <c r="G934" s="158"/>
    </row>
    <row r="935">
      <c r="A935" s="153"/>
      <c r="B935" s="229"/>
      <c r="C935" s="230"/>
      <c r="D935" s="231"/>
      <c r="E935" s="157"/>
      <c r="F935" s="12"/>
      <c r="G935" s="158"/>
    </row>
    <row r="936">
      <c r="A936" s="153"/>
      <c r="B936" s="229"/>
      <c r="C936" s="230"/>
      <c r="D936" s="231"/>
      <c r="E936" s="157"/>
      <c r="F936" s="12"/>
      <c r="G936" s="158"/>
    </row>
    <row r="937">
      <c r="A937" s="153"/>
      <c r="B937" s="229"/>
      <c r="C937" s="230"/>
      <c r="D937" s="231"/>
      <c r="E937" s="157"/>
      <c r="F937" s="12"/>
      <c r="G937" s="158"/>
    </row>
    <row r="938">
      <c r="A938" s="153"/>
      <c r="B938" s="229"/>
      <c r="C938" s="230"/>
      <c r="D938" s="231"/>
      <c r="E938" s="157"/>
      <c r="F938" s="12"/>
      <c r="G938" s="158"/>
    </row>
    <row r="939">
      <c r="A939" s="153"/>
      <c r="B939" s="229"/>
      <c r="C939" s="230"/>
      <c r="D939" s="231"/>
      <c r="E939" s="157"/>
      <c r="F939" s="12"/>
      <c r="G939" s="158"/>
    </row>
    <row r="940">
      <c r="A940" s="153"/>
      <c r="B940" s="229"/>
      <c r="C940" s="230"/>
      <c r="D940" s="231"/>
      <c r="E940" s="157"/>
      <c r="F940" s="12"/>
      <c r="G940" s="158"/>
    </row>
    <row r="941">
      <c r="A941" s="153"/>
      <c r="B941" s="229"/>
      <c r="C941" s="230"/>
      <c r="D941" s="231"/>
      <c r="E941" s="157"/>
      <c r="F941" s="12"/>
      <c r="G941" s="158"/>
    </row>
    <row r="942">
      <c r="A942" s="153"/>
      <c r="B942" s="229"/>
      <c r="C942" s="230"/>
      <c r="D942" s="231"/>
      <c r="E942" s="157"/>
      <c r="F942" s="12"/>
      <c r="G942" s="158"/>
    </row>
    <row r="943">
      <c r="A943" s="153"/>
      <c r="B943" s="229"/>
      <c r="C943" s="230"/>
      <c r="D943" s="231"/>
      <c r="E943" s="157"/>
      <c r="F943" s="12"/>
      <c r="G943" s="158"/>
    </row>
    <row r="944">
      <c r="A944" s="153"/>
      <c r="B944" s="229"/>
      <c r="C944" s="230"/>
      <c r="D944" s="231"/>
      <c r="E944" s="157"/>
      <c r="F944" s="12"/>
      <c r="G944" s="158"/>
    </row>
    <row r="945">
      <c r="A945" s="153"/>
      <c r="B945" s="229"/>
      <c r="C945" s="230"/>
      <c r="D945" s="231"/>
      <c r="E945" s="157"/>
      <c r="F945" s="12"/>
      <c r="G945" s="158"/>
    </row>
    <row r="946">
      <c r="A946" s="153"/>
      <c r="B946" s="229"/>
      <c r="C946" s="230"/>
      <c r="D946" s="231"/>
      <c r="E946" s="157"/>
      <c r="F946" s="12"/>
      <c r="G946" s="158"/>
    </row>
    <row r="947">
      <c r="A947" s="153"/>
      <c r="B947" s="229"/>
      <c r="C947" s="230"/>
      <c r="D947" s="231"/>
      <c r="E947" s="157"/>
      <c r="F947" s="12"/>
      <c r="G947" s="158"/>
    </row>
    <row r="948">
      <c r="A948" s="153"/>
      <c r="B948" s="229"/>
      <c r="C948" s="230"/>
      <c r="D948" s="231"/>
      <c r="E948" s="157"/>
      <c r="F948" s="12"/>
      <c r="G948" s="158"/>
    </row>
    <row r="949">
      <c r="A949" s="153"/>
      <c r="B949" s="229"/>
      <c r="C949" s="230"/>
      <c r="D949" s="231"/>
      <c r="E949" s="157"/>
      <c r="F949" s="12"/>
      <c r="G949" s="158"/>
    </row>
    <row r="950">
      <c r="A950" s="153"/>
      <c r="B950" s="229"/>
      <c r="C950" s="230"/>
      <c r="D950" s="231"/>
      <c r="E950" s="157"/>
      <c r="F950" s="12"/>
      <c r="G950" s="158"/>
    </row>
    <row r="951">
      <c r="A951" s="153"/>
      <c r="B951" s="229"/>
      <c r="C951" s="230"/>
      <c r="D951" s="231"/>
      <c r="E951" s="157"/>
      <c r="F951" s="12"/>
      <c r="G951" s="158"/>
    </row>
    <row r="952">
      <c r="A952" s="153"/>
      <c r="B952" s="229"/>
      <c r="C952" s="230"/>
      <c r="D952" s="231"/>
      <c r="E952" s="157"/>
      <c r="F952" s="12"/>
      <c r="G952" s="158"/>
    </row>
    <row r="953">
      <c r="A953" s="153"/>
      <c r="B953" s="229"/>
      <c r="C953" s="230"/>
      <c r="D953" s="231"/>
      <c r="E953" s="157"/>
      <c r="F953" s="12"/>
      <c r="G953" s="158"/>
    </row>
    <row r="954">
      <c r="A954" s="153"/>
      <c r="B954" s="229"/>
      <c r="C954" s="230"/>
      <c r="D954" s="231"/>
      <c r="E954" s="157"/>
      <c r="F954" s="12"/>
      <c r="G954" s="158"/>
    </row>
    <row r="955">
      <c r="A955" s="153"/>
      <c r="B955" s="229"/>
      <c r="C955" s="230"/>
      <c r="D955" s="231"/>
      <c r="E955" s="157"/>
      <c r="F955" s="12"/>
      <c r="G955" s="158"/>
    </row>
    <row r="956">
      <c r="A956" s="153"/>
      <c r="B956" s="229"/>
      <c r="C956" s="230"/>
      <c r="D956" s="231"/>
      <c r="E956" s="157"/>
      <c r="F956" s="12"/>
      <c r="G956" s="158"/>
    </row>
    <row r="957">
      <c r="A957" s="153"/>
      <c r="B957" s="229"/>
      <c r="C957" s="230"/>
      <c r="D957" s="231"/>
      <c r="E957" s="157"/>
      <c r="F957" s="12"/>
      <c r="G957" s="158"/>
    </row>
    <row r="958">
      <c r="A958" s="153"/>
      <c r="B958" s="229"/>
      <c r="C958" s="230"/>
      <c r="D958" s="231"/>
      <c r="E958" s="157"/>
      <c r="F958" s="12"/>
      <c r="G958" s="158"/>
    </row>
    <row r="959">
      <c r="A959" s="153"/>
      <c r="B959" s="229"/>
      <c r="C959" s="230"/>
      <c r="D959" s="231"/>
      <c r="E959" s="157"/>
      <c r="F959" s="12"/>
      <c r="G959" s="158"/>
    </row>
    <row r="960">
      <c r="A960" s="153"/>
      <c r="B960" s="229"/>
      <c r="C960" s="230"/>
      <c r="D960" s="231"/>
      <c r="E960" s="157"/>
      <c r="F960" s="12"/>
      <c r="G960" s="158"/>
    </row>
    <row r="961">
      <c r="A961" s="153"/>
      <c r="B961" s="229"/>
      <c r="C961" s="230"/>
      <c r="D961" s="231"/>
      <c r="E961" s="157"/>
      <c r="F961" s="12"/>
      <c r="G961" s="158"/>
    </row>
    <row r="962">
      <c r="A962" s="153"/>
      <c r="B962" s="229"/>
      <c r="C962" s="230"/>
      <c r="D962" s="231"/>
      <c r="E962" s="157"/>
      <c r="F962" s="12"/>
      <c r="G962" s="158"/>
    </row>
    <row r="963">
      <c r="A963" s="153"/>
      <c r="B963" s="229"/>
      <c r="C963" s="230"/>
      <c r="D963" s="231"/>
      <c r="E963" s="157"/>
      <c r="F963" s="12"/>
      <c r="G963" s="158"/>
    </row>
    <row r="964">
      <c r="A964" s="153"/>
      <c r="B964" s="229"/>
      <c r="C964" s="230"/>
      <c r="D964" s="231"/>
      <c r="E964" s="157"/>
      <c r="F964" s="12"/>
      <c r="G964" s="158"/>
    </row>
    <row r="965">
      <c r="A965" s="153"/>
      <c r="B965" s="229"/>
      <c r="C965" s="230"/>
      <c r="D965" s="231"/>
      <c r="E965" s="157"/>
      <c r="F965" s="12"/>
      <c r="G965" s="158"/>
    </row>
    <row r="966">
      <c r="A966" s="153"/>
      <c r="B966" s="229"/>
      <c r="C966" s="230"/>
      <c r="D966" s="231"/>
      <c r="E966" s="157"/>
      <c r="F966" s="12"/>
      <c r="G966" s="158"/>
    </row>
    <row r="967">
      <c r="A967" s="153"/>
      <c r="B967" s="229"/>
      <c r="C967" s="230"/>
      <c r="D967" s="231"/>
      <c r="E967" s="157"/>
      <c r="F967" s="12"/>
      <c r="G967" s="158"/>
    </row>
    <row r="968">
      <c r="A968" s="153"/>
      <c r="B968" s="229"/>
      <c r="C968" s="230"/>
      <c r="D968" s="231"/>
      <c r="E968" s="157"/>
      <c r="F968" s="12"/>
      <c r="G968" s="158"/>
    </row>
    <row r="969">
      <c r="A969" s="153"/>
      <c r="B969" s="229"/>
      <c r="C969" s="230"/>
      <c r="D969" s="231"/>
      <c r="E969" s="157"/>
      <c r="F969" s="12"/>
      <c r="G969" s="158"/>
    </row>
    <row r="970">
      <c r="A970" s="153"/>
      <c r="B970" s="229"/>
      <c r="C970" s="230"/>
      <c r="D970" s="231"/>
      <c r="E970" s="157"/>
      <c r="F970" s="12"/>
      <c r="G970" s="158"/>
    </row>
    <row r="971">
      <c r="A971" s="153"/>
      <c r="B971" s="229"/>
      <c r="C971" s="230"/>
      <c r="D971" s="231"/>
      <c r="E971" s="157"/>
      <c r="F971" s="12"/>
      <c r="G971" s="158"/>
    </row>
    <row r="972">
      <c r="A972" s="153"/>
      <c r="B972" s="229"/>
      <c r="C972" s="230"/>
      <c r="D972" s="231"/>
      <c r="E972" s="157"/>
      <c r="F972" s="12"/>
      <c r="G972" s="158"/>
    </row>
    <row r="973">
      <c r="A973" s="153"/>
      <c r="B973" s="229"/>
      <c r="C973" s="230"/>
      <c r="D973" s="231"/>
      <c r="E973" s="157"/>
      <c r="F973" s="12"/>
      <c r="G973" s="158"/>
    </row>
    <row r="974">
      <c r="A974" s="153"/>
      <c r="B974" s="229"/>
      <c r="C974" s="230"/>
      <c r="D974" s="231"/>
      <c r="E974" s="157"/>
      <c r="F974" s="12"/>
      <c r="G974" s="158"/>
    </row>
    <row r="975">
      <c r="A975" s="153"/>
      <c r="B975" s="229"/>
      <c r="C975" s="230"/>
      <c r="D975" s="231"/>
      <c r="E975" s="157"/>
      <c r="F975" s="12"/>
      <c r="G975" s="158"/>
    </row>
    <row r="976">
      <c r="A976" s="153"/>
      <c r="B976" s="229"/>
      <c r="C976" s="230"/>
      <c r="D976" s="231"/>
      <c r="E976" s="157"/>
      <c r="F976" s="12"/>
      <c r="G976" s="158"/>
    </row>
    <row r="977">
      <c r="A977" s="153"/>
      <c r="B977" s="229"/>
      <c r="C977" s="230"/>
      <c r="D977" s="231"/>
      <c r="E977" s="157"/>
      <c r="F977" s="12"/>
      <c r="G977" s="158"/>
    </row>
    <row r="978">
      <c r="A978" s="153"/>
      <c r="B978" s="229"/>
      <c r="C978" s="230"/>
      <c r="D978" s="231"/>
      <c r="E978" s="157"/>
      <c r="F978" s="12"/>
      <c r="G978" s="158"/>
    </row>
    <row r="979">
      <c r="A979" s="153"/>
      <c r="B979" s="229"/>
      <c r="C979" s="230"/>
      <c r="D979" s="231"/>
      <c r="E979" s="157"/>
      <c r="F979" s="12"/>
      <c r="G979" s="158"/>
    </row>
    <row r="980">
      <c r="A980" s="153"/>
      <c r="B980" s="229"/>
      <c r="C980" s="230"/>
      <c r="D980" s="231"/>
      <c r="E980" s="157"/>
      <c r="F980" s="12"/>
      <c r="G980" s="158"/>
    </row>
    <row r="981">
      <c r="A981" s="153"/>
      <c r="B981" s="229"/>
      <c r="C981" s="230"/>
      <c r="D981" s="231"/>
      <c r="E981" s="157"/>
      <c r="F981" s="12"/>
      <c r="G981" s="158"/>
    </row>
    <row r="982">
      <c r="A982" s="153"/>
      <c r="B982" s="229"/>
      <c r="C982" s="230"/>
      <c r="D982" s="231"/>
      <c r="E982" s="157"/>
      <c r="F982" s="12"/>
      <c r="G982" s="158"/>
    </row>
    <row r="983">
      <c r="A983" s="153"/>
      <c r="B983" s="229"/>
      <c r="C983" s="230"/>
      <c r="D983" s="231"/>
      <c r="E983" s="157"/>
      <c r="F983" s="12"/>
      <c r="G983" s="158"/>
    </row>
    <row r="984">
      <c r="A984" s="153"/>
      <c r="B984" s="229"/>
      <c r="C984" s="230"/>
      <c r="D984" s="231"/>
      <c r="E984" s="157"/>
      <c r="F984" s="12"/>
      <c r="G984" s="158"/>
    </row>
    <row r="985">
      <c r="A985" s="153"/>
      <c r="B985" s="229"/>
      <c r="C985" s="230"/>
      <c r="D985" s="231"/>
      <c r="E985" s="157"/>
      <c r="F985" s="12"/>
      <c r="G985" s="158"/>
    </row>
    <row r="986">
      <c r="A986" s="153"/>
      <c r="B986" s="229"/>
      <c r="C986" s="230"/>
      <c r="D986" s="231"/>
      <c r="E986" s="157"/>
      <c r="F986" s="12"/>
      <c r="G986" s="158"/>
    </row>
    <row r="987">
      <c r="A987" s="153"/>
      <c r="B987" s="229"/>
      <c r="C987" s="230"/>
      <c r="D987" s="231"/>
      <c r="E987" s="157"/>
      <c r="F987" s="12"/>
      <c r="G987" s="158"/>
    </row>
    <row r="988">
      <c r="A988" s="153"/>
      <c r="B988" s="229"/>
      <c r="C988" s="230"/>
      <c r="D988" s="231"/>
      <c r="E988" s="157"/>
      <c r="F988" s="12"/>
      <c r="G988" s="158"/>
    </row>
    <row r="989">
      <c r="A989" s="153"/>
      <c r="B989" s="229"/>
      <c r="C989" s="230"/>
      <c r="D989" s="231"/>
      <c r="E989" s="157"/>
      <c r="F989" s="12"/>
      <c r="G989" s="158"/>
    </row>
    <row r="990">
      <c r="A990" s="153"/>
      <c r="B990" s="229"/>
      <c r="C990" s="230"/>
      <c r="D990" s="231"/>
      <c r="E990" s="157"/>
      <c r="F990" s="12"/>
      <c r="G990" s="158"/>
    </row>
    <row r="991">
      <c r="A991" s="153"/>
      <c r="B991" s="229"/>
      <c r="C991" s="230"/>
      <c r="D991" s="231"/>
      <c r="E991" s="157"/>
      <c r="F991" s="12"/>
      <c r="G991" s="158"/>
    </row>
    <row r="992">
      <c r="A992" s="153"/>
      <c r="B992" s="229"/>
      <c r="C992" s="230"/>
      <c r="D992" s="231"/>
      <c r="E992" s="157"/>
      <c r="F992" s="12"/>
      <c r="G992" s="158"/>
    </row>
    <row r="993">
      <c r="A993" s="153"/>
      <c r="B993" s="229"/>
      <c r="C993" s="230"/>
      <c r="D993" s="231"/>
      <c r="E993" s="157"/>
      <c r="F993" s="12"/>
      <c r="G993" s="158"/>
    </row>
    <row r="994">
      <c r="A994" s="153"/>
      <c r="B994" s="229"/>
      <c r="C994" s="230"/>
      <c r="D994" s="231"/>
      <c r="E994" s="157"/>
      <c r="F994" s="12"/>
      <c r="G994" s="158"/>
    </row>
    <row r="995">
      <c r="A995" s="153"/>
      <c r="B995" s="229"/>
      <c r="C995" s="230"/>
      <c r="D995" s="231"/>
      <c r="E995" s="157"/>
      <c r="F995" s="12"/>
      <c r="G995" s="158"/>
    </row>
    <row r="996">
      <c r="A996" s="153"/>
      <c r="B996" s="229"/>
      <c r="C996" s="230"/>
      <c r="D996" s="231"/>
      <c r="E996" s="157"/>
      <c r="F996" s="12"/>
      <c r="G996" s="158"/>
    </row>
    <row r="997">
      <c r="A997" s="153"/>
      <c r="B997" s="229"/>
      <c r="C997" s="230"/>
      <c r="D997" s="231"/>
      <c r="E997" s="157"/>
      <c r="F997" s="12"/>
      <c r="G997" s="158"/>
    </row>
    <row r="998">
      <c r="A998" s="153"/>
      <c r="B998" s="229"/>
      <c r="C998" s="230"/>
      <c r="D998" s="231"/>
      <c r="E998" s="157"/>
      <c r="F998" s="12"/>
      <c r="G998" s="158"/>
    </row>
    <row r="999">
      <c r="A999" s="153"/>
      <c r="B999" s="229"/>
      <c r="C999" s="230"/>
      <c r="D999" s="231"/>
      <c r="E999" s="157"/>
      <c r="F999" s="12"/>
      <c r="G999" s="158"/>
    </row>
    <row r="1000">
      <c r="A1000" s="153"/>
      <c r="B1000" s="229"/>
      <c r="C1000" s="230"/>
      <c r="D1000" s="231"/>
      <c r="E1000" s="157"/>
      <c r="F1000" s="12"/>
      <c r="G1000" s="158"/>
    </row>
    <row r="1001">
      <c r="A1001" s="153"/>
      <c r="B1001" s="229"/>
      <c r="C1001" s="230"/>
      <c r="D1001" s="231"/>
      <c r="E1001" s="157"/>
      <c r="F1001" s="12"/>
      <c r="G1001" s="158"/>
    </row>
    <row r="1002">
      <c r="A1002" s="153"/>
      <c r="B1002" s="229"/>
      <c r="C1002" s="230"/>
      <c r="D1002" s="231"/>
      <c r="E1002" s="157"/>
      <c r="F1002" s="12"/>
      <c r="G1002" s="158"/>
    </row>
    <row r="1003">
      <c r="A1003" s="153"/>
      <c r="B1003" s="229"/>
      <c r="C1003" s="230"/>
      <c r="D1003" s="231"/>
      <c r="E1003" s="157"/>
      <c r="F1003" s="12"/>
      <c r="G1003" s="158"/>
    </row>
    <row r="1004">
      <c r="A1004" s="153"/>
      <c r="B1004" s="229"/>
      <c r="C1004" s="230"/>
      <c r="D1004" s="231"/>
      <c r="E1004" s="157"/>
      <c r="F1004" s="12"/>
      <c r="G1004" s="158"/>
    </row>
    <row r="1005">
      <c r="A1005" s="153"/>
      <c r="B1005" s="229"/>
      <c r="C1005" s="230"/>
      <c r="D1005" s="231"/>
      <c r="E1005" s="157"/>
      <c r="F1005" s="12"/>
      <c r="G1005" s="158"/>
    </row>
    <row r="1006">
      <c r="A1006" s="153"/>
      <c r="B1006" s="229"/>
      <c r="C1006" s="230"/>
      <c r="D1006" s="231"/>
      <c r="E1006" s="157"/>
      <c r="F1006" s="12"/>
      <c r="G1006" s="158"/>
    </row>
    <row r="1007">
      <c r="A1007" s="153"/>
      <c r="B1007" s="229"/>
      <c r="C1007" s="230"/>
      <c r="D1007" s="231"/>
      <c r="E1007" s="157"/>
      <c r="F1007" s="12"/>
      <c r="G1007" s="158"/>
    </row>
    <row r="1008">
      <c r="A1008" s="153"/>
      <c r="B1008" s="229"/>
      <c r="C1008" s="230"/>
      <c r="D1008" s="231"/>
      <c r="E1008" s="157"/>
      <c r="F1008" s="12"/>
      <c r="G1008" s="158"/>
    </row>
  </sheetData>
  <mergeCells count="40">
    <mergeCell ref="I10:I13"/>
    <mergeCell ref="I15:I18"/>
    <mergeCell ref="I19:I21"/>
    <mergeCell ref="I22:I24"/>
    <mergeCell ref="A27:D27"/>
    <mergeCell ref="A28:D28"/>
    <mergeCell ref="I28:I30"/>
    <mergeCell ref="A29:D29"/>
    <mergeCell ref="A30:D30"/>
    <mergeCell ref="A31:D31"/>
    <mergeCell ref="A32:D32"/>
    <mergeCell ref="A33:D33"/>
    <mergeCell ref="A34:D34"/>
    <mergeCell ref="A35:D35"/>
    <mergeCell ref="A36:D36"/>
    <mergeCell ref="A37:D37"/>
    <mergeCell ref="A38:D38"/>
    <mergeCell ref="A39:D39"/>
    <mergeCell ref="A40:D40"/>
    <mergeCell ref="A41:D41"/>
    <mergeCell ref="A42:D42"/>
    <mergeCell ref="A43:D43"/>
    <mergeCell ref="A44:D44"/>
    <mergeCell ref="A45:D45"/>
    <mergeCell ref="A46:D46"/>
    <mergeCell ref="A47:D47"/>
    <mergeCell ref="A48:D48"/>
    <mergeCell ref="A49:D49"/>
    <mergeCell ref="A57:D57"/>
    <mergeCell ref="A58:D58"/>
    <mergeCell ref="A59:D59"/>
    <mergeCell ref="A60:D60"/>
    <mergeCell ref="A61:D61"/>
    <mergeCell ref="A50:D50"/>
    <mergeCell ref="A51:D51"/>
    <mergeCell ref="A52:D52"/>
    <mergeCell ref="A53:D53"/>
    <mergeCell ref="A54:D54"/>
    <mergeCell ref="A55:D55"/>
    <mergeCell ref="A56:D56"/>
  </mergeCells>
  <conditionalFormatting sqref="B9:D24">
    <cfRule type="expression" dxfId="13" priority="1">
      <formula>$A9="Yes!"</formula>
    </cfRule>
  </conditionalFormatting>
  <conditionalFormatting sqref="A9:A24">
    <cfRule type="containsText" dxfId="15" priority="2" operator="containsText" text="Yes">
      <formula>NOT(ISERROR(SEARCH(("Yes"),(A9))))</formula>
    </cfRule>
  </conditionalFormatting>
  <conditionalFormatting sqref="A9:A24">
    <cfRule type="containsText" dxfId="14" priority="3" operator="containsText" text="No">
      <formula>NOT(ISERROR(SEARCH(("No"),(A9))))</formula>
    </cfRule>
  </conditionalFormatting>
  <drawing r:id="rId4"/>
  <legacyDrawing r:id="rId5"/>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cols>
    <col customWidth="1" min="1" max="1" width="21.38"/>
    <col customWidth="1" min="2" max="2" width="15.13"/>
    <col customWidth="1" min="3" max="3" width="68.75"/>
    <col customWidth="1" min="4" max="4" width="9.0"/>
    <col customWidth="1" min="10" max="10" width="11.0"/>
  </cols>
  <sheetData>
    <row r="1">
      <c r="A1" s="346" t="str">
        <f>IFERROR(__xludf.DUMMYFUNCTION("IMPORTRANGE(""https://docs.google.com/spreadsheets/d/1PPFix0KE5FV0_ekB8X93l4fBTTlhI3_4FnP7klgfg_Y/edit?gid=0#gid=0"", ""Noctara!a1:f100"")"),"NOCTARA")</f>
        <v>NOCTARA</v>
      </c>
      <c r="B1" s="337"/>
      <c r="C1" s="338" t="str">
        <f>IFERROR(__xludf.DUMMYFUNCTION("""COMPUTED_VALUE"""),"Nadia (Sherry Rinell)")</f>
        <v>Nadia (Sherry Rinell)</v>
      </c>
      <c r="D1" s="339"/>
      <c r="E1" s="339"/>
      <c r="F1" s="343"/>
      <c r="G1" s="343"/>
      <c r="H1" s="343"/>
      <c r="I1" s="343"/>
      <c r="J1" s="343"/>
      <c r="K1" s="339"/>
      <c r="L1" s="339"/>
      <c r="M1" s="339"/>
      <c r="N1" s="339"/>
      <c r="O1" s="339"/>
      <c r="P1" s="339"/>
      <c r="Q1" s="339"/>
      <c r="R1" s="339"/>
      <c r="S1" s="339"/>
      <c r="T1" s="339"/>
      <c r="U1" s="339"/>
      <c r="V1" s="339"/>
      <c r="W1" s="339"/>
      <c r="X1" s="339"/>
      <c r="Y1" s="339"/>
    </row>
    <row r="2">
      <c r="A2" s="214"/>
      <c r="B2" s="12"/>
      <c r="C2" s="137"/>
      <c r="D2" s="214"/>
      <c r="E2" s="260" t="str">
        <f>IFERROR(__xludf.DUMMYFUNCTION("""COMPUTED_VALUE"""),"Caster")</f>
        <v>Caster</v>
      </c>
      <c r="F2" s="214" t="str">
        <f>IFERROR(__xludf.DUMMYFUNCTION("""COMPUTED_VALUE"""),"Malvauex")</f>
        <v>Malvauex</v>
      </c>
    </row>
    <row r="3">
      <c r="A3" s="262" t="str">
        <f>IFERROR(__xludf.DUMMYFUNCTION("""COMPUTED_VALUE"""),"PARTY PATH")</f>
        <v>PARTY PATH</v>
      </c>
      <c r="B3" s="12"/>
      <c r="C3" s="137"/>
      <c r="D3" s="214"/>
      <c r="E3" s="260" t="str">
        <f>IFERROR(__xludf.DUMMYFUNCTION("""COMPUTED_VALUE"""),"Keeper")</f>
        <v>Keeper</v>
      </c>
      <c r="F3" s="214" t="str">
        <f>IFERROR(__xludf.DUMMYFUNCTION("""COMPUTED_VALUE"""),"Vevve")</f>
        <v>Vevve</v>
      </c>
    </row>
    <row r="4">
      <c r="A4" s="8" t="str">
        <f>IFERROR(__xludf.DUMMYFUNCTION("""COMPUTED_VALUE"""),"Character")</f>
        <v>Character</v>
      </c>
      <c r="B4" s="86" t="str">
        <f>IFERROR(__xludf.DUMMYFUNCTION("""COMPUTED_VALUE"""),"Gave Item/Info")</f>
        <v>Gave Item/Info</v>
      </c>
      <c r="C4" s="263" t="str">
        <f>IFERROR(__xludf.DUMMYFUNCTION("""COMPUTED_VALUE"""),"Notes")</f>
        <v>Notes</v>
      </c>
      <c r="D4" s="214"/>
      <c r="E4" s="260" t="str">
        <f>IFERROR(__xludf.DUMMYFUNCTION("""COMPUTED_VALUE"""),"Maker")</f>
        <v>Maker</v>
      </c>
      <c r="F4" s="214" t="str">
        <f>IFERROR(__xludf.DUMMYFUNCTION("""COMPUTED_VALUE"""),"Thaddee; curly hair, black pants")</f>
        <v>Thaddee; curly hair, black pants</v>
      </c>
    </row>
    <row r="5">
      <c r="A5" s="32" t="str">
        <f>IFERROR(__xludf.DUMMYFUNCTION("""COMPUTED_VALUE"""),"Eugenie Bright")</f>
        <v>Eugenie Bright</v>
      </c>
      <c r="B5" s="48" t="b">
        <f>IFERROR(__xludf.DUMMYFUNCTION("""COMPUTED_VALUE"""),TRUE)</f>
        <v>1</v>
      </c>
      <c r="C5" s="138" t="str">
        <f>IFERROR(__xludf.DUMMYFUNCTION("""COMPUTED_VALUE"""),"cow")</f>
        <v>cow</v>
      </c>
      <c r="D5" s="214"/>
      <c r="E5" s="260" t="str">
        <f>IFERROR(__xludf.DUMMYFUNCTION("""COMPUTED_VALUE"""),"Ranger")</f>
        <v>Ranger</v>
      </c>
      <c r="F5" s="214" t="str">
        <f>IFERROR(__xludf.DUMMYFUNCTION("""COMPUTED_VALUE"""),"Tamarix")</f>
        <v>Tamarix</v>
      </c>
    </row>
    <row r="6">
      <c r="A6" s="32" t="str">
        <f>IFERROR(__xludf.DUMMYFUNCTION("""COMPUTED_VALUE"""),"Bonnie Stillwater")</f>
        <v>Bonnie Stillwater</v>
      </c>
      <c r="B6" s="48" t="b">
        <f>IFERROR(__xludf.DUMMYFUNCTION("""COMPUTED_VALUE"""),TRUE)</f>
        <v>1</v>
      </c>
      <c r="C6" s="222" t="str">
        <f>IFERROR(__xludf.DUMMYFUNCTION("""COMPUTED_VALUE"""),"They said they want the chalice, but were cagey about why. Sent them to Aleeya jag")</f>
        <v>They said they want the chalice, but were cagey about why. Sent them to Aleeya jag</v>
      </c>
      <c r="D6" s="214"/>
      <c r="E6" s="260" t="str">
        <f>IFERROR(__xludf.DUMMYFUNCTION("""COMPUTED_VALUE"""),"Seeker")</f>
        <v>Seeker</v>
      </c>
      <c r="F6" s="214" t="str">
        <f>IFERROR(__xludf.DUMMYFUNCTION("""COMPUTED_VALUE"""),"Remmie")</f>
        <v>Remmie</v>
      </c>
    </row>
    <row r="7">
      <c r="A7" s="32" t="str">
        <f>IFERROR(__xludf.DUMMYFUNCTION("""COMPUTED_VALUE"""),"Natasha")</f>
        <v>Natasha</v>
      </c>
      <c r="B7" s="12" t="b">
        <f>IFERROR(__xludf.DUMMYFUNCTION("""COMPUTED_VALUE"""),TRUE)</f>
        <v>1</v>
      </c>
      <c r="C7" s="138" t="str">
        <f>IFERROR(__xludf.DUMMYFUNCTION("""COMPUTED_VALUE"""),"Are super nice and kept an eye on one party member that kept running into the woods for treasure")</f>
        <v>Are super nice and kept an eye on one party member that kept running into the woods for treasure</v>
      </c>
      <c r="D7" s="214"/>
      <c r="E7" s="260" t="str">
        <f>IFERROR(__xludf.DUMMYFUNCTION("""COMPUTED_VALUE"""),"Traveler")</f>
        <v>Traveler</v>
      </c>
      <c r="F7" s="214" t="str">
        <f>IFERROR(__xludf.DUMMYFUNCTION("""COMPUTED_VALUE"""),"Vanentine (sic)")</f>
        <v>Vanentine (sic)</v>
      </c>
    </row>
    <row r="8">
      <c r="A8" s="32" t="str">
        <f>IFERROR(__xludf.DUMMYFUNCTION("""COMPUTED_VALUE"""),"Aleeya Witchborn")</f>
        <v>Aleeya Witchborn</v>
      </c>
      <c r="B8" s="48" t="b">
        <f>IFERROR(__xludf.DUMMYFUNCTION("""COMPUTED_VALUE"""),TRUE)</f>
        <v>1</v>
      </c>
      <c r="C8" s="138" t="str">
        <f>IFERROR(__xludf.DUMMYFUNCTION("""COMPUTED_VALUE"""),"Had fun with Managers and Peons. Fun group. Very interested in why Bonnie needs this. They appreciate the mystery of magic.Lots of jokes about their court caster. Seemed to have very natural interactions - DL
")</f>
        <v>Had fun with Managers and Peons. Fun group. Very interested in why Bonnie needs this. They appreciate the mystery of magic.Lots of jokes about their court caster. Seemed to have very natural interactions - DL
</v>
      </c>
      <c r="D8" s="214"/>
      <c r="E8" s="214"/>
      <c r="F8" s="214"/>
    </row>
    <row r="9">
      <c r="A9" s="32" t="str">
        <f>IFERROR(__xludf.DUMMYFUNCTION("""COMPUTED_VALUE"""),"Santiago West Valerius")</f>
        <v>Santiago West Valerius</v>
      </c>
      <c r="B9" s="48" t="b">
        <f>IFERROR(__xludf.DUMMYFUNCTION("""COMPUTED_VALUE"""),TRUE)</f>
        <v>1</v>
      </c>
      <c r="C9" s="222" t="str">
        <f>IFERROR(__xludf.DUMMYFUNCTION("""COMPUTED_VALUE"""),"Good combat practice.  Group dynamic seems good")</f>
        <v>Good combat practice.  Group dynamic seems good</v>
      </c>
      <c r="D9" s="214"/>
      <c r="E9" s="214"/>
      <c r="F9" s="214"/>
    </row>
    <row r="10">
      <c r="A10" s="32" t="str">
        <f>IFERROR(__xludf.DUMMYFUNCTION("""COMPUTED_VALUE"""),"Tanya Peacock (Don't Give Item)")</f>
        <v>Tanya Peacock (Don't Give Item)</v>
      </c>
      <c r="B10" s="48" t="b">
        <f>IFERROR(__xludf.DUMMYFUNCTION("""COMPUTED_VALUE"""),TRUE)</f>
        <v>1</v>
      </c>
      <c r="C10" s="138" t="str">
        <f>IFERROR(__xludf.DUMMYFUNCTION("""COMPUTED_VALUE"""),"1:15p: They know I have the item. Will join me after lunch to walk to Camp. 2:40p: success! As a group they are listening and communicating and supporting and succeeding SO WELL!!! Pitchpipe challenge was SO IMPRESSIVE. I am so impressed with their cohesi"&amp;"veness. We plan to meet tomorrow 9:15a, as they told me they have to meet Bonnie at 9:30am. ")</f>
        <v>1:15p: They know I have the item. Will join me after lunch to walk to Camp. 2:40p: success! As a group they are listening and communicating and supporting and succeeding SO WELL!!! Pitchpipe challenge was SO IMPRESSIVE. I am so impressed with their cohesiveness. We plan to meet tomorrow 9:15a, as they told me they have to meet Bonnie at 9:30am. </v>
      </c>
      <c r="D10" s="214"/>
      <c r="E10" s="214"/>
      <c r="F10" s="214"/>
    </row>
    <row r="11">
      <c r="A11" s="32" t="str">
        <f>IFERROR(__xludf.DUMMYFUNCTION("""COMPUTED_VALUE"""),"Kyli Talespinner")</f>
        <v>Kyli Talespinner</v>
      </c>
      <c r="B11" s="48" t="b">
        <f>IFERROR(__xludf.DUMMYFUNCTION("""COMPUTED_VALUE"""),TRUE)</f>
        <v>1</v>
      </c>
      <c r="C11" s="138" t="str">
        <f>IFERROR(__xludf.DUMMYFUNCTION("""COMPUTED_VALUE"""),"left item at Makai camp with Kerrick and Kovi because party had not yet come for CoI by 2pm - MG. Riddle/paper given to Noctara after Cup. Took 4 rounds of the cup to get meaningful answers that were longer than one or two words. Got there in the end. (GR"&amp;")")</f>
        <v>left item at Makai camp with Kerrick and Kovi because party had not yet come for CoI by 2pm - MG. Riddle/paper given to Noctara after Cup. Took 4 rounds of the cup to get meaningful answers that were longer than one or two words. Got there in the end. (GR)</v>
      </c>
      <c r="D11" s="214"/>
      <c r="E11" s="214"/>
      <c r="F11" s="214"/>
    </row>
    <row r="12">
      <c r="A12" s="214" t="str">
        <f>IFERROR(__xludf.DUMMYFUNCTION("""COMPUTED_VALUE"""),"Cary Montalvo")</f>
        <v>Cary Montalvo</v>
      </c>
      <c r="B12" s="48" t="b">
        <f>IFERROR(__xludf.DUMMYFUNCTION("""COMPUTED_VALUE"""),TRUE)</f>
        <v>1</v>
      </c>
      <c r="C12" s="138" t="str">
        <f>IFERROR(__xludf.DUMMYFUNCTION("""COMPUTED_VALUE"""),"Charming group. Clearly care about each other. ")</f>
        <v>Charming group. Clearly care about each other. </v>
      </c>
      <c r="D12" s="214"/>
      <c r="E12" s="214"/>
      <c r="F12" s="214"/>
    </row>
    <row r="13">
      <c r="A13" s="214" t="str">
        <f>IFERROR(__xludf.DUMMYFUNCTION("""COMPUTED_VALUE"""),"Dorito")</f>
        <v>Dorito</v>
      </c>
      <c r="B13" s="12" t="b">
        <f>IFERROR(__xludf.DUMMYFUNCTION("""COMPUTED_VALUE"""),TRUE)</f>
        <v>1</v>
      </c>
      <c r="C13" s="138" t="str">
        <f>IFERROR(__xludf.DUMMYFUNCTION("""COMPUTED_VALUE"""),"Did great - talked about wanting to help bonnie. ER")</f>
        <v>Did great - talked about wanting to help bonnie. ER</v>
      </c>
      <c r="D13" s="214"/>
      <c r="E13" s="214"/>
      <c r="F13" s="214"/>
    </row>
    <row r="14">
      <c r="A14" s="214" t="str">
        <f>IFERROR(__xludf.DUMMYFUNCTION("""COMPUTED_VALUE"""),"Bailey")</f>
        <v>Bailey</v>
      </c>
      <c r="B14" s="12" t="b">
        <f>IFERROR(__xludf.DUMMYFUNCTION("""COMPUTED_VALUE"""),TRUE)</f>
        <v>1</v>
      </c>
      <c r="C14" s="138" t="str">
        <f>IFERROR(__xludf.DUMMYFUNCTION("""COMPUTED_VALUE"""),"Keep asking me if I know any *other* dog-people. Totally oblivious")</f>
        <v>Keep asking me if I know any *other* dog-people. Totally oblivious</v>
      </c>
      <c r="D14" s="214"/>
      <c r="E14" s="214"/>
      <c r="F14" s="214"/>
    </row>
    <row r="15">
      <c r="A15" s="32" t="str">
        <f>IFERROR(__xludf.DUMMYFUNCTION("""COMPUTED_VALUE"""),"Samuelson")</f>
        <v>Samuelson</v>
      </c>
      <c r="B15" s="12" t="b">
        <f>IFERROR(__xludf.DUMMYFUNCTION("""COMPUTED_VALUE"""),TRUE)</f>
        <v>1</v>
      </c>
      <c r="C15" s="138" t="str">
        <f>IFERROR(__xludf.DUMMYFUNCTION("""COMPUTED_VALUE"""),"Surprised me at dinner Saturday night with a picture of a portrait of me drawn by JPeg.  Couldn't get him to give me the original.")</f>
        <v>Surprised me at dinner Saturday night with a picture of a portrait of me drawn by JPeg.  Couldn't get him to give me the original.</v>
      </c>
      <c r="D15" s="214"/>
      <c r="E15" s="214"/>
      <c r="F15" s="214"/>
    </row>
    <row r="16">
      <c r="A16" s="214" t="str">
        <f>IFERROR(__xludf.DUMMYFUNCTION("""COMPUTED_VALUE"""),"Pearl Bryce")</f>
        <v>Pearl Bryce</v>
      </c>
      <c r="B16" s="12" t="b">
        <f>IFERROR(__xludf.DUMMYFUNCTION("""COMPUTED_VALUE"""),TRUE)</f>
        <v>1</v>
      </c>
      <c r="C16" s="137" t="str">
        <f>IFERROR(__xludf.DUMMYFUNCTION("""COMPUTED_VALUE"""),"Given around 11:30am friendly seemed in good spirits!")</f>
        <v>Given around 11:30am friendly seemed in good spirits!</v>
      </c>
      <c r="D16" s="214"/>
      <c r="E16" s="214"/>
      <c r="F16" s="214"/>
    </row>
    <row r="17">
      <c r="A17" s="216" t="str">
        <f>IFERROR(__xludf.DUMMYFUNCTION("""COMPUTED_VALUE"""),"Ghost Theater")</f>
        <v>Ghost Theater</v>
      </c>
      <c r="B17" s="216" t="b">
        <f>IFERROR(__xludf.DUMMYFUNCTION("""COMPUTED_VALUE"""),TRUE)</f>
        <v>1</v>
      </c>
      <c r="C17" s="137" t="str">
        <f>IFERROR(__xludf.DUMMYFUNCTION("""COMPUTED_VALUE"""),"Challenging.  Took a few wounds in the process.  Really grateful to get the limelight.")</f>
        <v>Challenging.  Took a few wounds in the process.  Really grateful to get the limelight.</v>
      </c>
      <c r="D17" s="214" t="str">
        <f>IFERROR(__xludf.DUMMYFUNCTION("""COMPUTED_VALUE"""),"Sat AM- Aria showed them Golden Page, and explained ""theater belongs to the ghosts now"" DG")</f>
        <v>Sat AM- Aria showed them Golden Page, and explained "theater belongs to the ghosts now" DG</v>
      </c>
      <c r="E17" s="214"/>
      <c r="F17" s="214"/>
    </row>
    <row r="18">
      <c r="A18" s="216" t="str">
        <f>IFERROR(__xludf.DUMMYFUNCTION("""COMPUTED_VALUE"""),"Tanya Peacock (Sunday)")</f>
        <v>Tanya Peacock (Sunday)</v>
      </c>
      <c r="B18" s="232" t="b">
        <f>IFERROR(__xludf.DUMMYFUNCTION("""COMPUTED_VALUE"""),FALSE)</f>
        <v>0</v>
      </c>
      <c r="C18" s="263"/>
      <c r="D18" s="86"/>
      <c r="E18" s="214"/>
      <c r="F18" s="214"/>
    </row>
    <row r="19">
      <c r="A19" s="32" t="str">
        <f>IFERROR(__xludf.DUMMYFUNCTION("""COMPUTED_VALUE"""),"Bonnie Stillwater")</f>
        <v>Bonnie Stillwater</v>
      </c>
      <c r="B19" s="48" t="b">
        <f>IFERROR(__xludf.DUMMYFUNCTION("""COMPUTED_VALUE"""),FALSE)</f>
        <v>0</v>
      </c>
      <c r="C19" s="138"/>
      <c r="D19" s="12"/>
      <c r="E19" s="214"/>
      <c r="F19" s="214"/>
    </row>
    <row r="20">
      <c r="A20" s="32"/>
      <c r="B20" s="48"/>
      <c r="C20" s="138"/>
      <c r="D20" s="12"/>
      <c r="E20" s="214"/>
      <c r="F20" s="214"/>
    </row>
    <row r="21">
      <c r="A21" s="32"/>
      <c r="B21" s="48"/>
      <c r="C21" s="222"/>
      <c r="D21" s="12"/>
      <c r="E21" s="214"/>
      <c r="F21" s="214"/>
    </row>
    <row r="22">
      <c r="A22" s="32" t="str">
        <f>IFERROR(__xludf.DUMMYFUNCTION("""COMPUTED_VALUE"""),"CHARGE INFO")</f>
        <v>CHARGE INFO</v>
      </c>
      <c r="B22" s="48" t="str">
        <f>IFERROR(__xludf.DUMMYFUNCTION("""COMPUTED_VALUE"""),"(Kerrick Dealbinder)")</f>
        <v>(Kerrick Dealbinder)</v>
      </c>
      <c r="C22" s="138"/>
      <c r="D22" s="12"/>
      <c r="E22" s="214"/>
      <c r="F22" s="214"/>
    </row>
    <row r="23">
      <c r="A23" s="32" t="str">
        <f>IFERROR(__xludf.DUMMYFUNCTION("""COMPUTED_VALUE"""),"Character")</f>
        <v>Character</v>
      </c>
      <c r="B23" s="48" t="str">
        <f>IFERROR(__xludf.DUMMYFUNCTION("""COMPUTED_VALUE"""),"Gave Info")</f>
        <v>Gave Info</v>
      </c>
      <c r="C23" s="222" t="str">
        <f>IFERROR(__xludf.DUMMYFUNCTION("""COMPUTED_VALUE"""),"Notes")</f>
        <v>Notes</v>
      </c>
      <c r="D23" s="12"/>
      <c r="E23" s="214"/>
      <c r="F23" s="214"/>
    </row>
    <row r="24">
      <c r="A24" s="32" t="str">
        <f>IFERROR(__xludf.DUMMYFUNCTION("""COMPUTED_VALUE"""),"Kullis Toolforger")</f>
        <v>Kullis Toolforger</v>
      </c>
      <c r="B24" s="48" t="b">
        <f>IFERROR(__xludf.DUMMYFUNCTION("""COMPUTED_VALUE"""),TRUE)</f>
        <v>1</v>
      </c>
      <c r="C24" s="138" t="str">
        <f>IFERROR(__xludf.DUMMYFUNCTION("""COMPUTED_VALUE"""),"Handed them the charge. They are eager to hdear both sides of story.")</f>
        <v>Handed them the charge. They are eager to hdear both sides of story.</v>
      </c>
      <c r="D24" s="12"/>
      <c r="E24" s="214"/>
      <c r="F24" s="214"/>
    </row>
    <row r="25">
      <c r="A25" s="32" t="str">
        <f>IFERROR(__xludf.DUMMYFUNCTION("""COMPUTED_VALUE"""),"Adina Valerius")</f>
        <v>Adina Valerius</v>
      </c>
      <c r="B25" s="48" t="b">
        <f>IFERROR(__xludf.DUMMYFUNCTION("""COMPUTED_VALUE"""),TRUE)</f>
        <v>1</v>
      </c>
      <c r="C25" s="138"/>
      <c r="D25" s="12"/>
      <c r="E25" s="214"/>
      <c r="F25" s="214"/>
    </row>
    <row r="26">
      <c r="A26" s="32" t="str">
        <f>IFERROR(__xludf.DUMMYFUNCTION("""COMPUTED_VALUE"""),"Charlie Peacock")</f>
        <v>Charlie Peacock</v>
      </c>
      <c r="B26" s="48" t="b">
        <f>IFERROR(__xludf.DUMMYFUNCTION("""COMPUTED_VALUE"""),FALSE)</f>
        <v>0</v>
      </c>
      <c r="C26" s="138"/>
      <c r="D26" s="12"/>
      <c r="E26" s="214"/>
      <c r="F26" s="214"/>
    </row>
    <row r="27">
      <c r="A27" s="32" t="str">
        <f>IFERROR(__xludf.DUMMYFUNCTION("""COMPUTED_VALUE"""),"Malachi")</f>
        <v>Malachi</v>
      </c>
      <c r="B27" s="48" t="b">
        <f>IFERROR(__xludf.DUMMYFUNCTION("""COMPUTED_VALUE"""),TRUE)</f>
        <v>1</v>
      </c>
      <c r="C27" s="138" t="str">
        <f>IFERROR(__xludf.DUMMYFUNCTION("""COMPUTED_VALUE"""),"They defintely understand that the crown is important, and that Tanya and Kerrick are important players in that, and that they should be learning about this.")</f>
        <v>They defintely understand that the crown is important, and that Tanya and Kerrick are important players in that, and that they should be learning about this.</v>
      </c>
      <c r="D27" s="12"/>
      <c r="E27" s="214"/>
      <c r="F27" s="214"/>
    </row>
    <row r="28">
      <c r="A28" s="32" t="str">
        <f>IFERROR(__xludf.DUMMYFUNCTION("""COMPUTED_VALUE"""),"Ned Crochett")</f>
        <v>Ned Crochett</v>
      </c>
      <c r="B28" s="48" t="b">
        <f>IFERROR(__xludf.DUMMYFUNCTION("""COMPUTED_VALUE"""),FALSE)</f>
        <v>0</v>
      </c>
      <c r="C28" s="222"/>
      <c r="D28" s="12"/>
      <c r="E28" s="214"/>
      <c r="F28" s="214"/>
    </row>
    <row r="29">
      <c r="A29" s="32" t="str">
        <f>IFERROR(__xludf.DUMMYFUNCTION("""COMPUTED_VALUE"""),"Tanya Peacock")</f>
        <v>Tanya Peacock</v>
      </c>
      <c r="B29" s="48" t="b">
        <f>IFERROR(__xludf.DUMMYFUNCTION("""COMPUTED_VALUE"""),TRUE)</f>
        <v>1</v>
      </c>
      <c r="C29" s="138" t="str">
        <f>IFERROR(__xludf.DUMMYFUNCTION("""COMPUTED_VALUE"""),"They know all about Tanya's tiara and think it may be plausible that Dealbinder actually did find my crown in a chest - and it somehow got there Thursday during the time noone remembers. ")</f>
        <v>They know all about Tanya's tiara and think it may be plausible that Dealbinder actually did find my crown in a chest - and it somehow got there Thursday during the time noone remembers. </v>
      </c>
      <c r="D29" s="12"/>
      <c r="E29" s="214"/>
      <c r="F29" s="214"/>
    </row>
    <row r="30">
      <c r="A30" s="32" t="str">
        <f>IFERROR(__xludf.DUMMYFUNCTION("""COMPUTED_VALUE"""),"Kira")</f>
        <v>Kira</v>
      </c>
      <c r="B30" s="48" t="b">
        <f>IFERROR(__xludf.DUMMYFUNCTION("""COMPUTED_VALUE"""),FALSE)</f>
        <v>0</v>
      </c>
      <c r="C30" s="138"/>
      <c r="D30" s="12"/>
      <c r="E30" s="214"/>
      <c r="F30" s="214"/>
    </row>
    <row r="31">
      <c r="A31" s="32" t="str">
        <f>IFERROR(__xludf.DUMMYFUNCTION("""COMPUTED_VALUE"""),"Teknos")</f>
        <v>Teknos</v>
      </c>
      <c r="B31" s="48" t="b">
        <f>IFERROR(__xludf.DUMMYFUNCTION("""COMPUTED_VALUE"""),TRUE)</f>
        <v>1</v>
      </c>
      <c r="C31" s="138" t="str">
        <f>IFERROR(__xludf.DUMMYFUNCTION("""COMPUTED_VALUE"""),"Connecterd after sat night events")</f>
        <v>Connecterd after sat night events</v>
      </c>
      <c r="D31" s="12"/>
      <c r="E31" s="214"/>
      <c r="F31" s="214"/>
    </row>
    <row r="32">
      <c r="A32" s="32" t="str">
        <f>IFERROR(__xludf.DUMMYFUNCTION("""COMPUTED_VALUE"""),"Kazmira")</f>
        <v>Kazmira</v>
      </c>
      <c r="B32" s="48" t="b">
        <f>IFERROR(__xludf.DUMMYFUNCTION("""COMPUTED_VALUE"""),FALSE)</f>
        <v>0</v>
      </c>
      <c r="C32" s="138"/>
      <c r="D32" s="12"/>
      <c r="E32" s="214"/>
      <c r="F32" s="214"/>
    </row>
    <row r="33">
      <c r="A33" s="32" t="str">
        <f>IFERROR(__xludf.DUMMYFUNCTION("""COMPUTED_VALUE"""),"Lincroft Spence")</f>
        <v>Lincroft Spence</v>
      </c>
      <c r="B33" s="48" t="b">
        <f>IFERROR(__xludf.DUMMYFUNCTION("""COMPUTED_VALUE"""),FALSE)</f>
        <v>0</v>
      </c>
      <c r="C33" s="138"/>
      <c r="D33" s="12"/>
      <c r="E33" s="214"/>
      <c r="F33" s="214"/>
    </row>
    <row r="34">
      <c r="A34" s="32" t="str">
        <f>IFERROR(__xludf.DUMMYFUNCTION("""COMPUTED_VALUE"""),"Kyson Wayseeker")</f>
        <v>Kyson Wayseeker</v>
      </c>
      <c r="B34" s="48" t="b">
        <f>IFERROR(__xludf.DUMMYFUNCTION("""COMPUTED_VALUE"""),FALSE)</f>
        <v>0</v>
      </c>
      <c r="C34" s="138"/>
      <c r="D34" s="12"/>
      <c r="E34" s="214"/>
      <c r="F34" s="214"/>
    </row>
    <row r="35">
      <c r="A35" s="32" t="str">
        <f>IFERROR(__xludf.DUMMYFUNCTION("""COMPUTED_VALUE"""),"Kemma Runereader")</f>
        <v>Kemma Runereader</v>
      </c>
      <c r="B35" s="48" t="b">
        <f>IFERROR(__xludf.DUMMYFUNCTION("""COMPUTED_VALUE"""),TRUE)</f>
        <v>1</v>
      </c>
      <c r="C35" s="138" t="str">
        <f>IFERROR(__xludf.DUMMYFUNCTION("""COMPUTED_VALUE"""),"Lunch: talked w/2 about ominous rune reading; offered the Makai ""hex"" against danger detail. (EC)")</f>
        <v>Lunch: talked w/2 about ominous rune reading; offered the Makai "hex" against danger detail. (EC)</v>
      </c>
      <c r="D35" s="12"/>
      <c r="E35" s="214"/>
      <c r="F35" s="214"/>
    </row>
    <row r="36">
      <c r="A36" s="32" t="str">
        <f>IFERROR(__xludf.DUMMYFUNCTION("""COMPUTED_VALUE"""),"Kazim Firestarter")</f>
        <v>Kazim Firestarter</v>
      </c>
      <c r="B36" s="48" t="b">
        <f>IFERROR(__xludf.DUMMYFUNCTION("""COMPUTED_VALUE"""),FALSE)</f>
        <v>0</v>
      </c>
      <c r="C36" s="138"/>
      <c r="D36" s="12"/>
      <c r="E36" s="214"/>
      <c r="F36" s="214"/>
    </row>
    <row r="37">
      <c r="A37" s="32" t="str">
        <f>IFERROR(__xludf.DUMMYFUNCTION("""COMPUTED_VALUE"""),"Mick Peacock")</f>
        <v>Mick Peacock</v>
      </c>
      <c r="B37" s="48" t="b">
        <f>IFERROR(__xludf.DUMMYFUNCTION("""COMPUTED_VALUE"""),TRUE)</f>
        <v>1</v>
      </c>
      <c r="C37" s="138"/>
      <c r="D37" s="12"/>
      <c r="E37" s="214"/>
      <c r="F37" s="214"/>
    </row>
    <row r="38">
      <c r="A38" s="32" t="str">
        <f>IFERROR(__xludf.DUMMYFUNCTION("""COMPUTED_VALUE"""),"Melados")</f>
        <v>Melados</v>
      </c>
      <c r="B38" s="48" t="b">
        <f>IFERROR(__xludf.DUMMYFUNCTION("""COMPUTED_VALUE"""),TRUE)</f>
        <v>1</v>
      </c>
      <c r="C38" s="138" t="str">
        <f>IFERROR(__xludf.DUMMYFUNCTION("""COMPUTED_VALUE"""),"Talked up Jack Johnson as a good guy soon after lunch")</f>
        <v>Talked up Jack Johnson as a good guy soon after lunch</v>
      </c>
      <c r="D38" s="12"/>
      <c r="E38" s="214"/>
      <c r="F38" s="214"/>
    </row>
    <row r="39">
      <c r="A39" s="32" t="str">
        <f>IFERROR(__xludf.DUMMYFUNCTION("""COMPUTED_VALUE"""),"Cal Coleman")</f>
        <v>Cal Coleman</v>
      </c>
      <c r="B39" s="48" t="b">
        <f>IFERROR(__xludf.DUMMYFUNCTION("""COMPUTED_VALUE"""),FALSE)</f>
        <v>0</v>
      </c>
      <c r="C39" s="138"/>
      <c r="D39" s="12"/>
      <c r="E39" s="214"/>
      <c r="F39" s="214"/>
    </row>
    <row r="40">
      <c r="A40" s="32" t="str">
        <f>IFERROR(__xludf.DUMMYFUNCTION("""COMPUTED_VALUE"""),"Cameron Light-Astor")</f>
        <v>Cameron Light-Astor</v>
      </c>
      <c r="B40" s="48" t="b">
        <f>IFERROR(__xludf.DUMMYFUNCTION("""COMPUTED_VALUE"""),TRUE)</f>
        <v>1</v>
      </c>
      <c r="C40" s="138" t="str">
        <f>IFERROR(__xludf.DUMMYFUNCTION("""COMPUTED_VALUE"""),"Mentioned Jack Johnson looked familiar. They wanted to rule out it was from a Most Wanted List or prevoius Phantom duty. Assured them it wasn't that, just something familiar from before that - RP")</f>
        <v>Mentioned Jack Johnson looked familiar. They wanted to rule out it was from a Most Wanted List or prevoius Phantom duty. Assured them it wasn't that, just something familiar from before that - RP</v>
      </c>
      <c r="D40" s="12"/>
      <c r="E40" s="214"/>
      <c r="F40" s="214"/>
    </row>
    <row r="41">
      <c r="A41" s="32" t="str">
        <f>IFERROR(__xludf.DUMMYFUNCTION("""COMPUTED_VALUE"""),"Jack Johnson")</f>
        <v>Jack Johnson</v>
      </c>
      <c r="B41" s="48" t="b">
        <f>IFERROR(__xludf.DUMMYFUNCTION("""COMPUTED_VALUE"""),FALSE)</f>
        <v>0</v>
      </c>
      <c r="C41" s="138"/>
      <c r="D41" s="12"/>
      <c r="E41" s="214"/>
      <c r="F41" s="214"/>
    </row>
    <row r="42">
      <c r="A42" s="32" t="str">
        <f>IFERROR(__xludf.DUMMYFUNCTION("""COMPUTED_VALUE"""),"Ursula Smirch")</f>
        <v>Ursula Smirch</v>
      </c>
      <c r="B42" s="48" t="b">
        <f>IFERROR(__xludf.DUMMYFUNCTION("""COMPUTED_VALUE"""),TRUE)</f>
        <v>1</v>
      </c>
      <c r="C42" s="138"/>
      <c r="D42" s="12"/>
      <c r="E42" s="214"/>
      <c r="F42" s="214"/>
    </row>
    <row r="43">
      <c r="A43" s="32" t="str">
        <f>IFERROR(__xludf.DUMMYFUNCTION("""COMPUTED_VALUE"""),"Buzzkill")</f>
        <v>Buzzkill</v>
      </c>
      <c r="B43" s="48" t="b">
        <f>IFERROR(__xludf.DUMMYFUNCTION("""COMPUTED_VALUE"""),TRUE)</f>
        <v>1</v>
      </c>
      <c r="C43" s="138" t="str">
        <f>IFERROR(__xludf.DUMMYFUNCTION("""COMPUTED_VALUE"""),"Told Blonde Femme presenting member of the group the information and that Karla was the little ""princess"" (AS)")</f>
        <v>Told Blonde Femme presenting member of the group the information and that Karla was the little "princess" (AS)</v>
      </c>
      <c r="D43" s="12"/>
      <c r="E43" s="214"/>
      <c r="F43" s="214"/>
    </row>
    <row r="44">
      <c r="A44" s="32" t="str">
        <f>IFERROR(__xludf.DUMMYFUNCTION("""COMPUTED_VALUE"""),"Quinoa")</f>
        <v>Quinoa</v>
      </c>
      <c r="B44" s="48" t="b">
        <f>IFERROR(__xludf.DUMMYFUNCTION("""COMPUTED_VALUE"""),TRUE)</f>
        <v>1</v>
      </c>
      <c r="C44" s="138"/>
      <c r="D44" s="12"/>
      <c r="E44" s="214"/>
      <c r="F44" s="214"/>
    </row>
    <row r="45">
      <c r="A45" s="32" t="str">
        <f>IFERROR(__xludf.DUMMYFUNCTION("""COMPUTED_VALUE"""),"Jpeg")</f>
        <v>Jpeg</v>
      </c>
      <c r="B45" s="48" t="b">
        <f>IFERROR(__xludf.DUMMYFUNCTION("""COMPUTED_VALUE"""),FALSE)</f>
        <v>0</v>
      </c>
      <c r="C45" s="138"/>
      <c r="D45" s="12"/>
      <c r="E45" s="214"/>
      <c r="F45" s="214"/>
    </row>
    <row r="46">
      <c r="A46" s="32" t="str">
        <f>IFERROR(__xludf.DUMMYFUNCTION("""COMPUTED_VALUE"""),"Umberto Dunn")</f>
        <v>Umberto Dunn</v>
      </c>
      <c r="B46" s="48" t="b">
        <f>IFERROR(__xludf.DUMMYFUNCTION("""COMPUTED_VALUE"""),TRUE)</f>
        <v>1</v>
      </c>
      <c r="C46" s="138" t="str">
        <f>IFERROR(__xludf.DUMMYFUNCTION("""COMPUTED_VALUE"""),"Spoke to goggles guy and short curly haired woman fully engaged, they know Jack Johnson is not who he says he is, suspect his behavior, but don't know the tiara is valuable - BW")</f>
        <v>Spoke to goggles guy and short curly haired woman fully engaged, they know Jack Johnson is not who he says he is, suspect his behavior, but don't know the tiara is valuable - BW</v>
      </c>
      <c r="D46" s="12"/>
      <c r="E46" s="214"/>
      <c r="F46" s="214"/>
    </row>
    <row r="47">
      <c r="A47" s="214" t="str">
        <f>IFERROR(__xludf.DUMMYFUNCTION("""COMPUTED_VALUE"""),"Revelations")</f>
        <v>Revelations</v>
      </c>
      <c r="B47" s="12"/>
      <c r="C47" s="137"/>
      <c r="D47" s="214"/>
      <c r="E47" s="214"/>
      <c r="F47" s="214"/>
    </row>
    <row r="48">
      <c r="A48" s="214" t="str">
        <f>IFERROR(__xludf.DUMMYFUNCTION("""COMPUTED_VALUE"""),"Tanya Peacock")</f>
        <v>Tanya Peacock</v>
      </c>
      <c r="B48" s="12" t="b">
        <f>IFERROR(__xludf.DUMMYFUNCTION("""COMPUTED_VALUE"""),FALSE)</f>
        <v>0</v>
      </c>
      <c r="C48" s="137"/>
      <c r="D48" s="214"/>
      <c r="E48" s="214"/>
      <c r="F48" s="214"/>
    </row>
    <row r="49">
      <c r="A49" s="214" t="str">
        <f>IFERROR(__xludf.DUMMYFUNCTION("""COMPUTED_VALUE"""),"Kerrick Dealbinder")</f>
        <v>Kerrick Dealbinder</v>
      </c>
      <c r="B49" s="12" t="b">
        <f>IFERROR(__xludf.DUMMYFUNCTION("""COMPUTED_VALUE"""),FALSE)</f>
        <v>0</v>
      </c>
      <c r="C49" s="137"/>
      <c r="D49" s="214"/>
      <c r="E49" s="214"/>
      <c r="F49" s="214"/>
    </row>
    <row r="50">
      <c r="A50" s="214" t="str">
        <f>IFERROR(__xludf.DUMMYFUNCTION("""COMPUTED_VALUE"""),"Jack Johnson")</f>
        <v>Jack Johnson</v>
      </c>
      <c r="B50" s="12" t="b">
        <f>IFERROR(__xludf.DUMMYFUNCTION("""COMPUTED_VALUE"""),FALSE)</f>
        <v>0</v>
      </c>
      <c r="C50" s="137"/>
      <c r="D50" s="214"/>
      <c r="E50" s="214"/>
      <c r="F50" s="214"/>
    </row>
    <row r="51">
      <c r="A51" s="214" t="str">
        <f>IFERROR(__xludf.DUMMYFUNCTION("""COMPUTED_VALUE"""),"Phineas Smirch")</f>
        <v>Phineas Smirch</v>
      </c>
      <c r="B51" s="12" t="b">
        <f>IFERROR(__xludf.DUMMYFUNCTION("""COMPUTED_VALUE"""),FALSE)</f>
        <v>0</v>
      </c>
      <c r="C51" s="137"/>
      <c r="D51" s="214"/>
      <c r="E51" s="214"/>
      <c r="F51" s="214"/>
    </row>
    <row r="52">
      <c r="A52" s="214" t="str">
        <f>IFERROR(__xludf.DUMMYFUNCTION("""COMPUTED_VALUE"""),"KPS (Kingdom Parcel Service) Guy")</f>
        <v>KPS (Kingdom Parcel Service) Guy</v>
      </c>
      <c r="B52" s="12" t="b">
        <f>IFERROR(__xludf.DUMMYFUNCTION("""COMPUTED_VALUE"""),FALSE)</f>
        <v>0</v>
      </c>
      <c r="C52" s="137"/>
      <c r="D52" s="214"/>
      <c r="E52" s="214"/>
      <c r="F52" s="214"/>
    </row>
    <row r="53">
      <c r="A53" s="214" t="str">
        <f>IFERROR(__xludf.DUMMYFUNCTION("""COMPUTED_VALUE"""),"Hired Wolven Hit Squad")</f>
        <v>Hired Wolven Hit Squad</v>
      </c>
      <c r="B53" s="12" t="b">
        <f>IFERROR(__xludf.DUMMYFUNCTION("""COMPUTED_VALUE"""),FALSE)</f>
        <v>0</v>
      </c>
      <c r="C53" s="137"/>
      <c r="D53" s="214"/>
      <c r="E53" s="214"/>
      <c r="F53" s="214"/>
    </row>
    <row r="54">
      <c r="A54" s="214" t="str">
        <f>IFERROR(__xludf.DUMMYFUNCTION("""COMPUTED_VALUE"""),"Tinker Bill")</f>
        <v>Tinker Bill</v>
      </c>
      <c r="B54" s="12" t="b">
        <f>IFERROR(__xludf.DUMMYFUNCTION("""COMPUTED_VALUE"""),FALSE)</f>
        <v>0</v>
      </c>
      <c r="C54" s="137"/>
      <c r="D54" s="214"/>
      <c r="E54" s="214"/>
      <c r="F54" s="214"/>
    </row>
    <row r="55">
      <c r="A55" s="214"/>
      <c r="B55" s="12"/>
      <c r="C55" s="137"/>
      <c r="D55" s="214"/>
      <c r="E55" s="214"/>
      <c r="F55" s="214"/>
    </row>
    <row r="56">
      <c r="A56" s="214" t="str">
        <f>IFERROR(__xludf.DUMMYFUNCTION("""COMPUTED_VALUE"""),"GENERAL NOTES")</f>
        <v>GENERAL NOTES</v>
      </c>
      <c r="B56" s="12"/>
      <c r="C56" s="137"/>
      <c r="D56" s="214"/>
      <c r="E56" s="214"/>
      <c r="F56" s="214"/>
    </row>
    <row r="57">
      <c r="A57" s="214" t="str">
        <f>IFERROR(__xludf.DUMMYFUNCTION("""COMPUTED_VALUE"""),"They came and played managers and peons and were super-fun! They really got into it! -Justin")</f>
        <v>They came and played managers and peons and were super-fun! They really got into it! -Justin</v>
      </c>
      <c r="B57" s="12"/>
      <c r="C57" s="137"/>
      <c r="D57" s="214"/>
      <c r="E57" s="214"/>
      <c r="F57" s="214"/>
    </row>
    <row r="58">
      <c r="A58" s="214" t="str">
        <f>IFERROR(__xludf.DUMMYFUNCTION("""COMPUTED_VALUE"""),"Met with Maker and Ranger, they know I'm avoiding someone. - Paul SC (FRI Night)")</f>
        <v>Met with Maker and Ranger, they know I'm avoiding someone. - Paul SC (FRI Night)</v>
      </c>
      <c r="B58" s="12"/>
      <c r="C58" s="137"/>
      <c r="D58" s="214"/>
      <c r="E58" s="214"/>
      <c r="F58" s="214"/>
    </row>
    <row r="59">
      <c r="A59" s="214" t="str">
        <f>IFERROR(__xludf.DUMMYFUNCTION("""COMPUTED_VALUE"""),"Gave info about Belle + singing = bad for Cary - ESD")</f>
        <v>Gave info about Belle + singing = bad for Cary - ESD</v>
      </c>
      <c r="B59" s="12"/>
      <c r="C59" s="137"/>
      <c r="D59" s="214"/>
      <c r="E59" s="214"/>
      <c r="F59" s="214"/>
    </row>
    <row r="60">
      <c r="A60" s="214" t="str">
        <f>IFERROR(__xludf.DUMMYFUNCTION("""COMPUTED_VALUE"""),"Party came with no towels.  One person said they didn't want one, so we gave them 5 Comfort Committee towels -Melissa 11pm Friday")</f>
        <v>Party came with no towels.  One person said they didn't want one, so we gave them 5 Comfort Committee towels -Melissa 11pm Friday</v>
      </c>
      <c r="B60" s="12"/>
      <c r="C60" s="137"/>
      <c r="D60" s="214"/>
      <c r="E60" s="214"/>
      <c r="F60" s="214"/>
    </row>
    <row r="61">
      <c r="A61" s="214" t="str">
        <f>IFERROR(__xludf.DUMMYFUNCTION("""COMPUTED_VALUE"""),"Party fought Chitters twice.  Bothh times they charged into battle, yelling and enthusiastic.  Communicated a leg wound well.  - Peggy Saturday 8-10")</f>
        <v>Party fought Chitters twice.  Bothh times they charged into battle, yelling and enthusiastic.  Communicated a leg wound well.  - Peggy Saturday 8-10</v>
      </c>
      <c r="B61" s="12"/>
      <c r="C61" s="137"/>
      <c r="D61" s="214"/>
      <c r="E61" s="214"/>
      <c r="F61" s="214"/>
    </row>
    <row r="62">
      <c r="A62" s="214" t="str">
        <f>IFERROR(__xludf.DUMMYFUNCTION("""COMPUTED_VALUE"""),"Told me they are stressed about money (right after breakfast Saturday). - Janet")</f>
        <v>Told me they are stressed about money (right after breakfast Saturday). - Janet</v>
      </c>
      <c r="B62" s="12"/>
      <c r="C62" s="137"/>
      <c r="D62" s="214"/>
      <c r="E62" s="214"/>
      <c r="F62" s="214"/>
    </row>
    <row r="63">
      <c r="A63" s="214" t="str">
        <f>IFERROR(__xludf.DUMMYFUNCTION("""COMPUTED_VALUE"""),"party photo taken -Mirin")</f>
        <v>party photo taken -Mirin</v>
      </c>
      <c r="B63" s="12"/>
      <c r="C63" s="137"/>
      <c r="D63" s="214"/>
      <c r="E63" s="214"/>
      <c r="F63" s="214"/>
    </row>
    <row r="64">
      <c r="A64" s="214" t="str">
        <f>IFERROR(__xludf.DUMMYFUNCTION("""COMPUTED_VALUE"""),"THEY HAVE STOOKSTER'S AMULET")</f>
        <v>THEY HAVE STOOKSTER'S AMULET</v>
      </c>
      <c r="B64" s="12"/>
      <c r="C64" s="137"/>
      <c r="D64" s="214"/>
      <c r="E64" s="214"/>
      <c r="F64" s="214"/>
    </row>
    <row r="65">
      <c r="A65" s="214" t="str">
        <f>IFERROR(__xludf.DUMMYFUNCTION("""COMPUTED_VALUE"""),"They asked JPEG to do a drawing of Samuelson to surprise him. I did one👍🤞")</f>
        <v>They asked JPEG to do a drawing of Samuelson to surprise him. I did one👍🤞</v>
      </c>
      <c r="B65" s="12"/>
      <c r="C65" s="137"/>
      <c r="D65" s="214"/>
      <c r="E65" s="214"/>
      <c r="F65" s="214"/>
    </row>
    <row r="66">
      <c r="A66" s="214" t="str">
        <f>IFERROR(__xludf.DUMMYFUNCTION("""COMPUTED_VALUE"""),"Equi told 2 party members about the golden page and visit to Nemaia Sat. before lunch")</f>
        <v>Equi told 2 party members about the golden page and visit to Nemaia Sat. before lunch</v>
      </c>
      <c r="B66" s="12"/>
      <c r="C66" s="137"/>
      <c r="D66" s="214"/>
      <c r="E66" s="214"/>
      <c r="F66" s="214"/>
    </row>
    <row r="67">
      <c r="A67" s="214" t="str">
        <f>IFERROR(__xludf.DUMMYFUNCTION("""COMPUTED_VALUE"""),"Dealbinder said that party thinks that Jack Johnson is framing him, and stole the jewels himself.  4:30 - Jodi")</f>
        <v>Dealbinder said that party thinks that Jack Johnson is framing him, and stole the jewels himself.  4:30 - Jodi</v>
      </c>
      <c r="B67" s="12"/>
      <c r="C67" s="137"/>
      <c r="D67" s="214"/>
      <c r="E67" s="214"/>
      <c r="F67" s="214"/>
    </row>
    <row r="68">
      <c r="A68" s="214" t="str">
        <f>IFERROR(__xludf.DUMMYFUNCTION("""COMPUTED_VALUE"""),"Gave Seeker rejuvanation before Dreadwright after they answered ""what's the most heroic thing you did today"" - nice answer about protecting others and they wouldn't be who they are without care for others. - Kels")</f>
        <v>Gave Seeker rejuvanation before Dreadwright after they answered "what's the most heroic thing you did today" - nice answer about protecting others and they wouldn't be who they are without care for others. - Kels</v>
      </c>
      <c r="B68" s="12"/>
      <c r="C68" s="137"/>
      <c r="D68" s="214"/>
      <c r="E68" s="214"/>
      <c r="F68" s="214"/>
    </row>
    <row r="69">
      <c r="A69" s="214"/>
      <c r="B69" s="12"/>
      <c r="C69" s="137"/>
      <c r="D69" s="214"/>
      <c r="E69" s="214"/>
      <c r="F69" s="214"/>
    </row>
    <row r="70">
      <c r="A70" s="214"/>
      <c r="B70" s="12"/>
      <c r="C70" s="137"/>
      <c r="D70" s="214"/>
      <c r="E70" s="214"/>
      <c r="F70" s="214"/>
    </row>
    <row r="71">
      <c r="A71" s="214"/>
      <c r="B71" s="12"/>
      <c r="C71" s="137"/>
      <c r="D71" s="214"/>
      <c r="E71" s="214"/>
      <c r="F71" s="214"/>
    </row>
    <row r="72">
      <c r="A72" s="214"/>
      <c r="B72" s="12"/>
      <c r="C72" s="137"/>
      <c r="D72" s="214"/>
      <c r="E72" s="214"/>
      <c r="F72" s="214"/>
    </row>
    <row r="73">
      <c r="A73" s="214"/>
      <c r="B73" s="12"/>
      <c r="C73" s="137"/>
      <c r="D73" s="214"/>
      <c r="E73" s="214"/>
      <c r="F73" s="214"/>
    </row>
    <row r="74">
      <c r="A74" s="214"/>
      <c r="B74" s="12"/>
      <c r="C74" s="137"/>
      <c r="D74" s="214"/>
      <c r="E74" s="214"/>
      <c r="F74" s="214"/>
    </row>
    <row r="75">
      <c r="A75" s="214"/>
      <c r="B75" s="12"/>
      <c r="C75" s="137"/>
      <c r="D75" s="214"/>
      <c r="E75" s="214"/>
      <c r="F75" s="214"/>
    </row>
    <row r="76">
      <c r="A76" s="214"/>
      <c r="B76" s="12"/>
      <c r="C76" s="137"/>
      <c r="D76" s="214"/>
      <c r="E76" s="214"/>
      <c r="F76" s="214"/>
    </row>
    <row r="77">
      <c r="A77" s="214"/>
      <c r="B77" s="12"/>
      <c r="C77" s="137"/>
      <c r="D77" s="214"/>
      <c r="E77" s="214"/>
      <c r="F77" s="214"/>
    </row>
    <row r="78">
      <c r="A78" s="214"/>
      <c r="B78" s="12"/>
      <c r="C78" s="137"/>
      <c r="D78" s="214"/>
      <c r="E78" s="214"/>
      <c r="F78" s="214"/>
    </row>
    <row r="79">
      <c r="A79" s="214"/>
      <c r="B79" s="12"/>
      <c r="C79" s="137"/>
      <c r="D79" s="214"/>
      <c r="E79" s="214"/>
      <c r="F79" s="214"/>
    </row>
    <row r="80">
      <c r="A80" s="214"/>
      <c r="B80" s="12"/>
      <c r="C80" s="137"/>
      <c r="D80" s="214"/>
      <c r="E80" s="214"/>
      <c r="F80" s="214"/>
    </row>
    <row r="81">
      <c r="A81" s="214"/>
      <c r="B81" s="12"/>
      <c r="C81" s="137"/>
      <c r="D81" s="214"/>
      <c r="E81" s="214"/>
      <c r="F81" s="214"/>
    </row>
    <row r="82">
      <c r="B82" s="12"/>
      <c r="C82" s="137"/>
    </row>
    <row r="83">
      <c r="B83" s="12"/>
      <c r="C83" s="137"/>
    </row>
    <row r="84">
      <c r="B84" s="12"/>
      <c r="C84" s="137"/>
    </row>
    <row r="85">
      <c r="B85" s="12"/>
      <c r="C85" s="137"/>
    </row>
    <row r="86">
      <c r="B86" s="12"/>
      <c r="C86" s="137"/>
    </row>
    <row r="87">
      <c r="B87" s="12"/>
      <c r="C87" s="137"/>
    </row>
    <row r="88">
      <c r="B88" s="12"/>
      <c r="C88" s="137"/>
    </row>
    <row r="89">
      <c r="B89" s="12"/>
      <c r="C89" s="137"/>
    </row>
    <row r="90">
      <c r="B90" s="12"/>
      <c r="C90" s="137"/>
    </row>
    <row r="91">
      <c r="B91" s="12"/>
      <c r="C91" s="137"/>
    </row>
    <row r="92">
      <c r="B92" s="12"/>
      <c r="C92" s="137"/>
    </row>
    <row r="93">
      <c r="B93" s="12"/>
      <c r="C93" s="137"/>
    </row>
    <row r="94">
      <c r="B94" s="12"/>
      <c r="C94" s="137"/>
    </row>
    <row r="95">
      <c r="B95" s="12"/>
      <c r="C95" s="137"/>
    </row>
    <row r="96">
      <c r="B96" s="12"/>
      <c r="C96" s="137"/>
    </row>
    <row r="97">
      <c r="B97" s="12"/>
      <c r="C97" s="137"/>
    </row>
    <row r="98">
      <c r="B98" s="12"/>
      <c r="C98" s="137"/>
    </row>
    <row r="99">
      <c r="B99" s="12"/>
      <c r="C99" s="137"/>
    </row>
    <row r="100">
      <c r="B100" s="12"/>
      <c r="C100" s="137"/>
    </row>
    <row r="101">
      <c r="B101" s="12"/>
      <c r="C101" s="137"/>
    </row>
    <row r="102">
      <c r="B102" s="12"/>
      <c r="C102" s="137"/>
    </row>
    <row r="103">
      <c r="B103" s="12"/>
      <c r="C103" s="137"/>
    </row>
    <row r="104">
      <c r="B104" s="12"/>
      <c r="C104" s="137"/>
    </row>
    <row r="105">
      <c r="B105" s="12"/>
      <c r="C105" s="137"/>
    </row>
    <row r="106">
      <c r="B106" s="12"/>
      <c r="C106" s="137"/>
    </row>
    <row r="107">
      <c r="B107" s="12"/>
      <c r="C107" s="137"/>
    </row>
    <row r="108">
      <c r="B108" s="12"/>
      <c r="C108" s="137"/>
    </row>
    <row r="109">
      <c r="B109" s="12"/>
      <c r="C109" s="137"/>
    </row>
    <row r="110">
      <c r="B110" s="12"/>
      <c r="C110" s="137"/>
    </row>
    <row r="111">
      <c r="B111" s="12"/>
      <c r="C111" s="137"/>
    </row>
    <row r="112">
      <c r="B112" s="12"/>
      <c r="C112" s="137"/>
    </row>
    <row r="113">
      <c r="B113" s="12"/>
      <c r="C113" s="137"/>
    </row>
    <row r="114">
      <c r="B114" s="12"/>
      <c r="C114" s="137"/>
    </row>
    <row r="115">
      <c r="B115" s="12"/>
      <c r="C115" s="137"/>
    </row>
    <row r="116">
      <c r="B116" s="12"/>
      <c r="C116" s="137"/>
    </row>
    <row r="117">
      <c r="B117" s="12"/>
      <c r="C117" s="137"/>
    </row>
    <row r="118">
      <c r="B118" s="12"/>
      <c r="C118" s="137"/>
    </row>
    <row r="119">
      <c r="B119" s="12"/>
      <c r="C119" s="137"/>
    </row>
    <row r="120">
      <c r="B120" s="12"/>
      <c r="C120" s="137"/>
    </row>
    <row r="121">
      <c r="B121" s="12"/>
      <c r="C121" s="137"/>
    </row>
    <row r="122">
      <c r="B122" s="12"/>
      <c r="C122" s="137"/>
    </row>
    <row r="123">
      <c r="B123" s="12"/>
      <c r="C123" s="137"/>
    </row>
    <row r="124">
      <c r="B124" s="12"/>
      <c r="C124" s="137"/>
    </row>
    <row r="125">
      <c r="B125" s="12"/>
      <c r="C125" s="137"/>
    </row>
    <row r="126">
      <c r="B126" s="12"/>
      <c r="C126" s="137"/>
    </row>
    <row r="127">
      <c r="B127" s="12"/>
      <c r="C127" s="137"/>
    </row>
    <row r="128">
      <c r="B128" s="12"/>
      <c r="C128" s="137"/>
    </row>
    <row r="129">
      <c r="B129" s="12"/>
      <c r="C129" s="137"/>
    </row>
    <row r="130">
      <c r="B130" s="12"/>
      <c r="C130" s="137"/>
    </row>
    <row r="131">
      <c r="B131" s="12"/>
      <c r="C131" s="137"/>
    </row>
    <row r="132">
      <c r="B132" s="12"/>
      <c r="C132" s="137"/>
    </row>
    <row r="133">
      <c r="B133" s="12"/>
      <c r="C133" s="137"/>
    </row>
    <row r="134">
      <c r="B134" s="12"/>
      <c r="C134" s="137"/>
    </row>
    <row r="135">
      <c r="B135" s="12"/>
      <c r="C135" s="137"/>
    </row>
    <row r="136">
      <c r="B136" s="12"/>
      <c r="C136" s="137"/>
    </row>
    <row r="137">
      <c r="B137" s="12"/>
      <c r="C137" s="137"/>
    </row>
    <row r="138">
      <c r="B138" s="12"/>
      <c r="C138" s="137"/>
    </row>
    <row r="139">
      <c r="B139" s="12"/>
      <c r="C139" s="137"/>
    </row>
    <row r="140">
      <c r="B140" s="12"/>
      <c r="C140" s="137"/>
    </row>
    <row r="141">
      <c r="B141" s="12"/>
      <c r="C141" s="137"/>
    </row>
    <row r="142">
      <c r="B142" s="12"/>
      <c r="C142" s="137"/>
    </row>
    <row r="143">
      <c r="B143" s="12"/>
      <c r="C143" s="137"/>
    </row>
    <row r="144">
      <c r="B144" s="12"/>
      <c r="C144" s="137"/>
    </row>
    <row r="145">
      <c r="B145" s="12"/>
      <c r="C145" s="137"/>
    </row>
    <row r="146">
      <c r="B146" s="12"/>
      <c r="C146" s="137"/>
    </row>
    <row r="147">
      <c r="B147" s="12"/>
      <c r="C147" s="137"/>
    </row>
    <row r="148">
      <c r="B148" s="12"/>
      <c r="C148" s="137"/>
    </row>
    <row r="149">
      <c r="B149" s="12"/>
      <c r="C149" s="137"/>
    </row>
    <row r="150">
      <c r="B150" s="12"/>
      <c r="C150" s="137"/>
    </row>
    <row r="151">
      <c r="B151" s="12"/>
      <c r="C151" s="137"/>
    </row>
    <row r="152">
      <c r="B152" s="12"/>
      <c r="C152" s="137"/>
    </row>
    <row r="153">
      <c r="B153" s="12"/>
      <c r="C153" s="137"/>
    </row>
    <row r="154">
      <c r="B154" s="12"/>
      <c r="C154" s="137"/>
    </row>
    <row r="155">
      <c r="B155" s="12"/>
      <c r="C155" s="137"/>
    </row>
    <row r="156">
      <c r="B156" s="12"/>
      <c r="C156" s="137"/>
    </row>
    <row r="157">
      <c r="B157" s="12"/>
      <c r="C157" s="137"/>
    </row>
    <row r="158">
      <c r="B158" s="12"/>
      <c r="C158" s="137"/>
    </row>
    <row r="159">
      <c r="B159" s="12"/>
      <c r="C159" s="137"/>
    </row>
    <row r="160">
      <c r="B160" s="12"/>
      <c r="C160" s="137"/>
    </row>
    <row r="161">
      <c r="B161" s="12"/>
      <c r="C161" s="137"/>
    </row>
    <row r="162">
      <c r="B162" s="12"/>
      <c r="C162" s="137"/>
    </row>
    <row r="163">
      <c r="B163" s="12"/>
      <c r="C163" s="137"/>
    </row>
    <row r="164">
      <c r="B164" s="12"/>
      <c r="C164" s="137"/>
    </row>
    <row r="165">
      <c r="B165" s="12"/>
      <c r="C165" s="137"/>
    </row>
    <row r="166">
      <c r="B166" s="12"/>
      <c r="C166" s="137"/>
    </row>
    <row r="167">
      <c r="B167" s="12"/>
      <c r="C167" s="137"/>
    </row>
    <row r="168">
      <c r="B168" s="12"/>
      <c r="C168" s="137"/>
    </row>
    <row r="169">
      <c r="B169" s="12"/>
      <c r="C169" s="137"/>
    </row>
    <row r="170">
      <c r="B170" s="12"/>
      <c r="C170" s="137"/>
    </row>
    <row r="171">
      <c r="B171" s="12"/>
      <c r="C171" s="137"/>
    </row>
    <row r="172">
      <c r="B172" s="12"/>
      <c r="C172" s="137"/>
    </row>
    <row r="173">
      <c r="B173" s="12"/>
      <c r="C173" s="137"/>
    </row>
    <row r="174">
      <c r="B174" s="12"/>
      <c r="C174" s="137"/>
    </row>
    <row r="175">
      <c r="B175" s="12"/>
      <c r="C175" s="137"/>
    </row>
    <row r="176">
      <c r="B176" s="12"/>
      <c r="C176" s="137"/>
    </row>
    <row r="177">
      <c r="B177" s="12"/>
      <c r="C177" s="137"/>
    </row>
    <row r="178">
      <c r="B178" s="12"/>
      <c r="C178" s="137"/>
    </row>
    <row r="179">
      <c r="B179" s="12"/>
      <c r="C179" s="137"/>
    </row>
    <row r="180">
      <c r="B180" s="12"/>
      <c r="C180" s="137"/>
    </row>
    <row r="181">
      <c r="B181" s="12"/>
      <c r="C181" s="137"/>
    </row>
    <row r="182">
      <c r="B182" s="12"/>
      <c r="C182" s="137"/>
    </row>
    <row r="183">
      <c r="B183" s="12"/>
      <c r="C183" s="137"/>
    </row>
    <row r="184">
      <c r="B184" s="12"/>
      <c r="C184" s="137"/>
    </row>
    <row r="185">
      <c r="B185" s="12"/>
      <c r="C185" s="137"/>
    </row>
    <row r="186">
      <c r="B186" s="12"/>
      <c r="C186" s="137"/>
    </row>
    <row r="187">
      <c r="B187" s="12"/>
      <c r="C187" s="137"/>
    </row>
    <row r="188">
      <c r="B188" s="12"/>
      <c r="C188" s="137"/>
    </row>
    <row r="189">
      <c r="B189" s="12"/>
      <c r="C189" s="137"/>
    </row>
    <row r="190">
      <c r="B190" s="12"/>
      <c r="C190" s="137"/>
    </row>
    <row r="191">
      <c r="B191" s="12"/>
      <c r="C191" s="137"/>
    </row>
    <row r="192">
      <c r="B192" s="12"/>
      <c r="C192" s="137"/>
    </row>
    <row r="193">
      <c r="B193" s="12"/>
      <c r="C193" s="137"/>
    </row>
    <row r="194">
      <c r="B194" s="12"/>
      <c r="C194" s="137"/>
    </row>
    <row r="195">
      <c r="B195" s="12"/>
      <c r="C195" s="137"/>
    </row>
    <row r="196">
      <c r="B196" s="12"/>
      <c r="C196" s="137"/>
    </row>
    <row r="197">
      <c r="B197" s="12"/>
      <c r="C197" s="137"/>
    </row>
    <row r="198">
      <c r="B198" s="12"/>
      <c r="C198" s="137"/>
    </row>
    <row r="199">
      <c r="B199" s="12"/>
      <c r="C199" s="137"/>
    </row>
    <row r="200">
      <c r="B200" s="12"/>
      <c r="C200" s="137"/>
    </row>
    <row r="201">
      <c r="B201" s="12"/>
      <c r="C201" s="137"/>
    </row>
    <row r="202">
      <c r="B202" s="12"/>
      <c r="C202" s="137"/>
    </row>
    <row r="203">
      <c r="B203" s="12"/>
      <c r="C203" s="137"/>
    </row>
    <row r="204">
      <c r="B204" s="12"/>
      <c r="C204" s="137"/>
    </row>
    <row r="205">
      <c r="B205" s="12"/>
      <c r="C205" s="137"/>
    </row>
    <row r="206">
      <c r="B206" s="12"/>
      <c r="C206" s="137"/>
    </row>
    <row r="207">
      <c r="B207" s="12"/>
      <c r="C207" s="137"/>
    </row>
    <row r="208">
      <c r="B208" s="12"/>
      <c r="C208" s="137"/>
    </row>
    <row r="209">
      <c r="B209" s="12"/>
      <c r="C209" s="137"/>
    </row>
    <row r="210">
      <c r="B210" s="12"/>
      <c r="C210" s="137"/>
    </row>
    <row r="211">
      <c r="B211" s="12"/>
      <c r="C211" s="137"/>
    </row>
    <row r="212">
      <c r="B212" s="12"/>
      <c r="C212" s="137"/>
    </row>
    <row r="213">
      <c r="B213" s="12"/>
      <c r="C213" s="137"/>
    </row>
    <row r="214">
      <c r="B214" s="12"/>
      <c r="C214" s="137"/>
    </row>
    <row r="215">
      <c r="B215" s="12"/>
      <c r="C215" s="137"/>
    </row>
    <row r="216">
      <c r="B216" s="12"/>
      <c r="C216" s="137"/>
    </row>
    <row r="217">
      <c r="B217" s="12"/>
      <c r="C217" s="137"/>
    </row>
    <row r="218">
      <c r="B218" s="12"/>
      <c r="C218" s="137"/>
    </row>
    <row r="219">
      <c r="B219" s="12"/>
      <c r="C219" s="137"/>
    </row>
    <row r="220">
      <c r="B220" s="12"/>
      <c r="C220" s="137"/>
    </row>
    <row r="221">
      <c r="B221" s="12"/>
      <c r="C221" s="137"/>
    </row>
    <row r="222">
      <c r="B222" s="12"/>
      <c r="C222" s="137"/>
    </row>
    <row r="223">
      <c r="B223" s="12"/>
      <c r="C223" s="137"/>
    </row>
    <row r="224">
      <c r="B224" s="12"/>
      <c r="C224" s="137"/>
    </row>
    <row r="225">
      <c r="B225" s="12"/>
      <c r="C225" s="137"/>
    </row>
    <row r="226">
      <c r="B226" s="12"/>
      <c r="C226" s="137"/>
    </row>
    <row r="227">
      <c r="B227" s="12"/>
      <c r="C227" s="137"/>
    </row>
    <row r="228">
      <c r="B228" s="12"/>
      <c r="C228" s="137"/>
    </row>
    <row r="229">
      <c r="B229" s="12"/>
      <c r="C229" s="137"/>
    </row>
    <row r="230">
      <c r="B230" s="12"/>
      <c r="C230" s="137"/>
    </row>
    <row r="231">
      <c r="B231" s="12"/>
      <c r="C231" s="137"/>
    </row>
    <row r="232">
      <c r="B232" s="12"/>
      <c r="C232" s="137"/>
    </row>
    <row r="233">
      <c r="B233" s="12"/>
      <c r="C233" s="137"/>
    </row>
    <row r="234">
      <c r="B234" s="12"/>
      <c r="C234" s="137"/>
    </row>
    <row r="235">
      <c r="B235" s="12"/>
      <c r="C235" s="137"/>
    </row>
    <row r="236">
      <c r="B236" s="12"/>
      <c r="C236" s="137"/>
    </row>
    <row r="237">
      <c r="B237" s="12"/>
      <c r="C237" s="137"/>
    </row>
    <row r="238">
      <c r="B238" s="12"/>
      <c r="C238" s="137"/>
    </row>
    <row r="239">
      <c r="B239" s="12"/>
      <c r="C239" s="137"/>
    </row>
    <row r="240">
      <c r="B240" s="12"/>
      <c r="C240" s="137"/>
    </row>
    <row r="241">
      <c r="B241" s="12"/>
      <c r="C241" s="137"/>
    </row>
    <row r="242">
      <c r="B242" s="12"/>
      <c r="C242" s="137"/>
    </row>
    <row r="243">
      <c r="B243" s="12"/>
      <c r="C243" s="137"/>
    </row>
    <row r="244">
      <c r="B244" s="12"/>
      <c r="C244" s="137"/>
    </row>
    <row r="245">
      <c r="B245" s="12"/>
      <c r="C245" s="137"/>
    </row>
    <row r="246">
      <c r="B246" s="12"/>
      <c r="C246" s="137"/>
    </row>
    <row r="247">
      <c r="B247" s="12"/>
      <c r="C247" s="137"/>
    </row>
    <row r="248">
      <c r="B248" s="12"/>
      <c r="C248" s="137"/>
    </row>
    <row r="249">
      <c r="B249" s="12"/>
      <c r="C249" s="137"/>
    </row>
    <row r="250">
      <c r="B250" s="12"/>
      <c r="C250" s="137"/>
    </row>
    <row r="251">
      <c r="B251" s="12"/>
      <c r="C251" s="137"/>
    </row>
    <row r="252">
      <c r="B252" s="12"/>
      <c r="C252" s="137"/>
    </row>
    <row r="253">
      <c r="B253" s="12"/>
      <c r="C253" s="137"/>
    </row>
    <row r="254">
      <c r="B254" s="12"/>
      <c r="C254" s="137"/>
    </row>
    <row r="255">
      <c r="B255" s="12"/>
      <c r="C255" s="137"/>
    </row>
    <row r="256">
      <c r="B256" s="12"/>
      <c r="C256" s="137"/>
    </row>
    <row r="257">
      <c r="B257" s="12"/>
      <c r="C257" s="137"/>
    </row>
    <row r="258">
      <c r="B258" s="12"/>
      <c r="C258" s="137"/>
    </row>
    <row r="259">
      <c r="B259" s="12"/>
      <c r="C259" s="137"/>
    </row>
    <row r="260">
      <c r="B260" s="12"/>
      <c r="C260" s="137"/>
    </row>
    <row r="261">
      <c r="B261" s="12"/>
      <c r="C261" s="137"/>
    </row>
    <row r="262">
      <c r="B262" s="12"/>
      <c r="C262" s="137"/>
    </row>
    <row r="263">
      <c r="B263" s="12"/>
      <c r="C263" s="137"/>
    </row>
    <row r="264">
      <c r="B264" s="12"/>
      <c r="C264" s="137"/>
    </row>
    <row r="265">
      <c r="B265" s="12"/>
      <c r="C265" s="137"/>
    </row>
    <row r="266">
      <c r="B266" s="12"/>
      <c r="C266" s="137"/>
    </row>
    <row r="267">
      <c r="B267" s="12"/>
      <c r="C267" s="137"/>
    </row>
    <row r="268">
      <c r="B268" s="12"/>
      <c r="C268" s="137"/>
    </row>
    <row r="269">
      <c r="B269" s="12"/>
      <c r="C269" s="137"/>
    </row>
    <row r="270">
      <c r="B270" s="12"/>
      <c r="C270" s="137"/>
    </row>
    <row r="271">
      <c r="B271" s="12"/>
      <c r="C271" s="137"/>
    </row>
    <row r="272">
      <c r="B272" s="12"/>
      <c r="C272" s="137"/>
    </row>
    <row r="273">
      <c r="B273" s="12"/>
      <c r="C273" s="137"/>
    </row>
    <row r="274">
      <c r="B274" s="12"/>
      <c r="C274" s="137"/>
    </row>
    <row r="275">
      <c r="B275" s="12"/>
      <c r="C275" s="137"/>
    </row>
    <row r="276">
      <c r="B276" s="12"/>
      <c r="C276" s="137"/>
    </row>
    <row r="277">
      <c r="B277" s="12"/>
      <c r="C277" s="137"/>
    </row>
    <row r="278">
      <c r="B278" s="12"/>
      <c r="C278" s="137"/>
    </row>
    <row r="279">
      <c r="B279" s="12"/>
      <c r="C279" s="137"/>
    </row>
    <row r="280">
      <c r="B280" s="12"/>
      <c r="C280" s="137"/>
    </row>
    <row r="281">
      <c r="B281" s="12"/>
      <c r="C281" s="137"/>
    </row>
    <row r="282">
      <c r="B282" s="12"/>
      <c r="C282" s="137"/>
    </row>
    <row r="283">
      <c r="B283" s="12"/>
      <c r="C283" s="137"/>
    </row>
    <row r="284">
      <c r="B284" s="12"/>
      <c r="C284" s="137"/>
    </row>
    <row r="285">
      <c r="B285" s="12"/>
      <c r="C285" s="137"/>
    </row>
    <row r="286">
      <c r="B286" s="12"/>
      <c r="C286" s="137"/>
    </row>
    <row r="287">
      <c r="B287" s="12"/>
      <c r="C287" s="137"/>
    </row>
    <row r="288">
      <c r="B288" s="12"/>
      <c r="C288" s="137"/>
    </row>
    <row r="289">
      <c r="B289" s="12"/>
      <c r="C289" s="137"/>
    </row>
    <row r="290">
      <c r="B290" s="12"/>
      <c r="C290" s="137"/>
    </row>
    <row r="291">
      <c r="B291" s="12"/>
      <c r="C291" s="137"/>
    </row>
    <row r="292">
      <c r="B292" s="12"/>
      <c r="C292" s="137"/>
    </row>
    <row r="293">
      <c r="B293" s="12"/>
      <c r="C293" s="137"/>
    </row>
    <row r="294">
      <c r="B294" s="12"/>
      <c r="C294" s="137"/>
    </row>
    <row r="295">
      <c r="B295" s="12"/>
      <c r="C295" s="137"/>
    </row>
    <row r="296">
      <c r="B296" s="12"/>
      <c r="C296" s="137"/>
    </row>
    <row r="297">
      <c r="B297" s="12"/>
      <c r="C297" s="137"/>
    </row>
    <row r="298">
      <c r="B298" s="12"/>
      <c r="C298" s="137"/>
    </row>
    <row r="299">
      <c r="B299" s="12"/>
      <c r="C299" s="137"/>
    </row>
    <row r="300">
      <c r="B300" s="12"/>
      <c r="C300" s="137"/>
    </row>
    <row r="301">
      <c r="B301" s="12"/>
      <c r="C301" s="137"/>
    </row>
    <row r="302">
      <c r="B302" s="12"/>
      <c r="C302" s="137"/>
    </row>
    <row r="303">
      <c r="B303" s="12"/>
      <c r="C303" s="137"/>
    </row>
    <row r="304">
      <c r="B304" s="12"/>
      <c r="C304" s="137"/>
    </row>
    <row r="305">
      <c r="B305" s="12"/>
      <c r="C305" s="137"/>
    </row>
    <row r="306">
      <c r="B306" s="12"/>
      <c r="C306" s="137"/>
    </row>
    <row r="307">
      <c r="B307" s="12"/>
      <c r="C307" s="137"/>
    </row>
    <row r="308">
      <c r="B308" s="12"/>
      <c r="C308" s="137"/>
    </row>
    <row r="309">
      <c r="B309" s="12"/>
      <c r="C309" s="137"/>
    </row>
    <row r="310">
      <c r="B310" s="12"/>
      <c r="C310" s="137"/>
    </row>
    <row r="311">
      <c r="B311" s="12"/>
      <c r="C311" s="137"/>
    </row>
    <row r="312">
      <c r="B312" s="12"/>
      <c r="C312" s="137"/>
    </row>
    <row r="313">
      <c r="B313" s="12"/>
      <c r="C313" s="137"/>
    </row>
    <row r="314">
      <c r="B314" s="12"/>
      <c r="C314" s="137"/>
    </row>
    <row r="315">
      <c r="B315" s="12"/>
      <c r="C315" s="137"/>
    </row>
    <row r="316">
      <c r="B316" s="12"/>
      <c r="C316" s="137"/>
    </row>
    <row r="317">
      <c r="B317" s="12"/>
      <c r="C317" s="137"/>
    </row>
    <row r="318">
      <c r="B318" s="12"/>
      <c r="C318" s="137"/>
    </row>
    <row r="319">
      <c r="B319" s="12"/>
      <c r="C319" s="137"/>
    </row>
    <row r="320">
      <c r="B320" s="12"/>
      <c r="C320" s="137"/>
    </row>
    <row r="321">
      <c r="B321" s="12"/>
      <c r="C321" s="137"/>
    </row>
    <row r="322">
      <c r="B322" s="12"/>
      <c r="C322" s="137"/>
    </row>
    <row r="323">
      <c r="B323" s="12"/>
      <c r="C323" s="137"/>
    </row>
    <row r="324">
      <c r="B324" s="12"/>
      <c r="C324" s="137"/>
    </row>
    <row r="325">
      <c r="B325" s="12"/>
      <c r="C325" s="137"/>
    </row>
    <row r="326">
      <c r="B326" s="12"/>
      <c r="C326" s="137"/>
    </row>
    <row r="327">
      <c r="B327" s="12"/>
      <c r="C327" s="137"/>
    </row>
    <row r="328">
      <c r="B328" s="12"/>
      <c r="C328" s="137"/>
    </row>
    <row r="329">
      <c r="B329" s="12"/>
      <c r="C329" s="137"/>
    </row>
    <row r="330">
      <c r="B330" s="12"/>
      <c r="C330" s="137"/>
    </row>
    <row r="331">
      <c r="B331" s="12"/>
      <c r="C331" s="137"/>
    </row>
    <row r="332">
      <c r="B332" s="12"/>
      <c r="C332" s="137"/>
    </row>
    <row r="333">
      <c r="B333" s="12"/>
      <c r="C333" s="137"/>
    </row>
    <row r="334">
      <c r="B334" s="12"/>
      <c r="C334" s="137"/>
    </row>
    <row r="335">
      <c r="B335" s="12"/>
      <c r="C335" s="137"/>
    </row>
    <row r="336">
      <c r="B336" s="12"/>
      <c r="C336" s="137"/>
    </row>
    <row r="337">
      <c r="B337" s="12"/>
      <c r="C337" s="137"/>
    </row>
    <row r="338">
      <c r="B338" s="12"/>
      <c r="C338" s="137"/>
    </row>
    <row r="339">
      <c r="B339" s="12"/>
      <c r="C339" s="137"/>
    </row>
    <row r="340">
      <c r="B340" s="12"/>
      <c r="C340" s="137"/>
    </row>
    <row r="341">
      <c r="B341" s="12"/>
      <c r="C341" s="137"/>
    </row>
    <row r="342">
      <c r="B342" s="12"/>
      <c r="C342" s="137"/>
    </row>
    <row r="343">
      <c r="B343" s="12"/>
      <c r="C343" s="137"/>
    </row>
    <row r="344">
      <c r="B344" s="12"/>
      <c r="C344" s="137"/>
    </row>
    <row r="345">
      <c r="B345" s="12"/>
      <c r="C345" s="137"/>
    </row>
    <row r="346">
      <c r="B346" s="12"/>
      <c r="C346" s="137"/>
    </row>
    <row r="347">
      <c r="B347" s="12"/>
      <c r="C347" s="137"/>
    </row>
    <row r="348">
      <c r="B348" s="12"/>
      <c r="C348" s="137"/>
    </row>
    <row r="349">
      <c r="B349" s="12"/>
      <c r="C349" s="137"/>
    </row>
    <row r="350">
      <c r="B350" s="12"/>
      <c r="C350" s="137"/>
    </row>
    <row r="351">
      <c r="B351" s="12"/>
      <c r="C351" s="137"/>
    </row>
    <row r="352">
      <c r="B352" s="12"/>
      <c r="C352" s="137"/>
    </row>
    <row r="353">
      <c r="B353" s="12"/>
      <c r="C353" s="137"/>
    </row>
    <row r="354">
      <c r="B354" s="12"/>
      <c r="C354" s="137"/>
    </row>
    <row r="355">
      <c r="B355" s="12"/>
      <c r="C355" s="137"/>
    </row>
    <row r="356">
      <c r="B356" s="12"/>
      <c r="C356" s="137"/>
    </row>
    <row r="357">
      <c r="B357" s="12"/>
      <c r="C357" s="137"/>
    </row>
    <row r="358">
      <c r="B358" s="12"/>
      <c r="C358" s="137"/>
    </row>
    <row r="359">
      <c r="B359" s="12"/>
      <c r="C359" s="137"/>
    </row>
    <row r="360">
      <c r="B360" s="12"/>
      <c r="C360" s="137"/>
    </row>
    <row r="361">
      <c r="B361" s="12"/>
      <c r="C361" s="137"/>
    </row>
    <row r="362">
      <c r="B362" s="12"/>
      <c r="C362" s="137"/>
    </row>
    <row r="363">
      <c r="B363" s="12"/>
      <c r="C363" s="137"/>
    </row>
    <row r="364">
      <c r="B364" s="12"/>
      <c r="C364" s="137"/>
    </row>
    <row r="365">
      <c r="B365" s="12"/>
      <c r="C365" s="137"/>
    </row>
    <row r="366">
      <c r="B366" s="12"/>
      <c r="C366" s="137"/>
    </row>
    <row r="367">
      <c r="B367" s="12"/>
      <c r="C367" s="137"/>
    </row>
    <row r="368">
      <c r="B368" s="12"/>
      <c r="C368" s="137"/>
    </row>
    <row r="369">
      <c r="B369" s="12"/>
      <c r="C369" s="137"/>
    </row>
    <row r="370">
      <c r="B370" s="12"/>
      <c r="C370" s="137"/>
    </row>
    <row r="371">
      <c r="B371" s="12"/>
      <c r="C371" s="137"/>
    </row>
    <row r="372">
      <c r="B372" s="12"/>
      <c r="C372" s="137"/>
    </row>
    <row r="373">
      <c r="B373" s="12"/>
      <c r="C373" s="137"/>
    </row>
    <row r="374">
      <c r="B374" s="12"/>
      <c r="C374" s="137"/>
    </row>
    <row r="375">
      <c r="B375" s="12"/>
      <c r="C375" s="137"/>
    </row>
    <row r="376">
      <c r="B376" s="12"/>
      <c r="C376" s="137"/>
    </row>
    <row r="377">
      <c r="B377" s="12"/>
      <c r="C377" s="137"/>
    </row>
    <row r="378">
      <c r="B378" s="12"/>
      <c r="C378" s="137"/>
    </row>
    <row r="379">
      <c r="B379" s="12"/>
      <c r="C379" s="137"/>
    </row>
    <row r="380">
      <c r="B380" s="12"/>
      <c r="C380" s="137"/>
    </row>
    <row r="381">
      <c r="B381" s="12"/>
      <c r="C381" s="137"/>
    </row>
    <row r="382">
      <c r="B382" s="12"/>
      <c r="C382" s="137"/>
    </row>
    <row r="383">
      <c r="B383" s="12"/>
      <c r="C383" s="137"/>
    </row>
    <row r="384">
      <c r="B384" s="12"/>
      <c r="C384" s="137"/>
    </row>
    <row r="385">
      <c r="B385" s="12"/>
      <c r="C385" s="137"/>
    </row>
    <row r="386">
      <c r="B386" s="12"/>
      <c r="C386" s="137"/>
    </row>
    <row r="387">
      <c r="B387" s="12"/>
      <c r="C387" s="137"/>
    </row>
    <row r="388">
      <c r="B388" s="12"/>
      <c r="C388" s="137"/>
    </row>
    <row r="389">
      <c r="B389" s="12"/>
      <c r="C389" s="137"/>
    </row>
    <row r="390">
      <c r="B390" s="12"/>
      <c r="C390" s="137"/>
    </row>
    <row r="391">
      <c r="B391" s="12"/>
      <c r="C391" s="137"/>
    </row>
    <row r="392">
      <c r="B392" s="12"/>
      <c r="C392" s="137"/>
    </row>
    <row r="393">
      <c r="B393" s="12"/>
      <c r="C393" s="137"/>
    </row>
    <row r="394">
      <c r="B394" s="12"/>
      <c r="C394" s="137"/>
    </row>
    <row r="395">
      <c r="B395" s="12"/>
      <c r="C395" s="137"/>
    </row>
    <row r="396">
      <c r="B396" s="12"/>
      <c r="C396" s="137"/>
    </row>
    <row r="397">
      <c r="B397" s="12"/>
      <c r="C397" s="137"/>
    </row>
    <row r="398">
      <c r="B398" s="12"/>
      <c r="C398" s="137"/>
    </row>
    <row r="399">
      <c r="B399" s="12"/>
      <c r="C399" s="137"/>
    </row>
    <row r="400">
      <c r="B400" s="12"/>
      <c r="C400" s="137"/>
    </row>
    <row r="401">
      <c r="B401" s="12"/>
      <c r="C401" s="137"/>
    </row>
    <row r="402">
      <c r="B402" s="12"/>
      <c r="C402" s="137"/>
    </row>
    <row r="403">
      <c r="B403" s="12"/>
      <c r="C403" s="137"/>
    </row>
    <row r="404">
      <c r="B404" s="12"/>
      <c r="C404" s="137"/>
    </row>
    <row r="405">
      <c r="B405" s="12"/>
      <c r="C405" s="137"/>
    </row>
    <row r="406">
      <c r="B406" s="12"/>
      <c r="C406" s="137"/>
    </row>
    <row r="407">
      <c r="B407" s="12"/>
      <c r="C407" s="137"/>
    </row>
    <row r="408">
      <c r="B408" s="12"/>
      <c r="C408" s="137"/>
    </row>
    <row r="409">
      <c r="B409" s="12"/>
      <c r="C409" s="137"/>
    </row>
    <row r="410">
      <c r="B410" s="12"/>
      <c r="C410" s="137"/>
    </row>
    <row r="411">
      <c r="B411" s="12"/>
      <c r="C411" s="137"/>
    </row>
    <row r="412">
      <c r="B412" s="12"/>
      <c r="C412" s="137"/>
    </row>
    <row r="413">
      <c r="B413" s="12"/>
      <c r="C413" s="137"/>
    </row>
    <row r="414">
      <c r="B414" s="12"/>
      <c r="C414" s="137"/>
    </row>
    <row r="415">
      <c r="B415" s="12"/>
      <c r="C415" s="137"/>
    </row>
    <row r="416">
      <c r="B416" s="12"/>
      <c r="C416" s="137"/>
    </row>
    <row r="417">
      <c r="B417" s="12"/>
      <c r="C417" s="137"/>
    </row>
    <row r="418">
      <c r="B418" s="12"/>
      <c r="C418" s="137"/>
    </row>
    <row r="419">
      <c r="B419" s="12"/>
      <c r="C419" s="137"/>
    </row>
    <row r="420">
      <c r="B420" s="12"/>
      <c r="C420" s="137"/>
    </row>
    <row r="421">
      <c r="B421" s="12"/>
      <c r="C421" s="137"/>
    </row>
    <row r="422">
      <c r="B422" s="12"/>
      <c r="C422" s="137"/>
    </row>
    <row r="423">
      <c r="B423" s="12"/>
      <c r="C423" s="137"/>
    </row>
    <row r="424">
      <c r="B424" s="12"/>
      <c r="C424" s="137"/>
    </row>
    <row r="425">
      <c r="B425" s="12"/>
      <c r="C425" s="137"/>
    </row>
    <row r="426">
      <c r="B426" s="12"/>
      <c r="C426" s="137"/>
    </row>
    <row r="427">
      <c r="B427" s="12"/>
      <c r="C427" s="137"/>
    </row>
    <row r="428">
      <c r="B428" s="12"/>
      <c r="C428" s="137"/>
    </row>
    <row r="429">
      <c r="B429" s="12"/>
      <c r="C429" s="137"/>
    </row>
    <row r="430">
      <c r="B430" s="12"/>
      <c r="C430" s="137"/>
    </row>
    <row r="431">
      <c r="B431" s="12"/>
      <c r="C431" s="137"/>
    </row>
    <row r="432">
      <c r="B432" s="12"/>
      <c r="C432" s="137"/>
    </row>
    <row r="433">
      <c r="B433" s="12"/>
      <c r="C433" s="137"/>
    </row>
    <row r="434">
      <c r="B434" s="12"/>
      <c r="C434" s="137"/>
    </row>
    <row r="435">
      <c r="B435" s="12"/>
      <c r="C435" s="137"/>
    </row>
    <row r="436">
      <c r="B436" s="12"/>
      <c r="C436" s="137"/>
    </row>
    <row r="437">
      <c r="B437" s="12"/>
      <c r="C437" s="137"/>
    </row>
    <row r="438">
      <c r="B438" s="12"/>
      <c r="C438" s="137"/>
    </row>
    <row r="439">
      <c r="B439" s="12"/>
      <c r="C439" s="137"/>
    </row>
    <row r="440">
      <c r="B440" s="12"/>
      <c r="C440" s="137"/>
    </row>
    <row r="441">
      <c r="B441" s="12"/>
      <c r="C441" s="137"/>
    </row>
    <row r="442">
      <c r="B442" s="12"/>
      <c r="C442" s="137"/>
    </row>
    <row r="443">
      <c r="B443" s="12"/>
      <c r="C443" s="137"/>
    </row>
    <row r="444">
      <c r="B444" s="12"/>
      <c r="C444" s="137"/>
    </row>
    <row r="445">
      <c r="B445" s="12"/>
      <c r="C445" s="137"/>
    </row>
    <row r="446">
      <c r="B446" s="12"/>
      <c r="C446" s="137"/>
    </row>
    <row r="447">
      <c r="B447" s="12"/>
      <c r="C447" s="137"/>
    </row>
    <row r="448">
      <c r="B448" s="12"/>
      <c r="C448" s="137"/>
    </row>
    <row r="449">
      <c r="B449" s="12"/>
      <c r="C449" s="137"/>
    </row>
    <row r="450">
      <c r="B450" s="12"/>
      <c r="C450" s="137"/>
    </row>
    <row r="451">
      <c r="B451" s="12"/>
      <c r="C451" s="137"/>
    </row>
    <row r="452">
      <c r="B452" s="12"/>
      <c r="C452" s="137"/>
    </row>
    <row r="453">
      <c r="B453" s="12"/>
      <c r="C453" s="137"/>
    </row>
    <row r="454">
      <c r="B454" s="12"/>
      <c r="C454" s="137"/>
    </row>
    <row r="455">
      <c r="B455" s="12"/>
      <c r="C455" s="137"/>
    </row>
    <row r="456">
      <c r="B456" s="12"/>
      <c r="C456" s="137"/>
    </row>
    <row r="457">
      <c r="B457" s="12"/>
      <c r="C457" s="137"/>
    </row>
    <row r="458">
      <c r="B458" s="12"/>
      <c r="C458" s="137"/>
    </row>
    <row r="459">
      <c r="B459" s="12"/>
      <c r="C459" s="137"/>
    </row>
    <row r="460">
      <c r="B460" s="12"/>
      <c r="C460" s="137"/>
    </row>
    <row r="461">
      <c r="B461" s="12"/>
      <c r="C461" s="137"/>
    </row>
    <row r="462">
      <c r="B462" s="12"/>
      <c r="C462" s="137"/>
    </row>
    <row r="463">
      <c r="B463" s="12"/>
      <c r="C463" s="137"/>
    </row>
    <row r="464">
      <c r="B464" s="12"/>
      <c r="C464" s="137"/>
    </row>
    <row r="465">
      <c r="B465" s="12"/>
      <c r="C465" s="137"/>
    </row>
    <row r="466">
      <c r="B466" s="12"/>
      <c r="C466" s="137"/>
    </row>
    <row r="467">
      <c r="B467" s="12"/>
      <c r="C467" s="137"/>
    </row>
    <row r="468">
      <c r="B468" s="12"/>
      <c r="C468" s="137"/>
    </row>
    <row r="469">
      <c r="B469" s="12"/>
      <c r="C469" s="137"/>
    </row>
    <row r="470">
      <c r="B470" s="12"/>
      <c r="C470" s="137"/>
    </row>
    <row r="471">
      <c r="B471" s="12"/>
      <c r="C471" s="137"/>
    </row>
    <row r="472">
      <c r="B472" s="12"/>
      <c r="C472" s="137"/>
    </row>
    <row r="473">
      <c r="B473" s="12"/>
      <c r="C473" s="137"/>
    </row>
    <row r="474">
      <c r="B474" s="12"/>
      <c r="C474" s="137"/>
    </row>
    <row r="475">
      <c r="B475" s="12"/>
      <c r="C475" s="137"/>
    </row>
    <row r="476">
      <c r="B476" s="12"/>
      <c r="C476" s="137"/>
    </row>
    <row r="477">
      <c r="B477" s="12"/>
      <c r="C477" s="137"/>
    </row>
    <row r="478">
      <c r="B478" s="12"/>
      <c r="C478" s="137"/>
    </row>
    <row r="479">
      <c r="B479" s="12"/>
      <c r="C479" s="137"/>
    </row>
    <row r="480">
      <c r="B480" s="12"/>
      <c r="C480" s="137"/>
    </row>
    <row r="481">
      <c r="B481" s="12"/>
      <c r="C481" s="137"/>
    </row>
    <row r="482">
      <c r="B482" s="12"/>
      <c r="C482" s="137"/>
    </row>
    <row r="483">
      <c r="B483" s="12"/>
      <c r="C483" s="137"/>
    </row>
    <row r="484">
      <c r="B484" s="12"/>
      <c r="C484" s="137"/>
    </row>
    <row r="485">
      <c r="B485" s="12"/>
      <c r="C485" s="137"/>
    </row>
    <row r="486">
      <c r="B486" s="12"/>
      <c r="C486" s="137"/>
    </row>
    <row r="487">
      <c r="B487" s="12"/>
      <c r="C487" s="137"/>
    </row>
    <row r="488">
      <c r="B488" s="12"/>
      <c r="C488" s="137"/>
    </row>
    <row r="489">
      <c r="B489" s="12"/>
      <c r="C489" s="137"/>
    </row>
    <row r="490">
      <c r="B490" s="12"/>
      <c r="C490" s="137"/>
    </row>
    <row r="491">
      <c r="B491" s="12"/>
      <c r="C491" s="137"/>
    </row>
    <row r="492">
      <c r="B492" s="12"/>
      <c r="C492" s="137"/>
    </row>
    <row r="493">
      <c r="B493" s="12"/>
      <c r="C493" s="137"/>
    </row>
    <row r="494">
      <c r="B494" s="12"/>
      <c r="C494" s="137"/>
    </row>
    <row r="495">
      <c r="B495" s="12"/>
      <c r="C495" s="137"/>
    </row>
    <row r="496">
      <c r="B496" s="12"/>
      <c r="C496" s="137"/>
    </row>
    <row r="497">
      <c r="B497" s="12"/>
      <c r="C497" s="137"/>
    </row>
    <row r="498">
      <c r="B498" s="12"/>
      <c r="C498" s="137"/>
    </row>
    <row r="499">
      <c r="B499" s="12"/>
      <c r="C499" s="137"/>
    </row>
    <row r="500">
      <c r="B500" s="12"/>
      <c r="C500" s="137"/>
    </row>
    <row r="501">
      <c r="B501" s="12"/>
      <c r="C501" s="137"/>
    </row>
    <row r="502">
      <c r="B502" s="12"/>
      <c r="C502" s="137"/>
    </row>
    <row r="503">
      <c r="B503" s="12"/>
      <c r="C503" s="137"/>
    </row>
    <row r="504">
      <c r="B504" s="12"/>
      <c r="C504" s="137"/>
    </row>
    <row r="505">
      <c r="B505" s="12"/>
      <c r="C505" s="137"/>
    </row>
    <row r="506">
      <c r="B506" s="12"/>
      <c r="C506" s="137"/>
    </row>
    <row r="507">
      <c r="B507" s="12"/>
      <c r="C507" s="137"/>
    </row>
    <row r="508">
      <c r="B508" s="12"/>
      <c r="C508" s="137"/>
    </row>
    <row r="509">
      <c r="B509" s="12"/>
      <c r="C509" s="137"/>
    </row>
    <row r="510">
      <c r="B510" s="12"/>
      <c r="C510" s="137"/>
    </row>
    <row r="511">
      <c r="B511" s="12"/>
      <c r="C511" s="137"/>
    </row>
    <row r="512">
      <c r="B512" s="12"/>
      <c r="C512" s="137"/>
    </row>
    <row r="513">
      <c r="B513" s="12"/>
      <c r="C513" s="137"/>
    </row>
    <row r="514">
      <c r="B514" s="12"/>
      <c r="C514" s="137"/>
    </row>
    <row r="515">
      <c r="B515" s="12"/>
      <c r="C515" s="137"/>
    </row>
    <row r="516">
      <c r="B516" s="12"/>
      <c r="C516" s="137"/>
    </row>
    <row r="517">
      <c r="B517" s="12"/>
      <c r="C517" s="137"/>
    </row>
    <row r="518">
      <c r="B518" s="12"/>
      <c r="C518" s="137"/>
    </row>
    <row r="519">
      <c r="B519" s="12"/>
      <c r="C519" s="137"/>
    </row>
    <row r="520">
      <c r="B520" s="12"/>
      <c r="C520" s="137"/>
    </row>
    <row r="521">
      <c r="B521" s="12"/>
      <c r="C521" s="137"/>
    </row>
    <row r="522">
      <c r="B522" s="12"/>
      <c r="C522" s="137"/>
    </row>
    <row r="523">
      <c r="B523" s="12"/>
      <c r="C523" s="137"/>
    </row>
    <row r="524">
      <c r="B524" s="12"/>
      <c r="C524" s="137"/>
    </row>
    <row r="525">
      <c r="B525" s="12"/>
      <c r="C525" s="137"/>
    </row>
    <row r="526">
      <c r="B526" s="12"/>
      <c r="C526" s="137"/>
    </row>
    <row r="527">
      <c r="B527" s="12"/>
      <c r="C527" s="137"/>
    </row>
    <row r="528">
      <c r="B528" s="12"/>
      <c r="C528" s="137"/>
    </row>
    <row r="529">
      <c r="B529" s="12"/>
      <c r="C529" s="137"/>
    </row>
    <row r="530">
      <c r="B530" s="12"/>
      <c r="C530" s="137"/>
    </row>
    <row r="531">
      <c r="B531" s="12"/>
      <c r="C531" s="137"/>
    </row>
    <row r="532">
      <c r="B532" s="12"/>
      <c r="C532" s="137"/>
    </row>
    <row r="533">
      <c r="B533" s="12"/>
      <c r="C533" s="137"/>
    </row>
    <row r="534">
      <c r="B534" s="12"/>
      <c r="C534" s="137"/>
    </row>
    <row r="535">
      <c r="B535" s="12"/>
      <c r="C535" s="137"/>
    </row>
    <row r="536">
      <c r="B536" s="12"/>
      <c r="C536" s="137"/>
    </row>
    <row r="537">
      <c r="B537" s="12"/>
      <c r="C537" s="137"/>
    </row>
    <row r="538">
      <c r="B538" s="12"/>
      <c r="C538" s="137"/>
    </row>
    <row r="539">
      <c r="B539" s="12"/>
      <c r="C539" s="137"/>
    </row>
    <row r="540">
      <c r="B540" s="12"/>
      <c r="C540" s="137"/>
    </row>
    <row r="541">
      <c r="B541" s="12"/>
      <c r="C541" s="137"/>
    </row>
    <row r="542">
      <c r="B542" s="12"/>
      <c r="C542" s="137"/>
    </row>
    <row r="543">
      <c r="B543" s="12"/>
      <c r="C543" s="137"/>
    </row>
    <row r="544">
      <c r="B544" s="12"/>
      <c r="C544" s="137"/>
    </row>
    <row r="545">
      <c r="B545" s="12"/>
      <c r="C545" s="137"/>
    </row>
    <row r="546">
      <c r="B546" s="12"/>
      <c r="C546" s="137"/>
    </row>
    <row r="547">
      <c r="B547" s="12"/>
      <c r="C547" s="137"/>
    </row>
    <row r="548">
      <c r="B548" s="12"/>
      <c r="C548" s="137"/>
    </row>
    <row r="549">
      <c r="B549" s="12"/>
      <c r="C549" s="137"/>
    </row>
    <row r="550">
      <c r="B550" s="12"/>
      <c r="C550" s="137"/>
    </row>
    <row r="551">
      <c r="B551" s="12"/>
      <c r="C551" s="137"/>
    </row>
    <row r="552">
      <c r="B552" s="12"/>
      <c r="C552" s="137"/>
    </row>
    <row r="553">
      <c r="B553" s="12"/>
      <c r="C553" s="137"/>
    </row>
    <row r="554">
      <c r="B554" s="12"/>
      <c r="C554" s="137"/>
    </row>
    <row r="555">
      <c r="B555" s="12"/>
      <c r="C555" s="137"/>
    </row>
    <row r="556">
      <c r="B556" s="12"/>
      <c r="C556" s="137"/>
    </row>
    <row r="557">
      <c r="B557" s="12"/>
      <c r="C557" s="137"/>
    </row>
    <row r="558">
      <c r="B558" s="12"/>
      <c r="C558" s="137"/>
    </row>
    <row r="559">
      <c r="B559" s="12"/>
      <c r="C559" s="137"/>
    </row>
    <row r="560">
      <c r="B560" s="12"/>
      <c r="C560" s="137"/>
    </row>
    <row r="561">
      <c r="B561" s="12"/>
      <c r="C561" s="137"/>
    </row>
    <row r="562">
      <c r="B562" s="12"/>
      <c r="C562" s="137"/>
    </row>
    <row r="563">
      <c r="B563" s="12"/>
      <c r="C563" s="137"/>
    </row>
    <row r="564">
      <c r="B564" s="12"/>
      <c r="C564" s="137"/>
    </row>
    <row r="565">
      <c r="B565" s="12"/>
      <c r="C565" s="137"/>
    </row>
    <row r="566">
      <c r="B566" s="12"/>
      <c r="C566" s="137"/>
    </row>
    <row r="567">
      <c r="B567" s="12"/>
      <c r="C567" s="137"/>
    </row>
    <row r="568">
      <c r="B568" s="12"/>
      <c r="C568" s="137"/>
    </row>
    <row r="569">
      <c r="B569" s="12"/>
      <c r="C569" s="137"/>
    </row>
    <row r="570">
      <c r="B570" s="12"/>
      <c r="C570" s="137"/>
    </row>
    <row r="571">
      <c r="B571" s="12"/>
      <c r="C571" s="137"/>
    </row>
    <row r="572">
      <c r="B572" s="12"/>
      <c r="C572" s="137"/>
    </row>
    <row r="573">
      <c r="B573" s="12"/>
      <c r="C573" s="137"/>
    </row>
    <row r="574">
      <c r="B574" s="12"/>
      <c r="C574" s="137"/>
    </row>
    <row r="575">
      <c r="B575" s="12"/>
      <c r="C575" s="137"/>
    </row>
    <row r="576">
      <c r="B576" s="12"/>
      <c r="C576" s="137"/>
    </row>
    <row r="577">
      <c r="B577" s="12"/>
      <c r="C577" s="137"/>
    </row>
    <row r="578">
      <c r="B578" s="12"/>
      <c r="C578" s="137"/>
    </row>
    <row r="579">
      <c r="B579" s="12"/>
      <c r="C579" s="137"/>
    </row>
    <row r="580">
      <c r="B580" s="12"/>
      <c r="C580" s="137"/>
    </row>
    <row r="581">
      <c r="B581" s="12"/>
      <c r="C581" s="137"/>
    </row>
    <row r="582">
      <c r="B582" s="12"/>
      <c r="C582" s="137"/>
    </row>
    <row r="583">
      <c r="B583" s="12"/>
      <c r="C583" s="137"/>
    </row>
    <row r="584">
      <c r="B584" s="12"/>
      <c r="C584" s="137"/>
    </row>
    <row r="585">
      <c r="B585" s="12"/>
      <c r="C585" s="137"/>
    </row>
    <row r="586">
      <c r="B586" s="12"/>
      <c r="C586" s="137"/>
    </row>
    <row r="587">
      <c r="B587" s="12"/>
      <c r="C587" s="137"/>
    </row>
    <row r="588">
      <c r="B588" s="12"/>
      <c r="C588" s="137"/>
    </row>
    <row r="589">
      <c r="B589" s="12"/>
      <c r="C589" s="137"/>
    </row>
    <row r="590">
      <c r="B590" s="12"/>
      <c r="C590" s="137"/>
    </row>
    <row r="591">
      <c r="B591" s="12"/>
      <c r="C591" s="137"/>
    </row>
    <row r="592">
      <c r="B592" s="12"/>
      <c r="C592" s="137"/>
    </row>
    <row r="593">
      <c r="B593" s="12"/>
      <c r="C593" s="137"/>
    </row>
    <row r="594">
      <c r="B594" s="12"/>
      <c r="C594" s="137"/>
    </row>
    <row r="595">
      <c r="B595" s="12"/>
      <c r="C595" s="137"/>
    </row>
    <row r="596">
      <c r="B596" s="12"/>
      <c r="C596" s="137"/>
    </row>
    <row r="597">
      <c r="B597" s="12"/>
      <c r="C597" s="137"/>
    </row>
    <row r="598">
      <c r="B598" s="12"/>
      <c r="C598" s="137"/>
    </row>
    <row r="599">
      <c r="B599" s="12"/>
      <c r="C599" s="137"/>
    </row>
    <row r="600">
      <c r="B600" s="12"/>
      <c r="C600" s="137"/>
    </row>
    <row r="601">
      <c r="B601" s="12"/>
      <c r="C601" s="137"/>
    </row>
    <row r="602">
      <c r="B602" s="12"/>
      <c r="C602" s="137"/>
    </row>
    <row r="603">
      <c r="B603" s="12"/>
      <c r="C603" s="137"/>
    </row>
    <row r="604">
      <c r="B604" s="12"/>
      <c r="C604" s="137"/>
    </row>
    <row r="605">
      <c r="B605" s="12"/>
      <c r="C605" s="137"/>
    </row>
    <row r="606">
      <c r="B606" s="12"/>
      <c r="C606" s="137"/>
    </row>
    <row r="607">
      <c r="B607" s="12"/>
      <c r="C607" s="137"/>
    </row>
    <row r="608">
      <c r="B608" s="12"/>
      <c r="C608" s="137"/>
    </row>
    <row r="609">
      <c r="B609" s="12"/>
      <c r="C609" s="137"/>
    </row>
    <row r="610">
      <c r="B610" s="12"/>
      <c r="C610" s="137"/>
    </row>
    <row r="611">
      <c r="B611" s="12"/>
      <c r="C611" s="137"/>
    </row>
    <row r="612">
      <c r="B612" s="12"/>
      <c r="C612" s="137"/>
    </row>
    <row r="613">
      <c r="B613" s="12"/>
      <c r="C613" s="137"/>
    </row>
    <row r="614">
      <c r="B614" s="12"/>
      <c r="C614" s="137"/>
    </row>
    <row r="615">
      <c r="B615" s="12"/>
      <c r="C615" s="137"/>
    </row>
    <row r="616">
      <c r="B616" s="12"/>
      <c r="C616" s="137"/>
    </row>
    <row r="617">
      <c r="B617" s="12"/>
      <c r="C617" s="137"/>
    </row>
    <row r="618">
      <c r="B618" s="12"/>
      <c r="C618" s="137"/>
    </row>
    <row r="619">
      <c r="B619" s="12"/>
      <c r="C619" s="137"/>
    </row>
    <row r="620">
      <c r="B620" s="12"/>
      <c r="C620" s="137"/>
    </row>
    <row r="621">
      <c r="B621" s="12"/>
      <c r="C621" s="137"/>
    </row>
    <row r="622">
      <c r="B622" s="12"/>
      <c r="C622" s="137"/>
    </row>
    <row r="623">
      <c r="B623" s="12"/>
      <c r="C623" s="137"/>
    </row>
    <row r="624">
      <c r="B624" s="12"/>
      <c r="C624" s="137"/>
    </row>
    <row r="625">
      <c r="B625" s="12"/>
      <c r="C625" s="137"/>
    </row>
    <row r="626">
      <c r="B626" s="12"/>
      <c r="C626" s="137"/>
    </row>
    <row r="627">
      <c r="B627" s="12"/>
      <c r="C627" s="137"/>
    </row>
    <row r="628">
      <c r="B628" s="12"/>
      <c r="C628" s="137"/>
    </row>
    <row r="629">
      <c r="B629" s="12"/>
      <c r="C629" s="137"/>
    </row>
    <row r="630">
      <c r="B630" s="12"/>
      <c r="C630" s="137"/>
    </row>
    <row r="631">
      <c r="B631" s="12"/>
      <c r="C631" s="137"/>
    </row>
    <row r="632">
      <c r="B632" s="12"/>
      <c r="C632" s="137"/>
    </row>
    <row r="633">
      <c r="B633" s="12"/>
      <c r="C633" s="137"/>
    </row>
    <row r="634">
      <c r="B634" s="12"/>
      <c r="C634" s="137"/>
    </row>
    <row r="635">
      <c r="B635" s="12"/>
      <c r="C635" s="137"/>
    </row>
    <row r="636">
      <c r="B636" s="12"/>
      <c r="C636" s="137"/>
    </row>
    <row r="637">
      <c r="B637" s="12"/>
      <c r="C637" s="137"/>
    </row>
    <row r="638">
      <c r="B638" s="12"/>
      <c r="C638" s="137"/>
    </row>
    <row r="639">
      <c r="B639" s="12"/>
      <c r="C639" s="137"/>
    </row>
    <row r="640">
      <c r="B640" s="12"/>
      <c r="C640" s="137"/>
    </row>
    <row r="641">
      <c r="B641" s="12"/>
      <c r="C641" s="137"/>
    </row>
    <row r="642">
      <c r="B642" s="12"/>
      <c r="C642" s="137"/>
    </row>
    <row r="643">
      <c r="B643" s="12"/>
      <c r="C643" s="137"/>
    </row>
    <row r="644">
      <c r="B644" s="12"/>
      <c r="C644" s="137"/>
    </row>
    <row r="645">
      <c r="B645" s="12"/>
      <c r="C645" s="137"/>
    </row>
    <row r="646">
      <c r="B646" s="12"/>
      <c r="C646" s="137"/>
    </row>
    <row r="647">
      <c r="B647" s="12"/>
      <c r="C647" s="137"/>
    </row>
    <row r="648">
      <c r="B648" s="12"/>
      <c r="C648" s="137"/>
    </row>
    <row r="649">
      <c r="B649" s="12"/>
      <c r="C649" s="137"/>
    </row>
    <row r="650">
      <c r="B650" s="12"/>
      <c r="C650" s="137"/>
    </row>
    <row r="651">
      <c r="B651" s="12"/>
      <c r="C651" s="137"/>
    </row>
    <row r="652">
      <c r="B652" s="12"/>
      <c r="C652" s="137"/>
    </row>
    <row r="653">
      <c r="B653" s="12"/>
      <c r="C653" s="137"/>
    </row>
    <row r="654">
      <c r="B654" s="12"/>
      <c r="C654" s="137"/>
    </row>
    <row r="655">
      <c r="B655" s="12"/>
      <c r="C655" s="137"/>
    </row>
    <row r="656">
      <c r="B656" s="12"/>
      <c r="C656" s="137"/>
    </row>
    <row r="657">
      <c r="B657" s="12"/>
      <c r="C657" s="137"/>
    </row>
    <row r="658">
      <c r="B658" s="12"/>
      <c r="C658" s="137"/>
    </row>
    <row r="659">
      <c r="B659" s="12"/>
      <c r="C659" s="137"/>
    </row>
    <row r="660">
      <c r="B660" s="12"/>
      <c r="C660" s="137"/>
    </row>
    <row r="661">
      <c r="B661" s="12"/>
      <c r="C661" s="137"/>
    </row>
    <row r="662">
      <c r="B662" s="12"/>
      <c r="C662" s="137"/>
    </row>
    <row r="663">
      <c r="B663" s="12"/>
      <c r="C663" s="137"/>
    </row>
    <row r="664">
      <c r="B664" s="12"/>
      <c r="C664" s="137"/>
    </row>
    <row r="665">
      <c r="B665" s="12"/>
      <c r="C665" s="137"/>
    </row>
    <row r="666">
      <c r="B666" s="12"/>
      <c r="C666" s="137"/>
    </row>
    <row r="667">
      <c r="B667" s="12"/>
      <c r="C667" s="137"/>
    </row>
    <row r="668">
      <c r="B668" s="12"/>
      <c r="C668" s="137"/>
    </row>
    <row r="669">
      <c r="B669" s="12"/>
      <c r="C669" s="137"/>
    </row>
    <row r="670">
      <c r="B670" s="12"/>
      <c r="C670" s="137"/>
    </row>
    <row r="671">
      <c r="B671" s="12"/>
      <c r="C671" s="137"/>
    </row>
    <row r="672">
      <c r="B672" s="12"/>
      <c r="C672" s="137"/>
    </row>
    <row r="673">
      <c r="B673" s="12"/>
      <c r="C673" s="137"/>
    </row>
    <row r="674">
      <c r="B674" s="12"/>
      <c r="C674" s="137"/>
    </row>
    <row r="675">
      <c r="B675" s="12"/>
      <c r="C675" s="137"/>
    </row>
    <row r="676">
      <c r="B676" s="12"/>
      <c r="C676" s="137"/>
    </row>
    <row r="677">
      <c r="B677" s="12"/>
      <c r="C677" s="137"/>
    </row>
    <row r="678">
      <c r="B678" s="12"/>
      <c r="C678" s="137"/>
    </row>
    <row r="679">
      <c r="B679" s="12"/>
      <c r="C679" s="137"/>
    </row>
    <row r="680">
      <c r="B680" s="12"/>
      <c r="C680" s="137"/>
    </row>
    <row r="681">
      <c r="B681" s="12"/>
      <c r="C681" s="137"/>
    </row>
    <row r="682">
      <c r="B682" s="12"/>
      <c r="C682" s="137"/>
    </row>
    <row r="683">
      <c r="B683" s="12"/>
      <c r="C683" s="137"/>
    </row>
    <row r="684">
      <c r="B684" s="12"/>
      <c r="C684" s="137"/>
    </row>
    <row r="685">
      <c r="B685" s="12"/>
      <c r="C685" s="137"/>
    </row>
    <row r="686">
      <c r="B686" s="12"/>
      <c r="C686" s="137"/>
    </row>
    <row r="687">
      <c r="B687" s="12"/>
      <c r="C687" s="137"/>
    </row>
    <row r="688">
      <c r="B688" s="12"/>
      <c r="C688" s="137"/>
    </row>
    <row r="689">
      <c r="B689" s="12"/>
      <c r="C689" s="137"/>
    </row>
    <row r="690">
      <c r="B690" s="12"/>
      <c r="C690" s="137"/>
    </row>
    <row r="691">
      <c r="B691" s="12"/>
      <c r="C691" s="137"/>
    </row>
    <row r="692">
      <c r="B692" s="12"/>
      <c r="C692" s="137"/>
    </row>
    <row r="693">
      <c r="B693" s="12"/>
      <c r="C693" s="137"/>
    </row>
    <row r="694">
      <c r="B694" s="12"/>
      <c r="C694" s="137"/>
    </row>
    <row r="695">
      <c r="B695" s="12"/>
      <c r="C695" s="137"/>
    </row>
    <row r="696">
      <c r="B696" s="12"/>
      <c r="C696" s="137"/>
    </row>
    <row r="697">
      <c r="B697" s="12"/>
      <c r="C697" s="137"/>
    </row>
    <row r="698">
      <c r="B698" s="12"/>
      <c r="C698" s="137"/>
    </row>
    <row r="699">
      <c r="B699" s="12"/>
      <c r="C699" s="137"/>
    </row>
    <row r="700">
      <c r="B700" s="12"/>
      <c r="C700" s="137"/>
    </row>
    <row r="701">
      <c r="B701" s="12"/>
      <c r="C701" s="137"/>
    </row>
    <row r="702">
      <c r="B702" s="12"/>
      <c r="C702" s="137"/>
    </row>
    <row r="703">
      <c r="B703" s="12"/>
      <c r="C703" s="137"/>
    </row>
    <row r="704">
      <c r="B704" s="12"/>
      <c r="C704" s="137"/>
    </row>
    <row r="705">
      <c r="B705" s="12"/>
      <c r="C705" s="137"/>
    </row>
    <row r="706">
      <c r="B706" s="12"/>
      <c r="C706" s="137"/>
    </row>
    <row r="707">
      <c r="B707" s="12"/>
      <c r="C707" s="137"/>
    </row>
    <row r="708">
      <c r="B708" s="12"/>
      <c r="C708" s="137"/>
    </row>
    <row r="709">
      <c r="B709" s="12"/>
      <c r="C709" s="137"/>
    </row>
    <row r="710">
      <c r="B710" s="12"/>
      <c r="C710" s="137"/>
    </row>
    <row r="711">
      <c r="B711" s="12"/>
      <c r="C711" s="137"/>
    </row>
    <row r="712">
      <c r="B712" s="12"/>
      <c r="C712" s="137"/>
    </row>
    <row r="713">
      <c r="B713" s="12"/>
      <c r="C713" s="137"/>
    </row>
    <row r="714">
      <c r="B714" s="12"/>
      <c r="C714" s="137"/>
    </row>
    <row r="715">
      <c r="B715" s="12"/>
      <c r="C715" s="137"/>
    </row>
    <row r="716">
      <c r="B716" s="12"/>
      <c r="C716" s="137"/>
    </row>
    <row r="717">
      <c r="B717" s="12"/>
      <c r="C717" s="137"/>
    </row>
    <row r="718">
      <c r="B718" s="12"/>
      <c r="C718" s="137"/>
    </row>
    <row r="719">
      <c r="B719" s="12"/>
      <c r="C719" s="137"/>
    </row>
    <row r="720">
      <c r="B720" s="12"/>
      <c r="C720" s="137"/>
    </row>
    <row r="721">
      <c r="B721" s="12"/>
      <c r="C721" s="137"/>
    </row>
    <row r="722">
      <c r="B722" s="12"/>
      <c r="C722" s="137"/>
    </row>
    <row r="723">
      <c r="B723" s="12"/>
      <c r="C723" s="137"/>
    </row>
    <row r="724">
      <c r="B724" s="12"/>
      <c r="C724" s="137"/>
    </row>
    <row r="725">
      <c r="B725" s="12"/>
      <c r="C725" s="137"/>
    </row>
    <row r="726">
      <c r="B726" s="12"/>
      <c r="C726" s="137"/>
    </row>
    <row r="727">
      <c r="B727" s="12"/>
      <c r="C727" s="137"/>
    </row>
    <row r="728">
      <c r="B728" s="12"/>
      <c r="C728" s="137"/>
    </row>
    <row r="729">
      <c r="B729" s="12"/>
      <c r="C729" s="137"/>
    </row>
    <row r="730">
      <c r="B730" s="12"/>
      <c r="C730" s="137"/>
    </row>
    <row r="731">
      <c r="B731" s="12"/>
      <c r="C731" s="137"/>
    </row>
    <row r="732">
      <c r="B732" s="12"/>
      <c r="C732" s="137"/>
    </row>
    <row r="733">
      <c r="B733" s="12"/>
      <c r="C733" s="137"/>
    </row>
    <row r="734">
      <c r="B734" s="12"/>
      <c r="C734" s="137"/>
    </row>
    <row r="735">
      <c r="B735" s="12"/>
      <c r="C735" s="137"/>
    </row>
    <row r="736">
      <c r="B736" s="12"/>
      <c r="C736" s="137"/>
    </row>
    <row r="737">
      <c r="B737" s="12"/>
      <c r="C737" s="137"/>
    </row>
    <row r="738">
      <c r="B738" s="12"/>
      <c r="C738" s="137"/>
    </row>
    <row r="739">
      <c r="B739" s="12"/>
      <c r="C739" s="137"/>
    </row>
    <row r="740">
      <c r="B740" s="12"/>
      <c r="C740" s="137"/>
    </row>
    <row r="741">
      <c r="B741" s="12"/>
      <c r="C741" s="137"/>
    </row>
    <row r="742">
      <c r="B742" s="12"/>
      <c r="C742" s="137"/>
    </row>
    <row r="743">
      <c r="B743" s="12"/>
      <c r="C743" s="137"/>
    </row>
    <row r="744">
      <c r="B744" s="12"/>
      <c r="C744" s="137"/>
    </row>
    <row r="745">
      <c r="B745" s="12"/>
      <c r="C745" s="137"/>
    </row>
    <row r="746">
      <c r="B746" s="12"/>
      <c r="C746" s="137"/>
    </row>
    <row r="747">
      <c r="B747" s="12"/>
      <c r="C747" s="137"/>
    </row>
    <row r="748">
      <c r="B748" s="12"/>
      <c r="C748" s="137"/>
    </row>
    <row r="749">
      <c r="B749" s="12"/>
      <c r="C749" s="137"/>
    </row>
    <row r="750">
      <c r="B750" s="12"/>
      <c r="C750" s="137"/>
    </row>
    <row r="751">
      <c r="B751" s="12"/>
      <c r="C751" s="137"/>
    </row>
    <row r="752">
      <c r="B752" s="12"/>
      <c r="C752" s="137"/>
    </row>
    <row r="753">
      <c r="B753" s="12"/>
      <c r="C753" s="137"/>
    </row>
    <row r="754">
      <c r="B754" s="12"/>
      <c r="C754" s="137"/>
    </row>
    <row r="755">
      <c r="B755" s="12"/>
      <c r="C755" s="137"/>
    </row>
    <row r="756">
      <c r="B756" s="12"/>
      <c r="C756" s="137"/>
    </row>
    <row r="757">
      <c r="B757" s="12"/>
      <c r="C757" s="137"/>
    </row>
    <row r="758">
      <c r="B758" s="12"/>
      <c r="C758" s="137"/>
    </row>
    <row r="759">
      <c r="B759" s="12"/>
      <c r="C759" s="137"/>
    </row>
    <row r="760">
      <c r="B760" s="12"/>
      <c r="C760" s="137"/>
    </row>
    <row r="761">
      <c r="B761" s="12"/>
      <c r="C761" s="137"/>
    </row>
    <row r="762">
      <c r="B762" s="12"/>
      <c r="C762" s="137"/>
    </row>
    <row r="763">
      <c r="B763" s="12"/>
      <c r="C763" s="137"/>
    </row>
    <row r="764">
      <c r="B764" s="12"/>
      <c r="C764" s="137"/>
    </row>
    <row r="765">
      <c r="B765" s="12"/>
      <c r="C765" s="137"/>
    </row>
    <row r="766">
      <c r="B766" s="12"/>
      <c r="C766" s="137"/>
    </row>
    <row r="767">
      <c r="B767" s="12"/>
      <c r="C767" s="137"/>
    </row>
    <row r="768">
      <c r="B768" s="12"/>
      <c r="C768" s="137"/>
    </row>
    <row r="769">
      <c r="B769" s="12"/>
      <c r="C769" s="137"/>
    </row>
    <row r="770">
      <c r="B770" s="12"/>
      <c r="C770" s="137"/>
    </row>
    <row r="771">
      <c r="B771" s="12"/>
      <c r="C771" s="137"/>
    </row>
    <row r="772">
      <c r="B772" s="12"/>
      <c r="C772" s="137"/>
    </row>
    <row r="773">
      <c r="B773" s="12"/>
      <c r="C773" s="137"/>
    </row>
    <row r="774">
      <c r="B774" s="12"/>
      <c r="C774" s="137"/>
    </row>
    <row r="775">
      <c r="B775" s="12"/>
      <c r="C775" s="137"/>
    </row>
    <row r="776">
      <c r="B776" s="12"/>
      <c r="C776" s="137"/>
    </row>
    <row r="777">
      <c r="B777" s="12"/>
      <c r="C777" s="137"/>
    </row>
    <row r="778">
      <c r="B778" s="12"/>
      <c r="C778" s="137"/>
    </row>
    <row r="779">
      <c r="B779" s="12"/>
      <c r="C779" s="137"/>
    </row>
    <row r="780">
      <c r="B780" s="12"/>
      <c r="C780" s="137"/>
    </row>
    <row r="781">
      <c r="B781" s="12"/>
      <c r="C781" s="137"/>
    </row>
    <row r="782">
      <c r="B782" s="12"/>
      <c r="C782" s="137"/>
    </row>
    <row r="783">
      <c r="B783" s="12"/>
      <c r="C783" s="137"/>
    </row>
    <row r="784">
      <c r="B784" s="12"/>
      <c r="C784" s="137"/>
    </row>
    <row r="785">
      <c r="B785" s="12"/>
      <c r="C785" s="137"/>
    </row>
    <row r="786">
      <c r="B786" s="12"/>
      <c r="C786" s="137"/>
    </row>
    <row r="787">
      <c r="B787" s="12"/>
      <c r="C787" s="137"/>
    </row>
    <row r="788">
      <c r="B788" s="12"/>
      <c r="C788" s="137"/>
    </row>
    <row r="789">
      <c r="B789" s="12"/>
      <c r="C789" s="137"/>
    </row>
    <row r="790">
      <c r="B790" s="12"/>
      <c r="C790" s="137"/>
    </row>
    <row r="791">
      <c r="B791" s="12"/>
      <c r="C791" s="137"/>
    </row>
    <row r="792">
      <c r="B792" s="12"/>
      <c r="C792" s="137"/>
    </row>
    <row r="793">
      <c r="B793" s="12"/>
      <c r="C793" s="137"/>
    </row>
    <row r="794">
      <c r="B794" s="12"/>
      <c r="C794" s="137"/>
    </row>
    <row r="795">
      <c r="B795" s="12"/>
      <c r="C795" s="137"/>
    </row>
    <row r="796">
      <c r="B796" s="12"/>
      <c r="C796" s="137"/>
    </row>
    <row r="797">
      <c r="B797" s="12"/>
      <c r="C797" s="137"/>
    </row>
    <row r="798">
      <c r="B798" s="12"/>
      <c r="C798" s="137"/>
    </row>
    <row r="799">
      <c r="B799" s="12"/>
      <c r="C799" s="137"/>
    </row>
    <row r="800">
      <c r="B800" s="12"/>
      <c r="C800" s="137"/>
    </row>
    <row r="801">
      <c r="B801" s="12"/>
      <c r="C801" s="137"/>
    </row>
    <row r="802">
      <c r="B802" s="12"/>
      <c r="C802" s="137"/>
    </row>
    <row r="803">
      <c r="B803" s="12"/>
      <c r="C803" s="137"/>
    </row>
    <row r="804">
      <c r="B804" s="12"/>
      <c r="C804" s="137"/>
    </row>
    <row r="805">
      <c r="B805" s="12"/>
      <c r="C805" s="137"/>
    </row>
    <row r="806">
      <c r="B806" s="12"/>
      <c r="C806" s="137"/>
    </row>
    <row r="807">
      <c r="B807" s="12"/>
      <c r="C807" s="137"/>
    </row>
    <row r="808">
      <c r="B808" s="12"/>
      <c r="C808" s="137"/>
    </row>
    <row r="809">
      <c r="B809" s="12"/>
      <c r="C809" s="137"/>
    </row>
    <row r="810">
      <c r="B810" s="12"/>
      <c r="C810" s="137"/>
    </row>
    <row r="811">
      <c r="B811" s="12"/>
      <c r="C811" s="137"/>
    </row>
    <row r="812">
      <c r="B812" s="12"/>
      <c r="C812" s="137"/>
    </row>
    <row r="813">
      <c r="B813" s="12"/>
      <c r="C813" s="137"/>
    </row>
    <row r="814">
      <c r="B814" s="12"/>
      <c r="C814" s="137"/>
    </row>
    <row r="815">
      <c r="B815" s="12"/>
      <c r="C815" s="137"/>
    </row>
    <row r="816">
      <c r="B816" s="12"/>
      <c r="C816" s="137"/>
    </row>
    <row r="817">
      <c r="B817" s="12"/>
      <c r="C817" s="137"/>
    </row>
    <row r="818">
      <c r="B818" s="12"/>
      <c r="C818" s="137"/>
    </row>
    <row r="819">
      <c r="B819" s="12"/>
      <c r="C819" s="137"/>
    </row>
    <row r="820">
      <c r="B820" s="12"/>
      <c r="C820" s="137"/>
    </row>
    <row r="821">
      <c r="B821" s="12"/>
      <c r="C821" s="137"/>
    </row>
    <row r="822">
      <c r="B822" s="12"/>
      <c r="C822" s="137"/>
    </row>
    <row r="823">
      <c r="B823" s="12"/>
      <c r="C823" s="137"/>
    </row>
    <row r="824">
      <c r="B824" s="12"/>
      <c r="C824" s="137"/>
    </row>
    <row r="825">
      <c r="B825" s="12"/>
      <c r="C825" s="137"/>
    </row>
    <row r="826">
      <c r="B826" s="12"/>
      <c r="C826" s="137"/>
    </row>
    <row r="827">
      <c r="B827" s="12"/>
      <c r="C827" s="137"/>
    </row>
    <row r="828">
      <c r="B828" s="12"/>
      <c r="C828" s="137"/>
    </row>
    <row r="829">
      <c r="B829" s="12"/>
      <c r="C829" s="137"/>
    </row>
    <row r="830">
      <c r="B830" s="12"/>
      <c r="C830" s="137"/>
    </row>
    <row r="831">
      <c r="B831" s="12"/>
      <c r="C831" s="137"/>
    </row>
    <row r="832">
      <c r="B832" s="12"/>
      <c r="C832" s="137"/>
    </row>
    <row r="833">
      <c r="B833" s="12"/>
      <c r="C833" s="137"/>
    </row>
    <row r="834">
      <c r="B834" s="12"/>
      <c r="C834" s="137"/>
    </row>
    <row r="835">
      <c r="B835" s="12"/>
      <c r="C835" s="137"/>
    </row>
    <row r="836">
      <c r="B836" s="12"/>
      <c r="C836" s="137"/>
    </row>
    <row r="837">
      <c r="B837" s="12"/>
      <c r="C837" s="137"/>
    </row>
    <row r="838">
      <c r="B838" s="12"/>
      <c r="C838" s="137"/>
    </row>
    <row r="839">
      <c r="B839" s="12"/>
      <c r="C839" s="137"/>
    </row>
    <row r="840">
      <c r="B840" s="12"/>
      <c r="C840" s="137"/>
    </row>
    <row r="841">
      <c r="B841" s="12"/>
      <c r="C841" s="137"/>
    </row>
    <row r="842">
      <c r="B842" s="12"/>
      <c r="C842" s="137"/>
    </row>
    <row r="843">
      <c r="B843" s="12"/>
      <c r="C843" s="137"/>
    </row>
    <row r="844">
      <c r="B844" s="12"/>
      <c r="C844" s="137"/>
    </row>
    <row r="845">
      <c r="B845" s="12"/>
      <c r="C845" s="137"/>
    </row>
    <row r="846">
      <c r="B846" s="12"/>
      <c r="C846" s="137"/>
    </row>
    <row r="847">
      <c r="B847" s="12"/>
      <c r="C847" s="137"/>
    </row>
    <row r="848">
      <c r="B848" s="12"/>
      <c r="C848" s="137"/>
    </row>
    <row r="849">
      <c r="B849" s="12"/>
      <c r="C849" s="137"/>
    </row>
    <row r="850">
      <c r="B850" s="12"/>
      <c r="C850" s="137"/>
    </row>
    <row r="851">
      <c r="B851" s="12"/>
      <c r="C851" s="137"/>
    </row>
    <row r="852">
      <c r="B852" s="12"/>
      <c r="C852" s="137"/>
    </row>
    <row r="853">
      <c r="B853" s="12"/>
      <c r="C853" s="137"/>
    </row>
    <row r="854">
      <c r="B854" s="12"/>
      <c r="C854" s="137"/>
    </row>
    <row r="855">
      <c r="B855" s="12"/>
      <c r="C855" s="137"/>
    </row>
    <row r="856">
      <c r="B856" s="12"/>
      <c r="C856" s="137"/>
    </row>
    <row r="857">
      <c r="B857" s="12"/>
      <c r="C857" s="137"/>
    </row>
    <row r="858">
      <c r="B858" s="12"/>
      <c r="C858" s="137"/>
    </row>
    <row r="859">
      <c r="B859" s="12"/>
      <c r="C859" s="137"/>
    </row>
    <row r="860">
      <c r="B860" s="12"/>
      <c r="C860" s="137"/>
    </row>
    <row r="861">
      <c r="B861" s="12"/>
      <c r="C861" s="137"/>
    </row>
    <row r="862">
      <c r="B862" s="12"/>
      <c r="C862" s="137"/>
    </row>
    <row r="863">
      <c r="B863" s="12"/>
      <c r="C863" s="137"/>
    </row>
    <row r="864">
      <c r="B864" s="12"/>
      <c r="C864" s="137"/>
    </row>
    <row r="865">
      <c r="B865" s="12"/>
      <c r="C865" s="137"/>
    </row>
    <row r="866">
      <c r="B866" s="12"/>
      <c r="C866" s="137"/>
    </row>
    <row r="867">
      <c r="B867" s="12"/>
      <c r="C867" s="137"/>
    </row>
    <row r="868">
      <c r="B868" s="12"/>
      <c r="C868" s="137"/>
    </row>
    <row r="869">
      <c r="B869" s="12"/>
      <c r="C869" s="137"/>
    </row>
    <row r="870">
      <c r="B870" s="12"/>
      <c r="C870" s="137"/>
    </row>
    <row r="871">
      <c r="B871" s="12"/>
      <c r="C871" s="137"/>
    </row>
    <row r="872">
      <c r="B872" s="12"/>
      <c r="C872" s="137"/>
    </row>
    <row r="873">
      <c r="B873" s="12"/>
      <c r="C873" s="137"/>
    </row>
    <row r="874">
      <c r="B874" s="12"/>
      <c r="C874" s="137"/>
    </row>
    <row r="875">
      <c r="B875" s="12"/>
      <c r="C875" s="137"/>
    </row>
    <row r="876">
      <c r="B876" s="12"/>
      <c r="C876" s="137"/>
    </row>
    <row r="877">
      <c r="B877" s="12"/>
      <c r="C877" s="137"/>
    </row>
    <row r="878">
      <c r="B878" s="12"/>
      <c r="C878" s="137"/>
    </row>
    <row r="879">
      <c r="B879" s="12"/>
      <c r="C879" s="137"/>
    </row>
    <row r="880">
      <c r="B880" s="12"/>
      <c r="C880" s="137"/>
    </row>
    <row r="881">
      <c r="B881" s="12"/>
      <c r="C881" s="137"/>
    </row>
    <row r="882">
      <c r="B882" s="12"/>
      <c r="C882" s="137"/>
    </row>
    <row r="883">
      <c r="B883" s="12"/>
      <c r="C883" s="137"/>
    </row>
    <row r="884">
      <c r="B884" s="12"/>
      <c r="C884" s="137"/>
    </row>
    <row r="885">
      <c r="B885" s="12"/>
      <c r="C885" s="137"/>
    </row>
    <row r="886">
      <c r="B886" s="12"/>
      <c r="C886" s="137"/>
    </row>
    <row r="887">
      <c r="B887" s="12"/>
      <c r="C887" s="137"/>
    </row>
    <row r="888">
      <c r="B888" s="12"/>
      <c r="C888" s="137"/>
    </row>
    <row r="889">
      <c r="B889" s="12"/>
      <c r="C889" s="137"/>
    </row>
    <row r="890">
      <c r="B890" s="12"/>
      <c r="C890" s="137"/>
    </row>
    <row r="891">
      <c r="B891" s="12"/>
      <c r="C891" s="137"/>
    </row>
    <row r="892">
      <c r="B892" s="12"/>
      <c r="C892" s="137"/>
    </row>
    <row r="893">
      <c r="B893" s="12"/>
      <c r="C893" s="137"/>
    </row>
    <row r="894">
      <c r="B894" s="12"/>
      <c r="C894" s="137"/>
    </row>
    <row r="895">
      <c r="B895" s="12"/>
      <c r="C895" s="137"/>
    </row>
    <row r="896">
      <c r="B896" s="12"/>
      <c r="C896" s="137"/>
    </row>
    <row r="897">
      <c r="B897" s="12"/>
      <c r="C897" s="137"/>
    </row>
    <row r="898">
      <c r="B898" s="12"/>
      <c r="C898" s="137"/>
    </row>
    <row r="899">
      <c r="B899" s="12"/>
      <c r="C899" s="137"/>
    </row>
    <row r="900">
      <c r="B900" s="12"/>
      <c r="C900" s="137"/>
    </row>
    <row r="901">
      <c r="B901" s="12"/>
      <c r="C901" s="137"/>
    </row>
    <row r="902">
      <c r="B902" s="12"/>
      <c r="C902" s="137"/>
    </row>
    <row r="903">
      <c r="B903" s="12"/>
      <c r="C903" s="137"/>
    </row>
    <row r="904">
      <c r="B904" s="12"/>
      <c r="C904" s="137"/>
    </row>
    <row r="905">
      <c r="B905" s="12"/>
      <c r="C905" s="137"/>
    </row>
    <row r="906">
      <c r="B906" s="12"/>
      <c r="C906" s="137"/>
    </row>
    <row r="907">
      <c r="B907" s="12"/>
      <c r="C907" s="137"/>
    </row>
    <row r="908">
      <c r="B908" s="12"/>
      <c r="C908" s="137"/>
    </row>
    <row r="909">
      <c r="B909" s="12"/>
      <c r="C909" s="137"/>
    </row>
    <row r="910">
      <c r="B910" s="12"/>
      <c r="C910" s="137"/>
    </row>
    <row r="911">
      <c r="B911" s="12"/>
      <c r="C911" s="137"/>
    </row>
    <row r="912">
      <c r="B912" s="12"/>
      <c r="C912" s="137"/>
    </row>
    <row r="913">
      <c r="B913" s="12"/>
      <c r="C913" s="137"/>
    </row>
    <row r="914">
      <c r="B914" s="12"/>
      <c r="C914" s="137"/>
    </row>
    <row r="915">
      <c r="B915" s="12"/>
      <c r="C915" s="137"/>
    </row>
    <row r="916">
      <c r="B916" s="12"/>
      <c r="C916" s="137"/>
    </row>
    <row r="917">
      <c r="B917" s="12"/>
      <c r="C917" s="137"/>
    </row>
    <row r="918">
      <c r="B918" s="12"/>
      <c r="C918" s="137"/>
    </row>
    <row r="919">
      <c r="B919" s="12"/>
      <c r="C919" s="137"/>
    </row>
    <row r="920">
      <c r="B920" s="12"/>
      <c r="C920" s="137"/>
    </row>
    <row r="921">
      <c r="B921" s="12"/>
      <c r="C921" s="137"/>
    </row>
    <row r="922">
      <c r="B922" s="12"/>
      <c r="C922" s="137"/>
    </row>
    <row r="923">
      <c r="B923" s="12"/>
      <c r="C923" s="137"/>
    </row>
    <row r="924">
      <c r="B924" s="12"/>
      <c r="C924" s="137"/>
    </row>
    <row r="925">
      <c r="B925" s="12"/>
      <c r="C925" s="137"/>
    </row>
    <row r="926">
      <c r="B926" s="12"/>
      <c r="C926" s="137"/>
    </row>
    <row r="927">
      <c r="B927" s="12"/>
      <c r="C927" s="137"/>
    </row>
    <row r="928">
      <c r="B928" s="12"/>
      <c r="C928" s="137"/>
    </row>
    <row r="929">
      <c r="B929" s="12"/>
      <c r="C929" s="137"/>
    </row>
    <row r="930">
      <c r="B930" s="12"/>
      <c r="C930" s="137"/>
    </row>
    <row r="931">
      <c r="B931" s="12"/>
      <c r="C931" s="137"/>
    </row>
    <row r="932">
      <c r="B932" s="12"/>
      <c r="C932" s="137"/>
    </row>
    <row r="933">
      <c r="B933" s="12"/>
      <c r="C933" s="137"/>
    </row>
    <row r="934">
      <c r="B934" s="12"/>
      <c r="C934" s="137"/>
    </row>
    <row r="935">
      <c r="B935" s="12"/>
      <c r="C935" s="137"/>
    </row>
    <row r="936">
      <c r="B936" s="12"/>
      <c r="C936" s="137"/>
    </row>
    <row r="937">
      <c r="B937" s="12"/>
      <c r="C937" s="137"/>
    </row>
    <row r="938">
      <c r="B938" s="12"/>
      <c r="C938" s="137"/>
    </row>
    <row r="939">
      <c r="B939" s="12"/>
      <c r="C939" s="137"/>
    </row>
    <row r="940">
      <c r="B940" s="12"/>
      <c r="C940" s="137"/>
    </row>
    <row r="941">
      <c r="B941" s="12"/>
      <c r="C941" s="137"/>
    </row>
    <row r="942">
      <c r="B942" s="12"/>
      <c r="C942" s="137"/>
    </row>
    <row r="943">
      <c r="B943" s="12"/>
      <c r="C943" s="137"/>
    </row>
    <row r="944">
      <c r="B944" s="12"/>
      <c r="C944" s="137"/>
    </row>
    <row r="945">
      <c r="B945" s="12"/>
      <c r="C945" s="137"/>
    </row>
    <row r="946">
      <c r="B946" s="12"/>
      <c r="C946" s="137"/>
    </row>
    <row r="947">
      <c r="B947" s="12"/>
      <c r="C947" s="137"/>
    </row>
    <row r="948">
      <c r="B948" s="12"/>
      <c r="C948" s="137"/>
    </row>
    <row r="949">
      <c r="B949" s="12"/>
      <c r="C949" s="137"/>
    </row>
    <row r="950">
      <c r="B950" s="12"/>
      <c r="C950" s="137"/>
    </row>
    <row r="951">
      <c r="B951" s="12"/>
      <c r="C951" s="137"/>
    </row>
    <row r="952">
      <c r="B952" s="12"/>
      <c r="C952" s="137"/>
    </row>
    <row r="953">
      <c r="B953" s="12"/>
      <c r="C953" s="137"/>
    </row>
    <row r="954">
      <c r="B954" s="12"/>
      <c r="C954" s="137"/>
    </row>
    <row r="955">
      <c r="B955" s="12"/>
      <c r="C955" s="137"/>
    </row>
    <row r="956">
      <c r="B956" s="12"/>
      <c r="C956" s="137"/>
    </row>
    <row r="957">
      <c r="B957" s="12"/>
      <c r="C957" s="137"/>
    </row>
    <row r="958">
      <c r="B958" s="12"/>
      <c r="C958" s="137"/>
    </row>
    <row r="959">
      <c r="B959" s="12"/>
      <c r="C959" s="137"/>
    </row>
    <row r="960">
      <c r="B960" s="12"/>
      <c r="C960" s="137"/>
    </row>
    <row r="961">
      <c r="B961" s="12"/>
      <c r="C961" s="137"/>
    </row>
    <row r="962">
      <c r="B962" s="12"/>
      <c r="C962" s="137"/>
    </row>
    <row r="963">
      <c r="B963" s="12"/>
      <c r="C963" s="137"/>
    </row>
    <row r="964">
      <c r="B964" s="12"/>
      <c r="C964" s="137"/>
    </row>
    <row r="965">
      <c r="B965" s="12"/>
      <c r="C965" s="137"/>
    </row>
    <row r="966">
      <c r="B966" s="12"/>
      <c r="C966" s="137"/>
    </row>
    <row r="967">
      <c r="B967" s="12"/>
      <c r="C967" s="137"/>
    </row>
    <row r="968">
      <c r="B968" s="12"/>
      <c r="C968" s="137"/>
    </row>
    <row r="969">
      <c r="B969" s="12"/>
      <c r="C969" s="137"/>
    </row>
    <row r="970">
      <c r="B970" s="12"/>
      <c r="C970" s="137"/>
    </row>
    <row r="971">
      <c r="B971" s="12"/>
      <c r="C971" s="137"/>
    </row>
    <row r="972">
      <c r="B972" s="12"/>
      <c r="C972" s="137"/>
    </row>
    <row r="973">
      <c r="B973" s="12"/>
      <c r="C973" s="137"/>
    </row>
    <row r="974">
      <c r="B974" s="12"/>
      <c r="C974" s="137"/>
    </row>
    <row r="975">
      <c r="B975" s="12"/>
      <c r="C975" s="137"/>
    </row>
    <row r="976">
      <c r="B976" s="12"/>
      <c r="C976" s="137"/>
    </row>
    <row r="977">
      <c r="B977" s="12"/>
      <c r="C977" s="137"/>
    </row>
    <row r="978">
      <c r="B978" s="12"/>
      <c r="C978" s="137"/>
    </row>
    <row r="979">
      <c r="B979" s="12"/>
      <c r="C979" s="137"/>
    </row>
    <row r="980">
      <c r="B980" s="12"/>
      <c r="C980" s="137"/>
    </row>
    <row r="981">
      <c r="B981" s="12"/>
      <c r="C981" s="137"/>
    </row>
    <row r="982">
      <c r="B982" s="12"/>
      <c r="C982" s="137"/>
    </row>
    <row r="983">
      <c r="B983" s="12"/>
      <c r="C983" s="137"/>
    </row>
    <row r="984">
      <c r="B984" s="12"/>
      <c r="C984" s="137"/>
    </row>
    <row r="985">
      <c r="B985" s="12"/>
      <c r="C985" s="137"/>
    </row>
    <row r="986">
      <c r="B986" s="12"/>
      <c r="C986" s="137"/>
    </row>
    <row r="987">
      <c r="B987" s="12"/>
      <c r="C987" s="137"/>
    </row>
    <row r="988">
      <c r="B988" s="12"/>
      <c r="C988" s="137"/>
    </row>
    <row r="989">
      <c r="B989" s="12"/>
      <c r="C989" s="137"/>
    </row>
    <row r="990">
      <c r="B990" s="12"/>
      <c r="C990" s="137"/>
    </row>
    <row r="991">
      <c r="B991" s="12"/>
      <c r="C991" s="137"/>
    </row>
    <row r="992">
      <c r="B992" s="12"/>
      <c r="C992" s="137"/>
    </row>
    <row r="993">
      <c r="B993" s="12"/>
      <c r="C993" s="137"/>
    </row>
    <row r="994">
      <c r="B994" s="12"/>
      <c r="C994" s="137"/>
    </row>
    <row r="995">
      <c r="B995" s="12"/>
      <c r="C995" s="137"/>
    </row>
    <row r="996">
      <c r="B996" s="12"/>
      <c r="C996" s="137"/>
    </row>
    <row r="997">
      <c r="B997" s="12"/>
      <c r="C997" s="137"/>
    </row>
    <row r="998">
      <c r="B998" s="12"/>
      <c r="C998" s="137"/>
    </row>
    <row r="999">
      <c r="B999" s="12"/>
      <c r="C999" s="137"/>
    </row>
    <row r="1000">
      <c r="B1000" s="12"/>
      <c r="C1000" s="137"/>
    </row>
    <row r="1001">
      <c r="B1001" s="12"/>
      <c r="C1001" s="137"/>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0"/>
    <col customWidth="1" min="2" max="2" width="21.0"/>
    <col customWidth="1" min="3" max="3" width="18.75"/>
    <col customWidth="1" min="4" max="4" width="16.0"/>
    <col customWidth="1" min="7" max="7" width="20.5"/>
    <col customWidth="1" min="8" max="8" width="58.13"/>
    <col customWidth="1" min="9" max="9" width="16.63"/>
    <col hidden="1" min="10" max="10" width="12.63"/>
  </cols>
  <sheetData>
    <row r="1">
      <c r="A1" s="347" t="s">
        <v>749</v>
      </c>
      <c r="B1" s="348"/>
      <c r="C1" s="349"/>
      <c r="D1" s="350"/>
      <c r="E1" s="351"/>
      <c r="F1" s="352"/>
      <c r="G1" s="353"/>
      <c r="H1" s="353"/>
      <c r="I1" s="350"/>
      <c r="J1" s="350"/>
    </row>
    <row r="2">
      <c r="A2" s="152" t="s">
        <v>750</v>
      </c>
      <c r="B2" s="152"/>
      <c r="C2" s="152"/>
      <c r="D2" s="152"/>
      <c r="E2" s="152"/>
      <c r="F2" s="152"/>
      <c r="G2" s="152"/>
    </row>
    <row r="3">
      <c r="A3" s="152" t="s">
        <v>751</v>
      </c>
      <c r="B3" s="152"/>
      <c r="C3" s="152"/>
      <c r="D3" s="152"/>
      <c r="E3" s="152"/>
      <c r="F3" s="152"/>
      <c r="G3" s="152"/>
    </row>
    <row r="4">
      <c r="A4" s="152" t="s">
        <v>752</v>
      </c>
      <c r="B4" s="152"/>
      <c r="C4" s="152"/>
      <c r="D4" s="152"/>
      <c r="E4" s="152"/>
      <c r="F4" s="152"/>
      <c r="G4" s="152"/>
    </row>
    <row r="5">
      <c r="A5" s="152" t="s">
        <v>753</v>
      </c>
      <c r="B5" s="152"/>
      <c r="C5" s="152"/>
      <c r="D5" s="152"/>
      <c r="E5" s="152"/>
      <c r="F5" s="152"/>
      <c r="G5" s="152"/>
    </row>
    <row r="6">
      <c r="A6" s="152" t="s">
        <v>754</v>
      </c>
      <c r="B6" s="152"/>
      <c r="C6" s="152"/>
      <c r="D6" s="152"/>
      <c r="E6" s="152"/>
      <c r="F6" s="152"/>
      <c r="G6" s="152"/>
    </row>
    <row r="7">
      <c r="A7" s="153"/>
      <c r="B7" s="154"/>
      <c r="C7" s="155"/>
      <c r="D7" s="156"/>
      <c r="E7" s="157"/>
      <c r="F7" s="12"/>
    </row>
    <row r="8">
      <c r="A8" s="86" t="s">
        <v>199</v>
      </c>
      <c r="B8" s="159" t="s">
        <v>53</v>
      </c>
      <c r="C8" s="159" t="s">
        <v>200</v>
      </c>
      <c r="D8" s="159" t="s">
        <v>201</v>
      </c>
      <c r="E8" s="157"/>
      <c r="F8" s="160" t="s">
        <v>199</v>
      </c>
      <c r="G8" s="159" t="s">
        <v>53</v>
      </c>
      <c r="H8" s="162" t="s">
        <v>202</v>
      </c>
      <c r="I8" s="163" t="s">
        <v>203</v>
      </c>
    </row>
    <row r="9">
      <c r="A9" s="164" t="str">
        <f>if(Ploa_Import!B5=true,"Yes!","No")</f>
        <v>Yes!</v>
      </c>
      <c r="B9" s="165" t="s">
        <v>627</v>
      </c>
      <c r="C9" s="166" t="s">
        <v>205</v>
      </c>
      <c r="D9" s="167" t="s">
        <v>206</v>
      </c>
      <c r="E9" s="157"/>
      <c r="F9" s="354" t="str">
        <f>if(Ploa_Import!B24=true,"Yes!","No")</f>
        <v>Yes!</v>
      </c>
      <c r="G9" s="191" t="s">
        <v>566</v>
      </c>
      <c r="H9" s="247" t="s">
        <v>208</v>
      </c>
      <c r="I9" s="193" t="s">
        <v>209</v>
      </c>
      <c r="J9" s="172">
        <f t="shared" ref="J9:J10" si="1">COUNTif(F9,"Yes!")</f>
        <v>1</v>
      </c>
    </row>
    <row r="10">
      <c r="A10" s="173" t="str">
        <f>if(Ploa_Import!B6=true,"Yes!","No")</f>
        <v>Yes!</v>
      </c>
      <c r="B10" s="174" t="s">
        <v>262</v>
      </c>
      <c r="C10" s="175" t="s">
        <v>212</v>
      </c>
      <c r="D10" s="176" t="s">
        <v>206</v>
      </c>
      <c r="E10" s="157"/>
      <c r="F10" s="190" t="str">
        <f>if(Ploa_Import!B25=true,"Yes!","No")</f>
        <v>Yes!</v>
      </c>
      <c r="G10" s="191" t="s">
        <v>213</v>
      </c>
      <c r="H10" s="192" t="s">
        <v>755</v>
      </c>
      <c r="I10" s="193" t="s">
        <v>209</v>
      </c>
      <c r="J10" s="172">
        <f t="shared" si="1"/>
        <v>1</v>
      </c>
    </row>
    <row r="11">
      <c r="A11" s="173" t="str">
        <f>if(Ploa_Import!B7=true,"Yes!","No")</f>
        <v>Yes!</v>
      </c>
      <c r="B11" s="174" t="s">
        <v>370</v>
      </c>
      <c r="C11" s="175" t="s">
        <v>217</v>
      </c>
      <c r="D11" s="176" t="s">
        <v>206</v>
      </c>
      <c r="E11" s="157"/>
      <c r="F11" s="194" t="str">
        <f>if(Ploa_Import!B26=true,"Yes!","No")</f>
        <v>No</v>
      </c>
      <c r="G11" s="195" t="s">
        <v>659</v>
      </c>
      <c r="H11" s="196" t="s">
        <v>756</v>
      </c>
      <c r="I11" s="250" t="s">
        <v>281</v>
      </c>
      <c r="J11" s="172">
        <f>COUNTif(F11:F12,"Yes!")</f>
        <v>0</v>
      </c>
    </row>
    <row r="12">
      <c r="A12" s="173" t="str">
        <f>if(Ploa_Import!B8=true,"Yes!","No")</f>
        <v>Yes!</v>
      </c>
      <c r="B12" s="174" t="s">
        <v>566</v>
      </c>
      <c r="C12" s="175" t="s">
        <v>221</v>
      </c>
      <c r="D12" s="176" t="s">
        <v>222</v>
      </c>
      <c r="E12" s="157"/>
      <c r="F12" s="207" t="str">
        <f>if(Ploa_Import!B27=true,"Yes!","No")</f>
        <v>No</v>
      </c>
      <c r="G12" s="208" t="s">
        <v>391</v>
      </c>
      <c r="H12" s="210" t="s">
        <v>757</v>
      </c>
      <c r="I12" s="189"/>
      <c r="J12" s="172"/>
    </row>
    <row r="13">
      <c r="A13" s="173" t="str">
        <f>if(Ploa_Import!B9=true,"Yes!","No")</f>
        <v>Yes!</v>
      </c>
      <c r="B13" s="174" t="s">
        <v>404</v>
      </c>
      <c r="C13" s="175" t="s">
        <v>226</v>
      </c>
      <c r="D13" s="176" t="s">
        <v>758</v>
      </c>
      <c r="E13" s="157"/>
      <c r="F13" s="194" t="str">
        <f>if(Ploa_Import!B28=true,"Yes!","No")</f>
        <v>No</v>
      </c>
      <c r="G13" s="195" t="s">
        <v>759</v>
      </c>
      <c r="H13" s="196" t="s">
        <v>760</v>
      </c>
      <c r="I13" s="250" t="s">
        <v>209</v>
      </c>
      <c r="J13" s="172">
        <f>COUNTif(F13,"Yes!")</f>
        <v>0</v>
      </c>
    </row>
    <row r="14">
      <c r="A14" s="173" t="str">
        <f>if(Ploa_Import!B10=true,"Yes!","No")</f>
        <v>Yes!</v>
      </c>
      <c r="B14" s="174" t="s">
        <v>355</v>
      </c>
      <c r="C14" s="175" t="s">
        <v>473</v>
      </c>
      <c r="D14" s="176" t="s">
        <v>232</v>
      </c>
      <c r="E14" s="157"/>
      <c r="F14" s="194" t="str">
        <f>if(Ploa_Import!B29=true,"Yes!","No")</f>
        <v>No</v>
      </c>
      <c r="G14" s="195" t="s">
        <v>246</v>
      </c>
      <c r="H14" s="196" t="s">
        <v>761</v>
      </c>
      <c r="I14" s="250" t="s">
        <v>267</v>
      </c>
      <c r="J14" s="172">
        <f>COUNTif(F14:F16,"Yes!")</f>
        <v>1</v>
      </c>
    </row>
    <row r="15">
      <c r="A15" s="173" t="str">
        <f>if(Ploa_Import!B11=true,"Yes!","No")</f>
        <v>Yes!</v>
      </c>
      <c r="B15" s="174" t="s">
        <v>216</v>
      </c>
      <c r="C15" s="175" t="s">
        <v>247</v>
      </c>
      <c r="D15" s="176" t="s">
        <v>762</v>
      </c>
      <c r="E15" s="157"/>
      <c r="F15" s="183" t="str">
        <f>if(Ploa_Import!B30=true,"Yes!","No")</f>
        <v>No</v>
      </c>
      <c r="G15" s="184" t="s">
        <v>593</v>
      </c>
      <c r="H15" s="185" t="s">
        <v>763</v>
      </c>
      <c r="I15" s="182"/>
      <c r="J15" s="172"/>
    </row>
    <row r="16">
      <c r="A16" s="173" t="str">
        <f>if(Ploa_Import!B12=true,"Yes!","No")</f>
        <v>Yes!</v>
      </c>
      <c r="B16" s="174" t="s">
        <v>518</v>
      </c>
      <c r="C16" s="175" t="s">
        <v>478</v>
      </c>
      <c r="D16" s="176" t="s">
        <v>764</v>
      </c>
      <c r="E16" s="157"/>
      <c r="F16" s="186" t="str">
        <f>if(Ploa_Import!B31=true,"Yes!","No")</f>
        <v>Yes!</v>
      </c>
      <c r="G16" s="187" t="s">
        <v>244</v>
      </c>
      <c r="H16" s="188" t="s">
        <v>765</v>
      </c>
      <c r="I16" s="189"/>
      <c r="J16" s="172"/>
    </row>
    <row r="17">
      <c r="A17" s="173" t="str">
        <f>if(Ploa_Import!B13=true,"Yes!","No")</f>
        <v>Yes!</v>
      </c>
      <c r="B17" s="174" t="s">
        <v>572</v>
      </c>
      <c r="C17" s="175" t="s">
        <v>766</v>
      </c>
      <c r="D17" s="176" t="s">
        <v>767</v>
      </c>
      <c r="E17" s="157"/>
      <c r="F17" s="177" t="str">
        <f>if(Ploa_Import!B32=true,"Yes!","No")</f>
        <v>Yes!</v>
      </c>
      <c r="G17" s="169" t="s">
        <v>768</v>
      </c>
      <c r="H17" s="178" t="s">
        <v>769</v>
      </c>
      <c r="I17" s="171" t="s">
        <v>209</v>
      </c>
      <c r="J17" s="172">
        <f>COUNTif(F17:F19,"Yes!")</f>
        <v>2</v>
      </c>
    </row>
    <row r="18">
      <c r="A18" s="173" t="str">
        <f>if(Ploa_Import!B14=true,"Yes!","No")</f>
        <v>Yes!</v>
      </c>
      <c r="B18" s="174" t="s">
        <v>632</v>
      </c>
      <c r="C18" s="175" t="s">
        <v>770</v>
      </c>
      <c r="D18" s="176" t="s">
        <v>771</v>
      </c>
      <c r="E18" s="157"/>
      <c r="F18" s="194" t="str">
        <f>if(Ploa_Import!B33=true,"Yes!","No")</f>
        <v>No</v>
      </c>
      <c r="G18" s="195" t="s">
        <v>251</v>
      </c>
      <c r="H18" s="196" t="s">
        <v>772</v>
      </c>
      <c r="I18" s="171" t="s">
        <v>281</v>
      </c>
      <c r="J18" s="172">
        <f>COUNTif(F18:F19,"Yes!")</f>
        <v>1</v>
      </c>
    </row>
    <row r="19">
      <c r="A19" s="173" t="str">
        <f>if(Ploa_Import!B15=true,"Yes!","No")</f>
        <v>Yes!</v>
      </c>
      <c r="B19" s="174" t="s">
        <v>207</v>
      </c>
      <c r="C19" s="175" t="s">
        <v>773</v>
      </c>
      <c r="D19" s="176" t="s">
        <v>774</v>
      </c>
      <c r="E19" s="157"/>
      <c r="F19" s="186" t="str">
        <f>if(Ploa_Import!B34=true,"Yes!","No")</f>
        <v>Yes!</v>
      </c>
      <c r="G19" s="187" t="s">
        <v>775</v>
      </c>
      <c r="H19" s="188" t="s">
        <v>776</v>
      </c>
      <c r="I19" s="189"/>
      <c r="J19" s="172"/>
    </row>
    <row r="20">
      <c r="A20" s="173" t="str">
        <f>if(Ploa_Import!B16=true,"Yes!","No")</f>
        <v>Yes!</v>
      </c>
      <c r="B20" s="174" t="s">
        <v>487</v>
      </c>
      <c r="C20" s="175" t="s">
        <v>777</v>
      </c>
      <c r="D20" s="176" t="s">
        <v>778</v>
      </c>
      <c r="E20" s="157"/>
      <c r="F20" s="177" t="str">
        <f>if(Ploa_Import!B35=true,"Yes!","No")</f>
        <v>Yes!</v>
      </c>
      <c r="G20" s="169" t="s">
        <v>640</v>
      </c>
      <c r="H20" s="178" t="s">
        <v>779</v>
      </c>
      <c r="I20" s="171" t="s">
        <v>367</v>
      </c>
      <c r="J20" s="172">
        <f>COUNTif(F20:F23,"Yes!")</f>
        <v>4</v>
      </c>
    </row>
    <row r="21">
      <c r="A21" s="173" t="str">
        <f>if(Ploa_Import!B17=true,"Yes!","No")</f>
        <v>Yes!</v>
      </c>
      <c r="B21" s="174" t="s">
        <v>385</v>
      </c>
      <c r="C21" s="175" t="s">
        <v>269</v>
      </c>
      <c r="D21" s="176" t="s">
        <v>780</v>
      </c>
      <c r="E21" s="157"/>
      <c r="F21" s="179" t="str">
        <f>if(Ploa_Import!B36=true,"Yes!","No")</f>
        <v>Yes!</v>
      </c>
      <c r="G21" s="180" t="s">
        <v>467</v>
      </c>
      <c r="H21" s="181" t="s">
        <v>781</v>
      </c>
      <c r="I21" s="182"/>
      <c r="J21" s="172"/>
    </row>
    <row r="22">
      <c r="A22" s="173" t="str">
        <f>if(Ploa_Import!B18=true,"Yes!","No")</f>
        <v>No</v>
      </c>
      <c r="B22" s="174" t="s">
        <v>355</v>
      </c>
      <c r="C22" s="175" t="s">
        <v>782</v>
      </c>
      <c r="D22" s="176" t="s">
        <v>783</v>
      </c>
      <c r="E22" s="157"/>
      <c r="F22" s="179" t="str">
        <f>if(Ploa_Import!B37=true,"Yes!","No")</f>
        <v>Yes!</v>
      </c>
      <c r="G22" s="180" t="s">
        <v>606</v>
      </c>
      <c r="H22" s="181" t="s">
        <v>784</v>
      </c>
      <c r="I22" s="182"/>
      <c r="J22" s="172"/>
    </row>
    <row r="23">
      <c r="A23" s="173" t="str">
        <f>if(Ploa_Import!B19=true,"Yes!","No")</f>
        <v>No</v>
      </c>
      <c r="B23" s="174" t="s">
        <v>785</v>
      </c>
      <c r="C23" s="175" t="s">
        <v>786</v>
      </c>
      <c r="D23" s="176" t="s">
        <v>787</v>
      </c>
      <c r="E23" s="157"/>
      <c r="F23" s="186" t="str">
        <f>if(Ploa_Import!B38=true,"Yes!","No")</f>
        <v>Yes!</v>
      </c>
      <c r="G23" s="187" t="s">
        <v>557</v>
      </c>
      <c r="H23" s="188" t="s">
        <v>788</v>
      </c>
      <c r="I23" s="189"/>
      <c r="J23" s="172"/>
    </row>
    <row r="24">
      <c r="A24" s="198" t="str">
        <f>If(Dashboard!$M10=TRUE,"Yes!","No")</f>
        <v>Yes!</v>
      </c>
      <c r="B24" s="199" t="s">
        <v>282</v>
      </c>
      <c r="C24" s="200" t="s">
        <v>206</v>
      </c>
      <c r="D24" s="201" t="s">
        <v>206</v>
      </c>
      <c r="E24" s="157"/>
      <c r="F24" s="177" t="str">
        <f>if(Ploa_Import!B39=true,"Yes!","No")</f>
        <v>Yes!</v>
      </c>
      <c r="G24" s="169" t="s">
        <v>284</v>
      </c>
      <c r="H24" s="178" t="s">
        <v>789</v>
      </c>
      <c r="I24" s="171" t="s">
        <v>281</v>
      </c>
      <c r="J24" s="172">
        <f>COUNTif(F24:F26,"Yes!")</f>
        <v>2</v>
      </c>
    </row>
    <row r="25">
      <c r="E25" s="157"/>
      <c r="F25" s="179" t="str">
        <f>if(Ploa_Import!B40=true,"Yes!","No")</f>
        <v>Yes!</v>
      </c>
      <c r="G25" s="180" t="s">
        <v>409</v>
      </c>
      <c r="H25" s="181" t="s">
        <v>790</v>
      </c>
      <c r="I25" s="182"/>
      <c r="J25" s="172"/>
    </row>
    <row r="26">
      <c r="A26" s="202" t="s">
        <v>287</v>
      </c>
      <c r="E26" s="157"/>
      <c r="F26" s="207" t="str">
        <f>if(Ploa_Import!B41=true,"Yes!","No")</f>
        <v>No</v>
      </c>
      <c r="G26" s="208" t="s">
        <v>239</v>
      </c>
      <c r="H26" s="210" t="s">
        <v>791</v>
      </c>
      <c r="I26" s="189"/>
      <c r="J26" s="172"/>
    </row>
    <row r="27">
      <c r="A27" s="205" t="str">
        <f>IFERROR(__xludf.DUMMYFUNCTION("IFERROR(
  FILTER(
    FLATTEN({Ploa_Import!C5:C20; Ploa_Import!C24:C59; Ploa_Import!A62:A90}),
    FLATTEN({Ploa_Import!C5:C20; Ploa_Import!C24:C59; Ploa_Import!A62:A90}) &lt;&gt; """"
  ),
  """"
)"),"10am-Sat-took 2 tries but got whole message. Plan to go for furthest items &amp; work back inwards.lore-drop wayshrines, soul-speaking,upcoming events")</f>
        <v>10am-Sat-took 2 tries but got whole message. Plan to go for furthest items &amp; work back inwards.lore-drop wayshrines, soul-speaking,upcoming events</v>
      </c>
      <c r="B27" s="4"/>
      <c r="C27" s="4"/>
      <c r="D27" s="5"/>
      <c r="E27" s="157"/>
      <c r="F27" s="177" t="str">
        <f>if(Ploa_Import!B42=true,"Yes!","No")</f>
        <v>Yes!</v>
      </c>
      <c r="G27" s="169" t="s">
        <v>497</v>
      </c>
      <c r="H27" s="178" t="s">
        <v>792</v>
      </c>
      <c r="I27" s="171" t="s">
        <v>209</v>
      </c>
      <c r="J27" s="172">
        <f>COUNTif(F27:F29,"Yes!")</f>
        <v>1</v>
      </c>
    </row>
    <row r="28">
      <c r="A28" s="355" t="str">
        <f>IFERROR(__xludf.DUMMYFUNCTION("""COMPUTED_VALUE"""),"Lots of fun - got to talk about all my chystals and were attentive and very appreciative for the flourite.  Very sympathetic about my situation with Al.")</f>
        <v>Lots of fun - got to talk about all my chystals and were attentive and very appreciative for the flourite.  Very sympathetic about my situation with Al.</v>
      </c>
      <c r="D28" s="182"/>
      <c r="E28" s="157"/>
      <c r="F28" s="194" t="str">
        <f>if(Ploa_Import!B43=true,"Yes!","No")</f>
        <v>No</v>
      </c>
      <c r="G28" s="195" t="s">
        <v>524</v>
      </c>
      <c r="H28" s="196" t="s">
        <v>793</v>
      </c>
      <c r="I28" s="250" t="s">
        <v>281</v>
      </c>
      <c r="J28" s="172">
        <f>COUNTif(F28:F29,"Yes!")</f>
        <v>0</v>
      </c>
    </row>
    <row r="29">
      <c r="A29" s="211" t="str">
        <f>IFERROR(__xludf.DUMMYFUNCTION("""COMPUTED_VALUE"""),"They were very distracted and it took a long time to get them to care about the comb, and for them to work together to surprise me. ")</f>
        <v>They were very distracted and it took a long time to get them to care about the comb, and for them to work together to surprise me. </v>
      </c>
      <c r="D29" s="182"/>
      <c r="E29" s="157"/>
      <c r="F29" s="183" t="str">
        <f>if(Ploa_Import!B44=true,"Yes!","No")</f>
        <v>No</v>
      </c>
      <c r="G29" s="184" t="s">
        <v>536</v>
      </c>
      <c r="H29" s="185" t="s">
        <v>794</v>
      </c>
      <c r="I29" s="189"/>
      <c r="J29" s="172"/>
    </row>
    <row r="30">
      <c r="A30" s="211" t="str">
        <f>IFERROR(__xludf.DUMMYFUNCTION("""COMPUTED_VALUE"""),"They'd forgotten they needed to talk to me, even after i told them my name--companion had to prompt them")</f>
        <v>They'd forgotten they needed to talk to me, even after i told them my name--companion had to prompt them</v>
      </c>
      <c r="D30" s="182"/>
      <c r="E30" s="157"/>
      <c r="F30" s="177" t="str">
        <f>if(Ploa_Import!B45=true,"Yes!","No")</f>
        <v>Yes!</v>
      </c>
      <c r="G30" s="169" t="s">
        <v>795</v>
      </c>
      <c r="H30" s="178" t="s">
        <v>796</v>
      </c>
      <c r="I30" s="171" t="s">
        <v>281</v>
      </c>
      <c r="J30" s="172">
        <f>COUNTif(F30:F32,"Yes!")</f>
        <v>3</v>
      </c>
    </row>
    <row r="31">
      <c r="A31" s="211" t="str">
        <f>IFERROR(__xludf.DUMMYFUNCTION("""COMPUTED_VALUE"""),"They read the charge aloud together, and immediately asked me whether Bonnie had ever said anything about Scarlett, the previous owner.")</f>
        <v>They read the charge aloud together, and immediately asked me whether Bonnie had ever said anything about Scarlett, the previous owner.</v>
      </c>
      <c r="D31" s="182"/>
      <c r="E31" s="157"/>
      <c r="F31" s="179" t="str">
        <f>if(Ploa_Import!B46=true,"Yes!","No")</f>
        <v>Yes!</v>
      </c>
      <c r="G31" s="180" t="s">
        <v>298</v>
      </c>
      <c r="H31" s="181" t="s">
        <v>797</v>
      </c>
      <c r="I31" s="182"/>
      <c r="J31" s="172"/>
    </row>
    <row r="32">
      <c r="A32" s="211" t="str">
        <f>IFERROR(__xludf.DUMMYFUNCTION("""COMPUTED_VALUE"""),"Bartleby showed them letter, asked them to break the news to Geneva later - KK; They broke the news to Geneva at Saturday dinner - she was distraught RF")</f>
        <v>Bartleby showed them letter, asked them to break the news to Geneva later - KK; They broke the news to Geneva at Saturday dinner - she was distraught RF</v>
      </c>
      <c r="D32" s="182"/>
      <c r="E32" s="157"/>
      <c r="F32" s="186" t="str">
        <f>if(Ploa_Import!B47=true,"Yes!","No")</f>
        <v>Yes!</v>
      </c>
      <c r="G32" s="187" t="s">
        <v>400</v>
      </c>
      <c r="H32" s="188" t="s">
        <v>798</v>
      </c>
      <c r="I32" s="189"/>
      <c r="J32" s="172"/>
    </row>
    <row r="33">
      <c r="A33" s="211" t="str">
        <f>IFERROR(__xludf.DUMMYFUNCTION("""COMPUTED_VALUE"""),"HELP!!! Never interacted at the house, couldn't catch them ")</f>
        <v>HELP!!! Never interacted at the house, couldn't catch them </v>
      </c>
      <c r="D33" s="182"/>
      <c r="E33" s="157"/>
      <c r="F33" s="218" t="str">
        <f>if(Ploa_Import!B48=true,"Yes!","No")</f>
        <v>No</v>
      </c>
      <c r="G33" s="219" t="s">
        <v>497</v>
      </c>
      <c r="H33" s="220" t="s">
        <v>799</v>
      </c>
      <c r="I33" s="294"/>
      <c r="J33" s="172"/>
    </row>
    <row r="34">
      <c r="A34" s="211" t="str">
        <f>IFERROR(__xludf.DUMMYFUNCTION("""COMPUTED_VALUE"""),"Nadav: spoke to 2-3 participants (and poor Steve) about my recent trip to Keer. They showed minor interest")</f>
        <v>Nadav: spoke to 2-3 participants (and poor Steve) about my recent trip to Keer. They showed minor interest</v>
      </c>
      <c r="D34" s="182"/>
      <c r="E34" s="157"/>
      <c r="F34" s="190" t="str">
        <f>if(Ploa_Import!B49=true,"Yes!","No")</f>
        <v>Yes!</v>
      </c>
      <c r="G34" s="191" t="s">
        <v>768</v>
      </c>
      <c r="H34" s="192" t="s">
        <v>800</v>
      </c>
      <c r="I34" s="193"/>
      <c r="J34" s="172"/>
    </row>
    <row r="35">
      <c r="A35" s="211" t="str">
        <f>IFERROR(__xludf.DUMMYFUNCTION("""COMPUTED_VALUE"""),"Told them what a great guy Solomon is.")</f>
        <v>Told them what a great guy Solomon is.</v>
      </c>
      <c r="D35" s="182"/>
      <c r="E35" s="157"/>
      <c r="F35" s="190" t="str">
        <f>if(Ploa_Import!B50=true,"Yes!","No")</f>
        <v>Yes!</v>
      </c>
      <c r="G35" s="191" t="s">
        <v>290</v>
      </c>
      <c r="H35" s="192" t="s">
        <v>801</v>
      </c>
      <c r="I35" s="193"/>
      <c r="J35" s="172"/>
    </row>
    <row r="36">
      <c r="A36" s="211" t="str">
        <f>IFERROR(__xludf.DUMMYFUNCTION("""COMPUTED_VALUE"""),"told them about strangers calling the picture of Solomon scurvy jack - MS")</f>
        <v>told them about strangers calling the picture of Solomon scurvy jack - MS</v>
      </c>
      <c r="D36" s="182"/>
      <c r="E36" s="157"/>
      <c r="F36" s="177" t="str">
        <f>if(Ploa_Import!B51=true,"Yes!","No")</f>
        <v>Yes!</v>
      </c>
      <c r="G36" s="169" t="s">
        <v>288</v>
      </c>
      <c r="H36" s="178" t="s">
        <v>802</v>
      </c>
      <c r="I36" s="171"/>
      <c r="J36" s="172"/>
    </row>
    <row r="37">
      <c r="A37" s="211" t="str">
        <f>IFERROR(__xludf.DUMMYFUNCTION("""COMPUTED_VALUE"""),"Told them the story about stramngers coming and calling the painting Scurvy Jack -Deo")</f>
        <v>Told them the story about stramngers coming and calling the painting Scurvy Jack -Deo</v>
      </c>
      <c r="D37" s="182"/>
      <c r="E37" s="157"/>
      <c r="F37" s="177" t="str">
        <f>if(Ploa_Import!B52=true,"Yes!","No")</f>
        <v>Yes!</v>
      </c>
      <c r="G37" s="169" t="s">
        <v>373</v>
      </c>
      <c r="H37" s="178" t="s">
        <v>803</v>
      </c>
      <c r="I37" s="171" t="s">
        <v>281</v>
      </c>
      <c r="J37" s="172">
        <f>COUNTif(F37:F38,"Yes!")</f>
        <v>1</v>
      </c>
    </row>
    <row r="38">
      <c r="A38" s="211" t="str">
        <f>IFERROR(__xludf.DUMMYFUNCTION("""COMPUTED_VALUE"""),"Told Hector at lunch - Dana")</f>
        <v>Told Hector at lunch - Dana</v>
      </c>
      <c r="D38" s="182"/>
      <c r="E38" s="157"/>
      <c r="F38" s="218" t="str">
        <f>if(Ploa_Import!B53=true,"Yes!","No")</f>
        <v>No</v>
      </c>
      <c r="G38" s="219" t="s">
        <v>804</v>
      </c>
      <c r="H38" s="220" t="s">
        <v>805</v>
      </c>
      <c r="I38" s="221" t="s">
        <v>209</v>
      </c>
      <c r="J38" s="172">
        <f t="shared" ref="J38:J44" si="2">COUNTif(F38,"Yes!")</f>
        <v>0</v>
      </c>
    </row>
    <row r="39">
      <c r="A39" s="211" t="str">
        <f>IFERROR(__xludf.DUMMYFUNCTION("""COMPUTED_VALUE"""),"I told one very, very distracted person on the way to lunch.  Then 2 people during lunch.  --TO'")</f>
        <v>I told one very, very distracted person on the way to lunch.  Then 2 people during lunch.  --TO'</v>
      </c>
      <c r="D39" s="182"/>
      <c r="E39" s="157"/>
      <c r="F39" s="190" t="str">
        <f>if(Ploa_Import!B54=true,"Yes!","No")</f>
        <v>Yes!</v>
      </c>
      <c r="G39" s="191" t="s">
        <v>806</v>
      </c>
      <c r="H39" s="192" t="s">
        <v>807</v>
      </c>
      <c r="I39" s="193" t="s">
        <v>209</v>
      </c>
      <c r="J39" s="172">
        <f t="shared" si="2"/>
        <v>1</v>
      </c>
    </row>
    <row r="40">
      <c r="A40" s="211" t="str">
        <f>IFERROR(__xludf.DUMMYFUNCTION("""COMPUTED_VALUE"""),"Piggy-backed with Mick about the dawn star, the traveler immediately identified the pendant jag")</f>
        <v>Piggy-backed with Mick about the dawn star, the traveler immediately identified the pendant jag</v>
      </c>
      <c r="D40" s="182"/>
      <c r="E40" s="157"/>
      <c r="F40" s="218" t="str">
        <f>if(Ploa_Import!B55=true,"Yes!","No")</f>
        <v>No</v>
      </c>
      <c r="G40" s="219" t="s">
        <v>234</v>
      </c>
      <c r="H40" s="220" t="s">
        <v>808</v>
      </c>
      <c r="I40" s="221" t="s">
        <v>209</v>
      </c>
      <c r="J40" s="172">
        <f t="shared" si="2"/>
        <v>0</v>
      </c>
    </row>
    <row r="41">
      <c r="A41" s="211" t="str">
        <f>IFERROR(__xludf.DUMMYFUNCTION("""COMPUTED_VALUE"""),"just before lunch. they had heard the rumor already. Their cup of insight swhares were mostly superficial: Haythem mostly stayed in 'character'.")</f>
        <v>just before lunch. they had heard the rumor already. Their cup of insight swhares were mostly superficial: Haythem mostly stayed in 'character'.</v>
      </c>
      <c r="D41" s="182"/>
      <c r="E41" s="157"/>
      <c r="F41" s="190" t="str">
        <f>if(Dashboard!G10=true,"Yes!","No")</f>
        <v>Yes!</v>
      </c>
      <c r="G41" s="191" t="s">
        <v>302</v>
      </c>
      <c r="H41" s="192" t="s">
        <v>809</v>
      </c>
      <c r="I41" s="193" t="s">
        <v>209</v>
      </c>
      <c r="J41" s="172">
        <f t="shared" si="2"/>
        <v>1</v>
      </c>
    </row>
    <row r="42">
      <c r="A42" s="211" t="str">
        <f>IFERROR(__xludf.DUMMYFUNCTION("""COMPUTED_VALUE"""),"Fullsome chat about JuneBug and the silliness of some people these days.  ")</f>
        <v>Fullsome chat about JuneBug and the silliness of some people these days.  </v>
      </c>
      <c r="D42" s="182"/>
      <c r="E42" s="157"/>
      <c r="F42" s="218" t="str">
        <f>if(Ploa_Import!B57=true,"Yes!","No")</f>
        <v>No</v>
      </c>
      <c r="G42" s="219" t="s">
        <v>759</v>
      </c>
      <c r="H42" s="220" t="s">
        <v>810</v>
      </c>
      <c r="I42" s="221" t="s">
        <v>209</v>
      </c>
      <c r="J42" s="172">
        <f t="shared" si="2"/>
        <v>0</v>
      </c>
    </row>
    <row r="43">
      <c r="A43" s="226" t="str">
        <f>IFERROR(__xludf.DUMMYFUNCTION("""COMPUTED_VALUE"""),"Had a conversation about tattoos and whether Solomon regretted his. It was early in the day so they weren't keenly interested yet. But they heard it. - Rob D")</f>
        <v>Had a conversation about tattoos and whether Solomon regretted his. It was early in the day so they weren't keenly interested yet. But they heard it. - Rob D</v>
      </c>
      <c r="D43" s="182"/>
      <c r="E43" s="157"/>
      <c r="F43" s="218" t="str">
        <f>if(Ploa_Import!B58=true,"Yes!","No")</f>
        <v>No</v>
      </c>
      <c r="G43" s="219" t="s">
        <v>811</v>
      </c>
      <c r="H43" s="220" t="s">
        <v>812</v>
      </c>
      <c r="I43" s="221" t="s">
        <v>209</v>
      </c>
      <c r="J43" s="172">
        <f t="shared" si="2"/>
        <v>0</v>
      </c>
    </row>
    <row r="44">
      <c r="A44" s="226" t="str">
        <f>IFERROR(__xludf.DUMMYFUNCTION("""COMPUTED_VALUE"""),"Mentioned Solomon's combination of welcoming host and command at breakfast on Saturday, after noticing how they (Maui and Hector) seemed quite chill but carried swords. ")</f>
        <v>Mentioned Solomon's combination of welcoming host and command at breakfast on Saturday, after noticing how they (Maui and Hector) seemed quite chill but carried swords. </v>
      </c>
      <c r="D44" s="182"/>
      <c r="E44" s="157"/>
      <c r="F44" s="218" t="str">
        <f>if(Ploa_Import!B59=true,"Yes!","No")</f>
        <v>No</v>
      </c>
      <c r="G44" s="219" t="s">
        <v>362</v>
      </c>
      <c r="H44" s="220" t="s">
        <v>813</v>
      </c>
      <c r="I44" s="221" t="s">
        <v>209</v>
      </c>
      <c r="J44" s="172">
        <f t="shared" si="2"/>
        <v>0</v>
      </c>
    </row>
    <row r="45">
      <c r="A45" s="226" t="str">
        <f>IFERROR(__xludf.DUMMYFUNCTION("""COMPUTED_VALUE"""),"They are completely on to Cal.  Friendly to face, but know the guy is not a good person.")</f>
        <v>They are completely on to Cal.  Friendly to face, but know the guy is not a good person.</v>
      </c>
      <c r="D45" s="182"/>
      <c r="E45" s="157"/>
      <c r="F45" s="153"/>
    </row>
    <row r="46">
      <c r="A46" s="226" t="str">
        <f>IFERROR(__xludf.DUMMYFUNCTION("""COMPUTED_VALUE"""),"Gave them the information and might have just been that they were tired but really did not give any reaction at all to any of the stuff that we told them")</f>
        <v>Gave them the information and might have just been that they were tired but really did not give any reaction at all to any of the stuff that we told them</v>
      </c>
      <c r="D46" s="182"/>
      <c r="E46" s="157"/>
      <c r="F46" s="153"/>
    </row>
    <row r="47">
      <c r="A47" s="226" t="str">
        <f>IFERROR(__xludf.DUMMYFUNCTION("""COMPUTED_VALUE"""),"Walked past chitters Noctara had just killed.  Tried to search us despite not having fought - Peggy Saturday 8-10")</f>
        <v>Walked past chitters Noctara had just killed.  Tried to search us despite not having fought - Peggy Saturday 8-10</v>
      </c>
      <c r="D47" s="182"/>
      <c r="E47" s="157"/>
      <c r="F47" s="12"/>
    </row>
    <row r="48">
      <c r="A48" s="226" t="str">
        <f>IFERROR(__xludf.DUMMYFUNCTION("""COMPUTED_VALUE"""),"party photo taken -Mirin")</f>
        <v>party photo taken -Mirin</v>
      </c>
      <c r="D48" s="182"/>
      <c r="E48" s="157"/>
      <c r="F48" s="12"/>
    </row>
    <row r="49">
      <c r="A49" s="226" t="str">
        <f>IFERROR(__xludf.DUMMYFUNCTION("""COMPUTED_VALUE"""),"Got to watcha fun 230PM warlong combat.  Good planning.  Callled effective hold, resovled it themselves. ""THis was the highlight of my weekend!  Can't top it"" said one of the part members post combat. Did the TB story challenge with them as well, but th"&amp;"ey were fairly low engagement on making a story.  -DN/TB")</f>
        <v>Got to watcha fun 230PM warlong combat.  Good planning.  Callled effective hold, resovled it themselves. "THis was the highlight of my weekend!  Can't top it" said one of the part members post combat. Did the TB story challenge with them as well, but they were fairly low engagement on making a story.  -DN/TB</v>
      </c>
      <c r="D49" s="182"/>
      <c r="E49" s="157"/>
      <c r="F49" s="12"/>
    </row>
    <row r="50">
      <c r="A50" s="226" t="str">
        <f>IFERROR(__xludf.DUMMYFUNCTION("""COMPUTED_VALUE"""),"Saw wolves party with Gaspar had just been killed by the party. Brought Gaspar's special items back to basement @3:45 —-TSR")</f>
        <v>Saw wolves party with Gaspar had just been killed by the party. Brought Gaspar's special items back to basement @3:45 —-TSR</v>
      </c>
      <c r="D50" s="182"/>
      <c r="E50" s="157"/>
      <c r="F50" s="12"/>
    </row>
    <row r="51">
      <c r="A51" s="226"/>
      <c r="D51" s="182"/>
      <c r="E51" s="157"/>
      <c r="F51" s="12"/>
    </row>
    <row r="52">
      <c r="A52" s="226"/>
      <c r="D52" s="182"/>
      <c r="E52" s="157"/>
      <c r="F52" s="12"/>
    </row>
    <row r="53">
      <c r="A53" s="226"/>
      <c r="D53" s="182"/>
      <c r="E53" s="157"/>
      <c r="F53" s="12"/>
    </row>
    <row r="54">
      <c r="A54" s="226"/>
      <c r="D54" s="182"/>
      <c r="E54" s="157"/>
      <c r="F54" s="12"/>
    </row>
    <row r="55">
      <c r="A55" s="226"/>
      <c r="D55" s="182"/>
      <c r="E55" s="157"/>
      <c r="F55" s="12"/>
    </row>
    <row r="56">
      <c r="A56" s="226"/>
      <c r="D56" s="182"/>
      <c r="E56" s="157"/>
      <c r="F56" s="12"/>
    </row>
    <row r="57">
      <c r="A57" s="226"/>
      <c r="D57" s="182"/>
      <c r="E57" s="157"/>
      <c r="F57" s="12"/>
    </row>
    <row r="58">
      <c r="A58" s="226"/>
      <c r="D58" s="182"/>
      <c r="E58" s="157"/>
      <c r="F58" s="12"/>
    </row>
    <row r="59">
      <c r="A59" s="226"/>
      <c r="D59" s="182"/>
      <c r="E59" s="157"/>
      <c r="F59" s="12"/>
    </row>
    <row r="60">
      <c r="A60" s="226"/>
      <c r="D60" s="182"/>
      <c r="E60" s="157"/>
      <c r="F60" s="12"/>
    </row>
    <row r="61">
      <c r="A61" s="227"/>
      <c r="B61" s="228"/>
      <c r="C61" s="228"/>
      <c r="D61" s="189"/>
      <c r="E61" s="157"/>
      <c r="F61" s="12"/>
    </row>
    <row r="62">
      <c r="E62" s="157"/>
      <c r="F62" s="12"/>
    </row>
    <row r="63">
      <c r="E63" s="157"/>
      <c r="F63" s="12"/>
    </row>
    <row r="64">
      <c r="A64" s="225"/>
      <c r="B64" s="213"/>
      <c r="C64" s="356"/>
      <c r="D64" s="330"/>
      <c r="E64" s="157"/>
      <c r="F64" s="12"/>
    </row>
    <row r="65">
      <c r="A65" s="225"/>
      <c r="B65" s="213"/>
      <c r="C65" s="356"/>
      <c r="D65" s="330"/>
      <c r="E65" s="157"/>
      <c r="F65" s="12"/>
    </row>
    <row r="66">
      <c r="A66" s="225"/>
      <c r="B66" s="213"/>
      <c r="C66" s="356"/>
      <c r="D66" s="330"/>
      <c r="E66" s="157"/>
      <c r="F66" s="12"/>
    </row>
    <row r="67">
      <c r="A67" s="225"/>
      <c r="B67" s="213"/>
      <c r="C67" s="356"/>
      <c r="D67" s="330"/>
      <c r="E67" s="157"/>
      <c r="F67" s="12"/>
    </row>
    <row r="68">
      <c r="A68" s="225"/>
      <c r="B68" s="213"/>
      <c r="C68" s="356"/>
      <c r="D68" s="330"/>
      <c r="E68" s="157"/>
      <c r="F68" s="12"/>
    </row>
    <row r="69">
      <c r="A69" s="225"/>
      <c r="B69" s="213"/>
      <c r="C69" s="356"/>
      <c r="D69" s="330"/>
      <c r="E69" s="157"/>
      <c r="F69" s="12"/>
    </row>
    <row r="70">
      <c r="A70" s="225"/>
      <c r="B70" s="213"/>
      <c r="C70" s="356"/>
      <c r="D70" s="330"/>
      <c r="E70" s="157"/>
      <c r="F70" s="12"/>
    </row>
    <row r="71">
      <c r="A71" s="225"/>
      <c r="B71" s="213"/>
      <c r="C71" s="356"/>
      <c r="D71" s="330"/>
      <c r="E71" s="157"/>
      <c r="F71" s="12"/>
    </row>
    <row r="72">
      <c r="A72" s="225"/>
      <c r="B72" s="213"/>
      <c r="C72" s="356"/>
      <c r="D72" s="330"/>
      <c r="E72" s="157"/>
      <c r="F72" s="12"/>
    </row>
    <row r="73">
      <c r="A73" s="225"/>
      <c r="B73" s="213"/>
      <c r="C73" s="356"/>
      <c r="D73" s="330"/>
      <c r="E73" s="157"/>
      <c r="F73" s="12"/>
    </row>
    <row r="74">
      <c r="A74" s="225"/>
      <c r="B74" s="213"/>
      <c r="C74" s="356"/>
      <c r="D74" s="330"/>
      <c r="E74" s="157"/>
      <c r="F74" s="12"/>
    </row>
    <row r="75">
      <c r="A75" s="225"/>
      <c r="B75" s="213"/>
      <c r="C75" s="356"/>
      <c r="D75" s="330"/>
      <c r="E75" s="157"/>
      <c r="F75" s="12"/>
    </row>
    <row r="76">
      <c r="A76" s="225"/>
      <c r="B76" s="213"/>
      <c r="C76" s="356"/>
      <c r="D76" s="330"/>
      <c r="E76" s="157"/>
      <c r="F76" s="12"/>
    </row>
    <row r="77">
      <c r="A77" s="225"/>
      <c r="B77" s="213"/>
      <c r="C77" s="356"/>
      <c r="D77" s="330"/>
      <c r="E77" s="157"/>
      <c r="F77" s="12"/>
    </row>
    <row r="78">
      <c r="A78" s="225"/>
      <c r="B78" s="213"/>
      <c r="C78" s="356"/>
      <c r="D78" s="330"/>
      <c r="E78" s="157"/>
      <c r="F78" s="12"/>
    </row>
    <row r="79">
      <c r="A79" s="225"/>
      <c r="B79" s="213"/>
      <c r="C79" s="356"/>
      <c r="D79" s="330"/>
      <c r="E79" s="157"/>
      <c r="F79" s="12"/>
    </row>
    <row r="80">
      <c r="A80" s="225"/>
      <c r="B80" s="213"/>
      <c r="C80" s="356"/>
      <c r="D80" s="330"/>
      <c r="E80" s="157"/>
      <c r="F80" s="12"/>
    </row>
    <row r="81">
      <c r="A81" s="225"/>
      <c r="B81" s="213"/>
      <c r="C81" s="356"/>
      <c r="D81" s="330"/>
      <c r="E81" s="157"/>
      <c r="F81" s="12"/>
    </row>
    <row r="82">
      <c r="A82" s="225"/>
      <c r="B82" s="213"/>
      <c r="C82" s="356"/>
      <c r="D82" s="330"/>
      <c r="E82" s="157"/>
      <c r="F82" s="12"/>
    </row>
    <row r="83">
      <c r="A83" s="225"/>
      <c r="B83" s="213"/>
      <c r="C83" s="356"/>
      <c r="D83" s="330"/>
      <c r="E83" s="157"/>
      <c r="F83" s="12"/>
    </row>
    <row r="84">
      <c r="A84" s="225"/>
      <c r="B84" s="213"/>
      <c r="C84" s="356"/>
      <c r="D84" s="330"/>
      <c r="E84" s="157"/>
      <c r="F84" s="12"/>
    </row>
    <row r="85">
      <c r="A85" s="225"/>
      <c r="B85" s="213"/>
      <c r="C85" s="356"/>
      <c r="D85" s="330"/>
      <c r="E85" s="157"/>
      <c r="F85" s="12"/>
    </row>
    <row r="86">
      <c r="A86" s="225"/>
      <c r="B86" s="213"/>
      <c r="C86" s="356"/>
      <c r="D86" s="330"/>
      <c r="E86" s="157"/>
      <c r="F86" s="12"/>
    </row>
    <row r="87">
      <c r="A87" s="225"/>
      <c r="B87" s="213"/>
      <c r="C87" s="356"/>
      <c r="D87" s="330"/>
      <c r="E87" s="157"/>
      <c r="F87" s="12"/>
    </row>
    <row r="88">
      <c r="A88" s="225"/>
      <c r="B88" s="213"/>
      <c r="C88" s="356"/>
      <c r="D88" s="330"/>
      <c r="E88" s="157"/>
      <c r="F88" s="12"/>
    </row>
    <row r="89">
      <c r="A89" s="225"/>
      <c r="B89" s="213"/>
      <c r="C89" s="356"/>
      <c r="D89" s="330"/>
      <c r="E89" s="157"/>
      <c r="F89" s="12"/>
    </row>
    <row r="90">
      <c r="A90" s="225"/>
      <c r="B90" s="213"/>
      <c r="C90" s="356"/>
      <c r="D90" s="330"/>
      <c r="E90" s="157"/>
      <c r="F90" s="12"/>
    </row>
    <row r="91">
      <c r="A91" s="225"/>
      <c r="B91" s="213"/>
      <c r="C91" s="356"/>
      <c r="D91" s="330"/>
      <c r="E91" s="157"/>
      <c r="F91" s="12"/>
    </row>
    <row r="92">
      <c r="A92" s="225"/>
      <c r="B92" s="213"/>
      <c r="C92" s="356"/>
      <c r="D92" s="330"/>
      <c r="E92" s="157"/>
      <c r="F92" s="12"/>
    </row>
    <row r="93">
      <c r="A93" s="225"/>
      <c r="B93" s="213"/>
      <c r="C93" s="356"/>
      <c r="D93" s="330"/>
      <c r="E93" s="157"/>
      <c r="F93" s="12"/>
    </row>
    <row r="94">
      <c r="A94" s="225"/>
      <c r="B94" s="213"/>
      <c r="C94" s="356"/>
      <c r="D94" s="330"/>
      <c r="E94" s="157"/>
      <c r="F94" s="12"/>
    </row>
    <row r="95">
      <c r="A95" s="225"/>
      <c r="B95" s="213"/>
      <c r="C95" s="356"/>
      <c r="D95" s="330"/>
      <c r="E95" s="157"/>
      <c r="F95" s="12"/>
    </row>
    <row r="96">
      <c r="A96" s="225"/>
      <c r="B96" s="213"/>
      <c r="C96" s="356"/>
      <c r="D96" s="330"/>
      <c r="E96" s="157"/>
      <c r="F96" s="12"/>
    </row>
    <row r="97">
      <c r="A97" s="225"/>
      <c r="B97" s="213"/>
      <c r="C97" s="356"/>
      <c r="D97" s="330"/>
      <c r="E97" s="157"/>
      <c r="F97" s="12"/>
    </row>
    <row r="98">
      <c r="A98" s="225"/>
      <c r="B98" s="213"/>
      <c r="C98" s="356"/>
      <c r="D98" s="330"/>
      <c r="E98" s="157"/>
      <c r="F98" s="12"/>
    </row>
    <row r="99">
      <c r="A99" s="225"/>
      <c r="B99" s="213"/>
      <c r="C99" s="356"/>
      <c r="D99" s="330"/>
      <c r="E99" s="157"/>
      <c r="F99" s="12"/>
    </row>
    <row r="100">
      <c r="A100" s="225"/>
      <c r="B100" s="213"/>
      <c r="C100" s="356"/>
      <c r="D100" s="330"/>
      <c r="E100" s="157"/>
      <c r="F100" s="12"/>
    </row>
    <row r="101">
      <c r="A101" s="225"/>
      <c r="B101" s="213"/>
      <c r="C101" s="356"/>
      <c r="D101" s="330"/>
      <c r="E101" s="157"/>
      <c r="F101" s="12"/>
    </row>
    <row r="102">
      <c r="A102" s="225"/>
      <c r="B102" s="213"/>
      <c r="C102" s="356"/>
      <c r="D102" s="330"/>
      <c r="E102" s="157"/>
      <c r="F102" s="12"/>
    </row>
    <row r="103">
      <c r="A103" s="225"/>
      <c r="B103" s="213"/>
      <c r="C103" s="356"/>
      <c r="D103" s="330"/>
      <c r="E103" s="157"/>
      <c r="F103" s="12"/>
    </row>
    <row r="104">
      <c r="A104" s="225"/>
      <c r="B104" s="213"/>
      <c r="C104" s="356"/>
      <c r="D104" s="330"/>
      <c r="E104" s="157"/>
      <c r="F104" s="12"/>
    </row>
    <row r="105">
      <c r="A105" s="225"/>
      <c r="B105" s="213"/>
      <c r="C105" s="356"/>
      <c r="D105" s="330"/>
      <c r="E105" s="157"/>
      <c r="F105" s="12"/>
    </row>
    <row r="106">
      <c r="A106" s="225"/>
      <c r="B106" s="213"/>
      <c r="C106" s="356"/>
      <c r="D106" s="330"/>
      <c r="E106" s="157"/>
      <c r="F106" s="12"/>
    </row>
    <row r="107">
      <c r="A107" s="225"/>
      <c r="B107" s="213"/>
      <c r="C107" s="356"/>
      <c r="D107" s="330"/>
      <c r="E107" s="157"/>
      <c r="F107" s="12"/>
    </row>
    <row r="108">
      <c r="A108" s="225"/>
      <c r="B108" s="213"/>
      <c r="C108" s="356"/>
      <c r="D108" s="330"/>
      <c r="E108" s="157"/>
      <c r="F108" s="12"/>
    </row>
    <row r="109">
      <c r="A109" s="225"/>
      <c r="B109" s="213"/>
      <c r="C109" s="356"/>
      <c r="D109" s="330"/>
      <c r="E109" s="157"/>
      <c r="F109" s="12"/>
    </row>
    <row r="110">
      <c r="A110" s="225"/>
      <c r="B110" s="213"/>
      <c r="C110" s="356"/>
      <c r="D110" s="330"/>
      <c r="E110" s="157"/>
      <c r="F110" s="12"/>
    </row>
    <row r="111">
      <c r="A111" s="225"/>
      <c r="B111" s="213"/>
      <c r="C111" s="356"/>
      <c r="D111" s="330"/>
      <c r="E111" s="157"/>
      <c r="F111" s="12"/>
    </row>
    <row r="112">
      <c r="A112" s="225"/>
      <c r="B112" s="213"/>
      <c r="C112" s="356"/>
      <c r="D112" s="330"/>
      <c r="E112" s="157"/>
      <c r="F112" s="12"/>
    </row>
    <row r="113">
      <c r="A113" s="225"/>
      <c r="B113" s="213"/>
      <c r="C113" s="356"/>
      <c r="D113" s="330"/>
      <c r="E113" s="157"/>
      <c r="F113" s="12"/>
    </row>
    <row r="114">
      <c r="A114" s="225"/>
      <c r="B114" s="213"/>
      <c r="C114" s="356"/>
      <c r="D114" s="330"/>
      <c r="E114" s="157"/>
      <c r="F114" s="12"/>
    </row>
    <row r="115">
      <c r="A115" s="225"/>
      <c r="B115" s="213"/>
      <c r="C115" s="356"/>
      <c r="D115" s="330"/>
      <c r="E115" s="157"/>
      <c r="F115" s="12"/>
    </row>
    <row r="116">
      <c r="A116" s="225"/>
      <c r="B116" s="213"/>
      <c r="C116" s="356"/>
      <c r="D116" s="330"/>
      <c r="E116" s="157"/>
      <c r="F116" s="12"/>
    </row>
    <row r="117">
      <c r="A117" s="225"/>
      <c r="B117" s="213"/>
      <c r="C117" s="356"/>
      <c r="D117" s="330"/>
      <c r="E117" s="157"/>
      <c r="F117" s="12"/>
    </row>
    <row r="118">
      <c r="A118" s="225"/>
      <c r="B118" s="213"/>
      <c r="C118" s="356"/>
      <c r="D118" s="330"/>
      <c r="E118" s="157"/>
      <c r="F118" s="12"/>
    </row>
    <row r="119">
      <c r="A119" s="225"/>
      <c r="B119" s="213"/>
      <c r="C119" s="356"/>
      <c r="D119" s="330"/>
      <c r="E119" s="157"/>
      <c r="F119" s="12"/>
    </row>
    <row r="120">
      <c r="A120" s="225"/>
      <c r="B120" s="213"/>
      <c r="C120" s="356"/>
      <c r="D120" s="330"/>
      <c r="E120" s="157"/>
      <c r="F120" s="12"/>
    </row>
    <row r="121">
      <c r="A121" s="225"/>
      <c r="B121" s="213"/>
      <c r="C121" s="356"/>
      <c r="D121" s="330"/>
      <c r="E121" s="157"/>
      <c r="F121" s="12"/>
    </row>
    <row r="122">
      <c r="A122" s="225"/>
      <c r="B122" s="213"/>
      <c r="C122" s="356"/>
      <c r="D122" s="330"/>
      <c r="E122" s="157"/>
      <c r="F122" s="12"/>
    </row>
    <row r="123">
      <c r="A123" s="225"/>
      <c r="B123" s="213"/>
      <c r="C123" s="356"/>
      <c r="D123" s="330"/>
      <c r="E123" s="157"/>
      <c r="F123" s="12"/>
    </row>
    <row r="124">
      <c r="A124" s="225"/>
      <c r="B124" s="213"/>
      <c r="C124" s="356"/>
      <c r="D124" s="330"/>
      <c r="E124" s="157"/>
      <c r="F124" s="12"/>
    </row>
    <row r="125">
      <c r="A125" s="225"/>
      <c r="B125" s="213"/>
      <c r="C125" s="356"/>
      <c r="D125" s="330"/>
      <c r="E125" s="157"/>
      <c r="F125" s="12"/>
    </row>
    <row r="126">
      <c r="A126" s="225"/>
      <c r="B126" s="213"/>
      <c r="C126" s="356"/>
      <c r="D126" s="330"/>
      <c r="E126" s="157"/>
      <c r="F126" s="12"/>
    </row>
    <row r="127">
      <c r="A127" s="225"/>
      <c r="B127" s="213"/>
      <c r="C127" s="356"/>
      <c r="D127" s="330"/>
      <c r="E127" s="157"/>
      <c r="F127" s="12"/>
    </row>
    <row r="128">
      <c r="A128" s="225"/>
      <c r="B128" s="213"/>
      <c r="C128" s="356"/>
      <c r="D128" s="330"/>
      <c r="E128" s="157"/>
      <c r="F128" s="12"/>
    </row>
    <row r="129">
      <c r="A129" s="225"/>
      <c r="B129" s="213"/>
      <c r="C129" s="356"/>
      <c r="D129" s="330"/>
      <c r="E129" s="157"/>
      <c r="F129" s="12"/>
    </row>
    <row r="130">
      <c r="A130" s="225"/>
      <c r="B130" s="213"/>
      <c r="C130" s="356"/>
      <c r="D130" s="330"/>
      <c r="E130" s="157"/>
      <c r="F130" s="12"/>
    </row>
    <row r="131">
      <c r="A131" s="225"/>
      <c r="B131" s="213"/>
      <c r="C131" s="356"/>
      <c r="D131" s="330"/>
      <c r="E131" s="157"/>
      <c r="F131" s="12"/>
    </row>
    <row r="132">
      <c r="A132" s="225"/>
      <c r="B132" s="213"/>
      <c r="C132" s="356"/>
      <c r="D132" s="330"/>
      <c r="E132" s="157"/>
      <c r="F132" s="12"/>
    </row>
    <row r="133">
      <c r="A133" s="225"/>
      <c r="B133" s="213"/>
      <c r="C133" s="356"/>
      <c r="D133" s="330"/>
      <c r="E133" s="157"/>
      <c r="F133" s="12"/>
    </row>
    <row r="134">
      <c r="A134" s="225"/>
      <c r="B134" s="213"/>
      <c r="C134" s="356"/>
      <c r="D134" s="330"/>
      <c r="E134" s="157"/>
      <c r="F134" s="12"/>
    </row>
    <row r="135">
      <c r="A135" s="225"/>
      <c r="B135" s="213"/>
      <c r="C135" s="356"/>
      <c r="D135" s="330"/>
      <c r="E135" s="157"/>
      <c r="F135" s="12"/>
    </row>
    <row r="136">
      <c r="A136" s="225"/>
      <c r="B136" s="213"/>
      <c r="C136" s="356"/>
      <c r="D136" s="330"/>
      <c r="E136" s="157"/>
      <c r="F136" s="12"/>
    </row>
    <row r="137">
      <c r="A137" s="225"/>
      <c r="B137" s="213"/>
      <c r="C137" s="356"/>
      <c r="D137" s="330"/>
      <c r="E137" s="157"/>
      <c r="F137" s="12"/>
    </row>
    <row r="138">
      <c r="A138" s="225"/>
      <c r="B138" s="213"/>
      <c r="C138" s="356"/>
      <c r="D138" s="330"/>
      <c r="E138" s="157"/>
      <c r="F138" s="12"/>
    </row>
    <row r="139">
      <c r="A139" s="225"/>
      <c r="B139" s="213"/>
      <c r="C139" s="356"/>
      <c r="D139" s="330"/>
      <c r="E139" s="157"/>
      <c r="F139" s="12"/>
    </row>
    <row r="140">
      <c r="A140" s="225"/>
      <c r="B140" s="213"/>
      <c r="C140" s="356"/>
      <c r="D140" s="330"/>
      <c r="E140" s="157"/>
      <c r="F140" s="12"/>
    </row>
    <row r="141">
      <c r="A141" s="225"/>
      <c r="B141" s="213"/>
      <c r="C141" s="356"/>
      <c r="D141" s="330"/>
      <c r="E141" s="157"/>
      <c r="F141" s="12"/>
    </row>
    <row r="142">
      <c r="A142" s="225"/>
      <c r="B142" s="213"/>
      <c r="C142" s="356"/>
      <c r="D142" s="330"/>
      <c r="E142" s="157"/>
      <c r="F142" s="12"/>
    </row>
    <row r="143">
      <c r="A143" s="225"/>
      <c r="B143" s="213"/>
      <c r="C143" s="356"/>
      <c r="D143" s="330"/>
      <c r="E143" s="157"/>
      <c r="F143" s="12"/>
    </row>
    <row r="144">
      <c r="A144" s="225"/>
      <c r="B144" s="213"/>
      <c r="C144" s="356"/>
      <c r="D144" s="330"/>
      <c r="E144" s="157"/>
      <c r="F144" s="12"/>
    </row>
    <row r="145">
      <c r="A145" s="225"/>
      <c r="B145" s="213"/>
      <c r="C145" s="356"/>
      <c r="D145" s="330"/>
      <c r="E145" s="157"/>
      <c r="F145" s="12"/>
    </row>
    <row r="146">
      <c r="A146" s="225"/>
      <c r="B146" s="213"/>
      <c r="C146" s="356"/>
      <c r="D146" s="330"/>
      <c r="E146" s="157"/>
      <c r="F146" s="12"/>
    </row>
    <row r="147">
      <c r="A147" s="225"/>
      <c r="B147" s="213"/>
      <c r="C147" s="356"/>
      <c r="D147" s="330"/>
      <c r="E147" s="157"/>
      <c r="F147" s="12"/>
    </row>
    <row r="148">
      <c r="A148" s="225"/>
      <c r="B148" s="213"/>
      <c r="C148" s="356"/>
      <c r="D148" s="330"/>
      <c r="E148" s="157"/>
      <c r="F148" s="12"/>
    </row>
    <row r="149">
      <c r="A149" s="225"/>
      <c r="B149" s="213"/>
      <c r="C149" s="356"/>
      <c r="D149" s="330"/>
      <c r="E149" s="157"/>
      <c r="F149" s="12"/>
    </row>
    <row r="150">
      <c r="A150" s="225"/>
      <c r="B150" s="213"/>
      <c r="C150" s="356"/>
      <c r="D150" s="330"/>
      <c r="E150" s="157"/>
      <c r="F150" s="12"/>
    </row>
    <row r="151">
      <c r="A151" s="225"/>
      <c r="B151" s="213"/>
      <c r="C151" s="356"/>
      <c r="D151" s="330"/>
      <c r="E151" s="157"/>
      <c r="F151" s="12"/>
    </row>
    <row r="152">
      <c r="A152" s="225"/>
      <c r="B152" s="213"/>
      <c r="C152" s="356"/>
      <c r="D152" s="330"/>
      <c r="E152" s="157"/>
      <c r="F152" s="12"/>
    </row>
    <row r="153">
      <c r="A153" s="225"/>
      <c r="B153" s="213"/>
      <c r="C153" s="356"/>
      <c r="D153" s="330"/>
      <c r="E153" s="157"/>
      <c r="F153" s="12"/>
    </row>
    <row r="154">
      <c r="A154" s="225"/>
      <c r="B154" s="213"/>
      <c r="C154" s="356"/>
      <c r="D154" s="330"/>
      <c r="E154" s="157"/>
      <c r="F154" s="12"/>
    </row>
    <row r="155">
      <c r="A155" s="225"/>
      <c r="B155" s="213"/>
      <c r="C155" s="356"/>
      <c r="D155" s="330"/>
      <c r="E155" s="157"/>
      <c r="F155" s="12"/>
    </row>
    <row r="156">
      <c r="A156" s="225"/>
      <c r="B156" s="213"/>
      <c r="C156" s="356"/>
      <c r="D156" s="330"/>
      <c r="E156" s="157"/>
      <c r="F156" s="12"/>
    </row>
    <row r="157">
      <c r="A157" s="225"/>
      <c r="B157" s="213"/>
      <c r="C157" s="356"/>
      <c r="D157" s="330"/>
      <c r="E157" s="157"/>
      <c r="F157" s="12"/>
    </row>
    <row r="158">
      <c r="A158" s="225"/>
      <c r="B158" s="213"/>
      <c r="C158" s="356"/>
      <c r="D158" s="330"/>
      <c r="E158" s="157"/>
      <c r="F158" s="12"/>
    </row>
    <row r="159">
      <c r="A159" s="225"/>
      <c r="B159" s="213"/>
      <c r="C159" s="356"/>
      <c r="D159" s="330"/>
      <c r="E159" s="157"/>
      <c r="F159" s="12"/>
    </row>
    <row r="160">
      <c r="A160" s="225"/>
      <c r="B160" s="213"/>
      <c r="C160" s="356"/>
      <c r="D160" s="330"/>
      <c r="E160" s="157"/>
      <c r="F160" s="12"/>
    </row>
    <row r="161">
      <c r="A161" s="225"/>
      <c r="B161" s="213"/>
      <c r="C161" s="356"/>
      <c r="D161" s="330"/>
      <c r="E161" s="157"/>
      <c r="F161" s="12"/>
    </row>
    <row r="162">
      <c r="A162" s="225"/>
      <c r="B162" s="213"/>
      <c r="C162" s="356"/>
      <c r="D162" s="330"/>
      <c r="E162" s="157"/>
      <c r="F162" s="12"/>
    </row>
    <row r="163">
      <c r="A163" s="225"/>
      <c r="B163" s="213"/>
      <c r="C163" s="356"/>
      <c r="D163" s="330"/>
      <c r="E163" s="157"/>
      <c r="F163" s="12"/>
    </row>
    <row r="164">
      <c r="A164" s="225"/>
      <c r="B164" s="213"/>
      <c r="C164" s="356"/>
      <c r="D164" s="330"/>
      <c r="E164" s="157"/>
      <c r="F164" s="12"/>
    </row>
    <row r="165">
      <c r="A165" s="225"/>
      <c r="B165" s="213"/>
      <c r="C165" s="356"/>
      <c r="D165" s="330"/>
      <c r="E165" s="157"/>
      <c r="F165" s="12"/>
    </row>
    <row r="166">
      <c r="A166" s="225"/>
      <c r="B166" s="213"/>
      <c r="C166" s="356"/>
      <c r="D166" s="330"/>
      <c r="E166" s="157"/>
      <c r="F166" s="12"/>
    </row>
    <row r="167">
      <c r="A167" s="225"/>
      <c r="B167" s="213"/>
      <c r="C167" s="356"/>
      <c r="D167" s="330"/>
      <c r="E167" s="157"/>
      <c r="F167" s="12"/>
    </row>
    <row r="168">
      <c r="A168" s="225"/>
      <c r="B168" s="213"/>
      <c r="C168" s="356"/>
      <c r="D168" s="330"/>
      <c r="E168" s="157"/>
      <c r="F168" s="12"/>
    </row>
    <row r="169">
      <c r="A169" s="225"/>
      <c r="B169" s="213"/>
      <c r="C169" s="356"/>
      <c r="D169" s="330"/>
      <c r="E169" s="157"/>
      <c r="F169" s="12"/>
    </row>
    <row r="170">
      <c r="A170" s="225"/>
      <c r="B170" s="213"/>
      <c r="C170" s="356"/>
      <c r="D170" s="330"/>
      <c r="E170" s="157"/>
      <c r="F170" s="12"/>
    </row>
    <row r="171">
      <c r="A171" s="225"/>
      <c r="B171" s="213"/>
      <c r="C171" s="356"/>
      <c r="D171" s="330"/>
      <c r="E171" s="157"/>
      <c r="F171" s="12"/>
    </row>
    <row r="172">
      <c r="A172" s="225"/>
      <c r="B172" s="213"/>
      <c r="C172" s="356"/>
      <c r="D172" s="330"/>
      <c r="E172" s="157"/>
      <c r="F172" s="12"/>
    </row>
    <row r="173">
      <c r="A173" s="225"/>
      <c r="B173" s="213"/>
      <c r="C173" s="356"/>
      <c r="D173" s="330"/>
      <c r="E173" s="157"/>
      <c r="F173" s="12"/>
    </row>
    <row r="174">
      <c r="A174" s="225"/>
      <c r="B174" s="213"/>
      <c r="C174" s="356"/>
      <c r="D174" s="330"/>
      <c r="E174" s="157"/>
      <c r="F174" s="12"/>
    </row>
    <row r="175">
      <c r="A175" s="225"/>
      <c r="B175" s="213"/>
      <c r="C175" s="356"/>
      <c r="D175" s="330"/>
      <c r="E175" s="157"/>
      <c r="F175" s="12"/>
    </row>
    <row r="176">
      <c r="A176" s="225"/>
      <c r="B176" s="213"/>
      <c r="C176" s="356"/>
      <c r="D176" s="330"/>
      <c r="E176" s="157"/>
      <c r="F176" s="12"/>
    </row>
    <row r="177">
      <c r="A177" s="225"/>
      <c r="B177" s="213"/>
      <c r="C177" s="356"/>
      <c r="D177" s="330"/>
      <c r="E177" s="157"/>
      <c r="F177" s="12"/>
    </row>
    <row r="178">
      <c r="A178" s="225"/>
      <c r="B178" s="213"/>
      <c r="C178" s="356"/>
      <c r="D178" s="330"/>
      <c r="E178" s="157"/>
      <c r="F178" s="12"/>
    </row>
    <row r="179">
      <c r="A179" s="225"/>
      <c r="B179" s="213"/>
      <c r="C179" s="356"/>
      <c r="D179" s="330"/>
      <c r="E179" s="157"/>
      <c r="F179" s="12"/>
    </row>
    <row r="180">
      <c r="A180" s="225"/>
      <c r="B180" s="213"/>
      <c r="C180" s="356"/>
      <c r="D180" s="330"/>
      <c r="E180" s="157"/>
      <c r="F180" s="12"/>
    </row>
    <row r="181">
      <c r="A181" s="225"/>
      <c r="B181" s="213"/>
      <c r="C181" s="356"/>
      <c r="D181" s="330"/>
      <c r="E181" s="157"/>
      <c r="F181" s="12"/>
    </row>
    <row r="182">
      <c r="A182" s="225"/>
      <c r="B182" s="213"/>
      <c r="C182" s="356"/>
      <c r="D182" s="330"/>
      <c r="E182" s="157"/>
      <c r="F182" s="12"/>
    </row>
    <row r="183">
      <c r="A183" s="225"/>
      <c r="B183" s="213"/>
      <c r="C183" s="356"/>
      <c r="D183" s="330"/>
      <c r="E183" s="157"/>
      <c r="F183" s="12"/>
    </row>
    <row r="184">
      <c r="A184" s="225"/>
      <c r="B184" s="213"/>
      <c r="C184" s="356"/>
      <c r="D184" s="330"/>
      <c r="E184" s="157"/>
      <c r="F184" s="12"/>
    </row>
    <row r="185">
      <c r="A185" s="225"/>
      <c r="B185" s="213"/>
      <c r="C185" s="356"/>
      <c r="D185" s="330"/>
      <c r="E185" s="157"/>
      <c r="F185" s="12"/>
    </row>
    <row r="186">
      <c r="A186" s="225"/>
      <c r="B186" s="213"/>
      <c r="C186" s="356"/>
      <c r="D186" s="330"/>
      <c r="E186" s="157"/>
      <c r="F186" s="12"/>
    </row>
    <row r="187">
      <c r="A187" s="225"/>
      <c r="B187" s="213"/>
      <c r="C187" s="356"/>
      <c r="D187" s="330"/>
      <c r="E187" s="157"/>
      <c r="F187" s="12"/>
    </row>
    <row r="188">
      <c r="A188" s="225"/>
      <c r="B188" s="213"/>
      <c r="C188" s="356"/>
      <c r="D188" s="330"/>
      <c r="E188" s="157"/>
      <c r="F188" s="12"/>
    </row>
    <row r="189">
      <c r="A189" s="225"/>
      <c r="B189" s="213"/>
      <c r="C189" s="356"/>
      <c r="D189" s="330"/>
      <c r="E189" s="157"/>
      <c r="F189" s="12"/>
    </row>
    <row r="190">
      <c r="A190" s="225"/>
      <c r="B190" s="213"/>
      <c r="C190" s="356"/>
      <c r="D190" s="330"/>
      <c r="E190" s="157"/>
      <c r="F190" s="12"/>
    </row>
    <row r="191">
      <c r="A191" s="225"/>
      <c r="B191" s="213"/>
      <c r="C191" s="356"/>
      <c r="D191" s="330"/>
      <c r="E191" s="157"/>
      <c r="F191" s="12"/>
    </row>
    <row r="192">
      <c r="A192" s="225"/>
      <c r="B192" s="213"/>
      <c r="C192" s="356"/>
      <c r="D192" s="330"/>
      <c r="E192" s="157"/>
      <c r="F192" s="12"/>
    </row>
    <row r="193">
      <c r="A193" s="225"/>
      <c r="B193" s="213"/>
      <c r="C193" s="356"/>
      <c r="D193" s="330"/>
      <c r="E193" s="157"/>
      <c r="F193" s="12"/>
    </row>
    <row r="194">
      <c r="A194" s="225"/>
      <c r="B194" s="213"/>
      <c r="C194" s="356"/>
      <c r="D194" s="330"/>
      <c r="E194" s="157"/>
      <c r="F194" s="12"/>
    </row>
    <row r="195">
      <c r="A195" s="225"/>
      <c r="B195" s="213"/>
      <c r="C195" s="356"/>
      <c r="D195" s="330"/>
      <c r="E195" s="157"/>
      <c r="F195" s="12"/>
    </row>
    <row r="196">
      <c r="A196" s="225"/>
      <c r="B196" s="213"/>
      <c r="C196" s="356"/>
      <c r="D196" s="330"/>
      <c r="E196" s="157"/>
      <c r="F196" s="12"/>
    </row>
    <row r="197">
      <c r="A197" s="225"/>
      <c r="B197" s="213"/>
      <c r="C197" s="356"/>
      <c r="D197" s="330"/>
      <c r="E197" s="157"/>
      <c r="F197" s="12"/>
    </row>
    <row r="198">
      <c r="A198" s="225"/>
      <c r="B198" s="213"/>
      <c r="C198" s="356"/>
      <c r="D198" s="330"/>
      <c r="E198" s="157"/>
      <c r="F198" s="12"/>
    </row>
    <row r="199">
      <c r="A199" s="225"/>
      <c r="B199" s="213"/>
      <c r="C199" s="356"/>
      <c r="D199" s="330"/>
      <c r="E199" s="157"/>
      <c r="F199" s="12"/>
    </row>
    <row r="200">
      <c r="A200" s="225"/>
      <c r="B200" s="213"/>
      <c r="C200" s="356"/>
      <c r="D200" s="330"/>
      <c r="E200" s="157"/>
      <c r="F200" s="12"/>
    </row>
    <row r="201">
      <c r="A201" s="225"/>
      <c r="B201" s="213"/>
      <c r="C201" s="356"/>
      <c r="D201" s="330"/>
      <c r="E201" s="157"/>
      <c r="F201" s="12"/>
    </row>
    <row r="202">
      <c r="A202" s="225"/>
      <c r="B202" s="213"/>
      <c r="C202" s="356"/>
      <c r="D202" s="330"/>
      <c r="E202" s="157"/>
      <c r="F202" s="12"/>
    </row>
    <row r="203">
      <c r="A203" s="225"/>
      <c r="B203" s="213"/>
      <c r="C203" s="356"/>
      <c r="D203" s="330"/>
      <c r="E203" s="157"/>
      <c r="F203" s="12"/>
    </row>
    <row r="204">
      <c r="A204" s="225"/>
      <c r="B204" s="213"/>
      <c r="C204" s="356"/>
      <c r="D204" s="330"/>
      <c r="E204" s="157"/>
      <c r="F204" s="12"/>
    </row>
    <row r="205">
      <c r="A205" s="225"/>
      <c r="B205" s="213"/>
      <c r="C205" s="356"/>
      <c r="D205" s="330"/>
      <c r="E205" s="157"/>
      <c r="F205" s="12"/>
    </row>
    <row r="206">
      <c r="A206" s="225"/>
      <c r="B206" s="213"/>
      <c r="C206" s="356"/>
      <c r="D206" s="330"/>
      <c r="E206" s="157"/>
      <c r="F206" s="12"/>
    </row>
    <row r="207">
      <c r="A207" s="225"/>
      <c r="B207" s="213"/>
      <c r="C207" s="356"/>
      <c r="D207" s="330"/>
      <c r="E207" s="157"/>
      <c r="F207" s="12"/>
    </row>
    <row r="208">
      <c r="A208" s="225"/>
      <c r="B208" s="213"/>
      <c r="C208" s="356"/>
      <c r="D208" s="330"/>
      <c r="E208" s="157"/>
      <c r="F208" s="12"/>
    </row>
    <row r="209">
      <c r="A209" s="225"/>
      <c r="B209" s="213"/>
      <c r="C209" s="356"/>
      <c r="D209" s="330"/>
      <c r="E209" s="157"/>
      <c r="F209" s="12"/>
    </row>
    <row r="210">
      <c r="A210" s="225"/>
      <c r="B210" s="213"/>
      <c r="C210" s="356"/>
      <c r="D210" s="330"/>
      <c r="E210" s="157"/>
      <c r="F210" s="12"/>
    </row>
    <row r="211">
      <c r="A211" s="225"/>
      <c r="B211" s="213"/>
      <c r="C211" s="356"/>
      <c r="D211" s="330"/>
      <c r="E211" s="157"/>
      <c r="F211" s="12"/>
    </row>
    <row r="212">
      <c r="A212" s="225"/>
      <c r="B212" s="213"/>
      <c r="C212" s="356"/>
      <c r="D212" s="330"/>
      <c r="E212" s="157"/>
      <c r="F212" s="12"/>
    </row>
    <row r="213">
      <c r="A213" s="225"/>
      <c r="B213" s="213"/>
      <c r="C213" s="356"/>
      <c r="D213" s="330"/>
      <c r="E213" s="157"/>
      <c r="F213" s="12"/>
    </row>
    <row r="214">
      <c r="A214" s="225"/>
      <c r="B214" s="213"/>
      <c r="C214" s="356"/>
      <c r="D214" s="330"/>
      <c r="E214" s="157"/>
      <c r="F214" s="12"/>
    </row>
    <row r="215">
      <c r="A215" s="225"/>
      <c r="B215" s="213"/>
      <c r="C215" s="356"/>
      <c r="D215" s="330"/>
      <c r="E215" s="157"/>
      <c r="F215" s="12"/>
    </row>
    <row r="216">
      <c r="A216" s="225"/>
      <c r="B216" s="213"/>
      <c r="C216" s="356"/>
      <c r="D216" s="330"/>
      <c r="E216" s="157"/>
      <c r="F216" s="12"/>
    </row>
    <row r="217">
      <c r="A217" s="225"/>
      <c r="B217" s="213"/>
      <c r="C217" s="356"/>
      <c r="D217" s="330"/>
      <c r="E217" s="157"/>
      <c r="F217" s="12"/>
    </row>
    <row r="218">
      <c r="A218" s="225"/>
      <c r="B218" s="213"/>
      <c r="C218" s="356"/>
      <c r="D218" s="330"/>
      <c r="E218" s="157"/>
      <c r="F218" s="12"/>
    </row>
    <row r="219">
      <c r="A219" s="225"/>
      <c r="B219" s="213"/>
      <c r="C219" s="356"/>
      <c r="D219" s="330"/>
      <c r="E219" s="157"/>
      <c r="F219" s="12"/>
    </row>
    <row r="220">
      <c r="A220" s="225"/>
      <c r="B220" s="213"/>
      <c r="C220" s="356"/>
      <c r="D220" s="330"/>
      <c r="E220" s="157"/>
      <c r="F220" s="12"/>
    </row>
    <row r="221">
      <c r="A221" s="225"/>
      <c r="B221" s="213"/>
      <c r="C221" s="356"/>
      <c r="D221" s="330"/>
      <c r="E221" s="157"/>
      <c r="F221" s="12"/>
    </row>
    <row r="222">
      <c r="A222" s="225"/>
      <c r="B222" s="213"/>
      <c r="C222" s="356"/>
      <c r="D222" s="330"/>
      <c r="E222" s="157"/>
      <c r="F222" s="12"/>
    </row>
    <row r="223">
      <c r="A223" s="225"/>
      <c r="B223" s="213"/>
      <c r="C223" s="356"/>
      <c r="D223" s="330"/>
      <c r="E223" s="157"/>
      <c r="F223" s="12"/>
    </row>
    <row r="224">
      <c r="A224" s="225"/>
      <c r="B224" s="213"/>
      <c r="C224" s="356"/>
      <c r="D224" s="330"/>
      <c r="E224" s="157"/>
      <c r="F224" s="12"/>
    </row>
    <row r="225">
      <c r="A225" s="225"/>
      <c r="B225" s="213"/>
      <c r="C225" s="356"/>
      <c r="D225" s="330"/>
      <c r="E225" s="157"/>
      <c r="F225" s="12"/>
    </row>
    <row r="226">
      <c r="A226" s="225"/>
      <c r="B226" s="213"/>
      <c r="C226" s="356"/>
      <c r="D226" s="330"/>
      <c r="E226" s="157"/>
      <c r="F226" s="12"/>
    </row>
    <row r="227">
      <c r="A227" s="225"/>
      <c r="B227" s="213"/>
      <c r="C227" s="356"/>
      <c r="D227" s="330"/>
      <c r="E227" s="157"/>
      <c r="F227" s="12"/>
    </row>
    <row r="228">
      <c r="A228" s="225"/>
      <c r="B228" s="213"/>
      <c r="C228" s="356"/>
      <c r="D228" s="330"/>
      <c r="E228" s="157"/>
      <c r="F228" s="12"/>
    </row>
    <row r="229">
      <c r="A229" s="225"/>
      <c r="B229" s="213"/>
      <c r="C229" s="356"/>
      <c r="D229" s="330"/>
      <c r="E229" s="157"/>
      <c r="F229" s="12"/>
    </row>
    <row r="230">
      <c r="A230" s="225"/>
      <c r="B230" s="213"/>
      <c r="C230" s="356"/>
      <c r="D230" s="330"/>
      <c r="E230" s="157"/>
      <c r="F230" s="12"/>
    </row>
    <row r="231">
      <c r="A231" s="225"/>
      <c r="B231" s="213"/>
      <c r="C231" s="356"/>
      <c r="D231" s="330"/>
      <c r="E231" s="157"/>
      <c r="F231" s="12"/>
    </row>
    <row r="232">
      <c r="A232" s="225"/>
      <c r="B232" s="213"/>
      <c r="C232" s="356"/>
      <c r="D232" s="330"/>
      <c r="E232" s="157"/>
      <c r="F232" s="12"/>
    </row>
    <row r="233">
      <c r="A233" s="225"/>
      <c r="B233" s="213"/>
      <c r="C233" s="356"/>
      <c r="D233" s="330"/>
      <c r="E233" s="157"/>
      <c r="F233" s="12"/>
    </row>
    <row r="234">
      <c r="A234" s="225"/>
      <c r="B234" s="213"/>
      <c r="C234" s="356"/>
      <c r="D234" s="330"/>
      <c r="E234" s="157"/>
      <c r="F234" s="12"/>
    </row>
    <row r="235">
      <c r="A235" s="225"/>
      <c r="B235" s="213"/>
      <c r="C235" s="356"/>
      <c r="D235" s="330"/>
      <c r="E235" s="157"/>
      <c r="F235" s="12"/>
    </row>
    <row r="236">
      <c r="A236" s="225"/>
      <c r="B236" s="213"/>
      <c r="C236" s="356"/>
      <c r="D236" s="330"/>
      <c r="E236" s="157"/>
      <c r="F236" s="12"/>
    </row>
    <row r="237">
      <c r="A237" s="225"/>
      <c r="B237" s="213"/>
      <c r="C237" s="356"/>
      <c r="D237" s="330"/>
      <c r="E237" s="157"/>
      <c r="F237" s="12"/>
    </row>
    <row r="238">
      <c r="A238" s="225"/>
      <c r="B238" s="213"/>
      <c r="C238" s="356"/>
      <c r="D238" s="330"/>
      <c r="E238" s="157"/>
      <c r="F238" s="12"/>
    </row>
    <row r="239">
      <c r="A239" s="225"/>
      <c r="B239" s="213"/>
      <c r="C239" s="356"/>
      <c r="D239" s="330"/>
      <c r="E239" s="157"/>
      <c r="F239" s="12"/>
    </row>
    <row r="240">
      <c r="A240" s="225"/>
      <c r="B240" s="213"/>
      <c r="C240" s="356"/>
      <c r="D240" s="330"/>
      <c r="E240" s="157"/>
      <c r="F240" s="12"/>
    </row>
    <row r="241">
      <c r="A241" s="225"/>
      <c r="B241" s="213"/>
      <c r="C241" s="356"/>
      <c r="D241" s="330"/>
      <c r="E241" s="157"/>
      <c r="F241" s="12"/>
    </row>
    <row r="242">
      <c r="A242" s="225"/>
      <c r="B242" s="213"/>
      <c r="C242" s="356"/>
      <c r="D242" s="330"/>
      <c r="E242" s="157"/>
      <c r="F242" s="12"/>
    </row>
    <row r="243">
      <c r="A243" s="225"/>
      <c r="B243" s="213"/>
      <c r="C243" s="356"/>
      <c r="D243" s="330"/>
      <c r="E243" s="157"/>
      <c r="F243" s="12"/>
    </row>
    <row r="244">
      <c r="A244" s="225"/>
      <c r="B244" s="213"/>
      <c r="C244" s="356"/>
      <c r="D244" s="330"/>
      <c r="E244" s="157"/>
      <c r="F244" s="12"/>
    </row>
    <row r="245">
      <c r="A245" s="225"/>
      <c r="B245" s="213"/>
      <c r="C245" s="356"/>
      <c r="D245" s="330"/>
      <c r="E245" s="157"/>
      <c r="F245" s="12"/>
    </row>
    <row r="246">
      <c r="A246" s="225"/>
      <c r="B246" s="213"/>
      <c r="C246" s="356"/>
      <c r="D246" s="330"/>
      <c r="E246" s="157"/>
      <c r="F246" s="12"/>
    </row>
    <row r="247">
      <c r="A247" s="225"/>
      <c r="B247" s="213"/>
      <c r="C247" s="356"/>
      <c r="D247" s="330"/>
      <c r="E247" s="157"/>
      <c r="F247" s="12"/>
    </row>
    <row r="248">
      <c r="A248" s="225"/>
      <c r="B248" s="213"/>
      <c r="C248" s="356"/>
      <c r="D248" s="330"/>
      <c r="E248" s="157"/>
      <c r="F248" s="12"/>
    </row>
    <row r="249">
      <c r="A249" s="225"/>
      <c r="B249" s="213"/>
      <c r="C249" s="356"/>
      <c r="D249" s="330"/>
      <c r="E249" s="157"/>
      <c r="F249" s="12"/>
    </row>
    <row r="250">
      <c r="A250" s="225"/>
      <c r="B250" s="213"/>
      <c r="C250" s="356"/>
      <c r="D250" s="330"/>
      <c r="E250" s="157"/>
      <c r="F250" s="12"/>
    </row>
    <row r="251">
      <c r="A251" s="225"/>
      <c r="B251" s="213"/>
      <c r="C251" s="356"/>
      <c r="D251" s="330"/>
      <c r="E251" s="157"/>
      <c r="F251" s="12"/>
    </row>
    <row r="252">
      <c r="A252" s="225"/>
      <c r="B252" s="213"/>
      <c r="C252" s="356"/>
      <c r="D252" s="330"/>
      <c r="E252" s="157"/>
      <c r="F252" s="12"/>
    </row>
    <row r="253">
      <c r="A253" s="225"/>
      <c r="B253" s="213"/>
      <c r="C253" s="356"/>
      <c r="D253" s="330"/>
      <c r="E253" s="157"/>
      <c r="F253" s="12"/>
    </row>
    <row r="254">
      <c r="A254" s="225"/>
      <c r="B254" s="213"/>
      <c r="C254" s="356"/>
      <c r="D254" s="330"/>
      <c r="E254" s="157"/>
      <c r="F254" s="12"/>
    </row>
    <row r="255">
      <c r="A255" s="225"/>
      <c r="B255" s="213"/>
      <c r="C255" s="356"/>
      <c r="D255" s="330"/>
      <c r="E255" s="157"/>
      <c r="F255" s="12"/>
    </row>
    <row r="256">
      <c r="A256" s="225"/>
      <c r="B256" s="213"/>
      <c r="C256" s="356"/>
      <c r="D256" s="330"/>
      <c r="E256" s="157"/>
      <c r="F256" s="12"/>
    </row>
    <row r="257">
      <c r="A257" s="225"/>
      <c r="B257" s="213"/>
      <c r="C257" s="356"/>
      <c r="D257" s="330"/>
      <c r="E257" s="157"/>
      <c r="F257" s="12"/>
    </row>
    <row r="258">
      <c r="A258" s="225"/>
      <c r="B258" s="213"/>
      <c r="C258" s="356"/>
      <c r="D258" s="330"/>
      <c r="E258" s="157"/>
      <c r="F258" s="12"/>
    </row>
    <row r="259">
      <c r="A259" s="225"/>
      <c r="B259" s="213"/>
      <c r="C259" s="356"/>
      <c r="D259" s="330"/>
      <c r="E259" s="157"/>
      <c r="F259" s="12"/>
    </row>
    <row r="260">
      <c r="A260" s="225"/>
      <c r="B260" s="213"/>
      <c r="C260" s="356"/>
      <c r="D260" s="330"/>
      <c r="E260" s="157"/>
      <c r="F260" s="12"/>
    </row>
    <row r="261">
      <c r="A261" s="225"/>
      <c r="B261" s="213"/>
      <c r="C261" s="356"/>
      <c r="D261" s="330"/>
      <c r="E261" s="157"/>
      <c r="F261" s="12"/>
    </row>
    <row r="262">
      <c r="A262" s="225"/>
      <c r="B262" s="213"/>
      <c r="C262" s="356"/>
      <c r="D262" s="330"/>
      <c r="E262" s="157"/>
      <c r="F262" s="12"/>
    </row>
    <row r="263">
      <c r="A263" s="225"/>
      <c r="B263" s="213"/>
      <c r="C263" s="356"/>
      <c r="D263" s="330"/>
      <c r="E263" s="157"/>
      <c r="F263" s="12"/>
    </row>
    <row r="264">
      <c r="A264" s="225"/>
      <c r="B264" s="213"/>
      <c r="C264" s="356"/>
      <c r="D264" s="330"/>
      <c r="E264" s="157"/>
      <c r="F264" s="12"/>
    </row>
    <row r="265">
      <c r="A265" s="225"/>
      <c r="B265" s="213"/>
      <c r="C265" s="356"/>
      <c r="D265" s="330"/>
      <c r="E265" s="157"/>
      <c r="F265" s="12"/>
    </row>
    <row r="266">
      <c r="A266" s="225"/>
      <c r="B266" s="213"/>
      <c r="C266" s="356"/>
      <c r="D266" s="330"/>
      <c r="E266" s="157"/>
      <c r="F266" s="12"/>
    </row>
    <row r="267">
      <c r="A267" s="225"/>
      <c r="B267" s="213"/>
      <c r="C267" s="356"/>
      <c r="D267" s="330"/>
      <c r="E267" s="157"/>
      <c r="F267" s="12"/>
    </row>
    <row r="268">
      <c r="A268" s="225"/>
      <c r="B268" s="213"/>
      <c r="C268" s="356"/>
      <c r="D268" s="330"/>
      <c r="E268" s="157"/>
      <c r="F268" s="12"/>
    </row>
    <row r="269">
      <c r="A269" s="225"/>
      <c r="B269" s="213"/>
      <c r="C269" s="356"/>
      <c r="D269" s="330"/>
      <c r="E269" s="157"/>
      <c r="F269" s="12"/>
    </row>
    <row r="270">
      <c r="A270" s="225"/>
      <c r="B270" s="213"/>
      <c r="C270" s="356"/>
      <c r="D270" s="330"/>
      <c r="E270" s="157"/>
      <c r="F270" s="12"/>
    </row>
    <row r="271">
      <c r="A271" s="225"/>
      <c r="B271" s="213"/>
      <c r="C271" s="356"/>
      <c r="D271" s="330"/>
      <c r="E271" s="157"/>
      <c r="F271" s="12"/>
    </row>
    <row r="272">
      <c r="A272" s="225"/>
      <c r="B272" s="213"/>
      <c r="C272" s="356"/>
      <c r="D272" s="330"/>
      <c r="E272" s="157"/>
      <c r="F272" s="12"/>
    </row>
    <row r="273">
      <c r="A273" s="225"/>
      <c r="B273" s="213"/>
      <c r="C273" s="356"/>
      <c r="D273" s="330"/>
      <c r="E273" s="157"/>
      <c r="F273" s="12"/>
    </row>
    <row r="274">
      <c r="A274" s="225"/>
      <c r="B274" s="213"/>
      <c r="C274" s="356"/>
      <c r="D274" s="330"/>
      <c r="E274" s="157"/>
      <c r="F274" s="12"/>
    </row>
    <row r="275">
      <c r="A275" s="225"/>
      <c r="B275" s="213"/>
      <c r="C275" s="356"/>
      <c r="D275" s="330"/>
      <c r="E275" s="157"/>
      <c r="F275" s="12"/>
    </row>
    <row r="276">
      <c r="A276" s="225"/>
      <c r="B276" s="213"/>
      <c r="C276" s="356"/>
      <c r="D276" s="330"/>
      <c r="E276" s="157"/>
      <c r="F276" s="12"/>
    </row>
    <row r="277">
      <c r="A277" s="225"/>
      <c r="B277" s="213"/>
      <c r="C277" s="356"/>
      <c r="D277" s="330"/>
      <c r="E277" s="157"/>
      <c r="F277" s="12"/>
    </row>
    <row r="278">
      <c r="A278" s="225"/>
      <c r="B278" s="213"/>
      <c r="C278" s="356"/>
      <c r="D278" s="330"/>
      <c r="E278" s="157"/>
      <c r="F278" s="12"/>
    </row>
    <row r="279">
      <c r="A279" s="225"/>
      <c r="B279" s="213"/>
      <c r="C279" s="356"/>
      <c r="D279" s="330"/>
      <c r="E279" s="157"/>
      <c r="F279" s="12"/>
    </row>
    <row r="280">
      <c r="A280" s="225"/>
      <c r="B280" s="213"/>
      <c r="C280" s="356"/>
      <c r="D280" s="330"/>
      <c r="E280" s="157"/>
      <c r="F280" s="12"/>
    </row>
    <row r="281">
      <c r="A281" s="225"/>
      <c r="B281" s="213"/>
      <c r="C281" s="356"/>
      <c r="D281" s="330"/>
      <c r="E281" s="157"/>
      <c r="F281" s="12"/>
    </row>
    <row r="282">
      <c r="A282" s="225"/>
      <c r="B282" s="213"/>
      <c r="C282" s="356"/>
      <c r="D282" s="330"/>
      <c r="E282" s="157"/>
      <c r="F282" s="12"/>
    </row>
    <row r="283">
      <c r="A283" s="225"/>
      <c r="B283" s="213"/>
      <c r="C283" s="356"/>
      <c r="D283" s="330"/>
      <c r="E283" s="157"/>
      <c r="F283" s="12"/>
    </row>
    <row r="284">
      <c r="A284" s="225"/>
      <c r="B284" s="213"/>
      <c r="C284" s="356"/>
      <c r="D284" s="330"/>
      <c r="E284" s="157"/>
      <c r="F284" s="12"/>
    </row>
    <row r="285">
      <c r="A285" s="225"/>
      <c r="B285" s="213"/>
      <c r="C285" s="356"/>
      <c r="D285" s="330"/>
      <c r="E285" s="157"/>
      <c r="F285" s="12"/>
    </row>
    <row r="286">
      <c r="A286" s="225"/>
      <c r="B286" s="213"/>
      <c r="C286" s="356"/>
      <c r="D286" s="330"/>
      <c r="E286" s="157"/>
      <c r="F286" s="12"/>
    </row>
    <row r="287">
      <c r="A287" s="225"/>
      <c r="B287" s="213"/>
      <c r="C287" s="356"/>
      <c r="D287" s="330"/>
      <c r="E287" s="157"/>
      <c r="F287" s="12"/>
    </row>
    <row r="288">
      <c r="A288" s="225"/>
      <c r="B288" s="213"/>
      <c r="C288" s="356"/>
      <c r="D288" s="330"/>
      <c r="E288" s="157"/>
      <c r="F288" s="12"/>
    </row>
    <row r="289">
      <c r="A289" s="225"/>
      <c r="B289" s="213"/>
      <c r="C289" s="356"/>
      <c r="D289" s="330"/>
      <c r="E289" s="157"/>
      <c r="F289" s="12"/>
    </row>
    <row r="290">
      <c r="A290" s="225"/>
      <c r="B290" s="213"/>
      <c r="C290" s="356"/>
      <c r="D290" s="330"/>
      <c r="E290" s="157"/>
      <c r="F290" s="12"/>
    </row>
    <row r="291">
      <c r="A291" s="225"/>
      <c r="B291" s="213"/>
      <c r="C291" s="356"/>
      <c r="D291" s="330"/>
      <c r="E291" s="157"/>
      <c r="F291" s="12"/>
    </row>
    <row r="292">
      <c r="A292" s="225"/>
      <c r="B292" s="213"/>
      <c r="C292" s="356"/>
      <c r="D292" s="330"/>
      <c r="E292" s="157"/>
      <c r="F292" s="12"/>
    </row>
    <row r="293">
      <c r="A293" s="225"/>
      <c r="B293" s="213"/>
      <c r="C293" s="356"/>
      <c r="D293" s="330"/>
      <c r="E293" s="157"/>
      <c r="F293" s="12"/>
    </row>
    <row r="294">
      <c r="A294" s="225"/>
      <c r="B294" s="213"/>
      <c r="C294" s="356"/>
      <c r="D294" s="330"/>
      <c r="E294" s="157"/>
      <c r="F294" s="12"/>
    </row>
    <row r="295">
      <c r="A295" s="225"/>
      <c r="B295" s="213"/>
      <c r="C295" s="356"/>
      <c r="D295" s="330"/>
      <c r="E295" s="157"/>
      <c r="F295" s="12"/>
    </row>
    <row r="296">
      <c r="A296" s="225"/>
      <c r="B296" s="213"/>
      <c r="C296" s="356"/>
      <c r="D296" s="330"/>
      <c r="E296" s="157"/>
      <c r="F296" s="12"/>
    </row>
    <row r="297">
      <c r="A297" s="225"/>
      <c r="B297" s="213"/>
      <c r="C297" s="356"/>
      <c r="D297" s="330"/>
      <c r="E297" s="157"/>
      <c r="F297" s="12"/>
    </row>
    <row r="298">
      <c r="A298" s="225"/>
      <c r="B298" s="213"/>
      <c r="C298" s="356"/>
      <c r="D298" s="330"/>
      <c r="E298" s="157"/>
      <c r="F298" s="12"/>
    </row>
    <row r="299">
      <c r="A299" s="225"/>
      <c r="B299" s="213"/>
      <c r="C299" s="356"/>
      <c r="D299" s="330"/>
      <c r="E299" s="157"/>
      <c r="F299" s="12"/>
    </row>
    <row r="300">
      <c r="A300" s="225"/>
      <c r="B300" s="213"/>
      <c r="C300" s="356"/>
      <c r="D300" s="330"/>
      <c r="E300" s="157"/>
      <c r="F300" s="12"/>
    </row>
    <row r="301">
      <c r="A301" s="225"/>
      <c r="B301" s="213"/>
      <c r="C301" s="356"/>
      <c r="D301" s="330"/>
      <c r="E301" s="157"/>
      <c r="F301" s="12"/>
    </row>
    <row r="302">
      <c r="A302" s="225"/>
      <c r="B302" s="213"/>
      <c r="C302" s="356"/>
      <c r="D302" s="330"/>
      <c r="E302" s="157"/>
      <c r="F302" s="12"/>
    </row>
    <row r="303">
      <c r="A303" s="225"/>
      <c r="B303" s="213"/>
      <c r="C303" s="356"/>
      <c r="D303" s="330"/>
      <c r="E303" s="157"/>
      <c r="F303" s="12"/>
    </row>
    <row r="304">
      <c r="A304" s="225"/>
      <c r="B304" s="213"/>
      <c r="C304" s="356"/>
      <c r="D304" s="330"/>
      <c r="E304" s="157"/>
      <c r="F304" s="12"/>
    </row>
    <row r="305">
      <c r="A305" s="225"/>
      <c r="B305" s="213"/>
      <c r="C305" s="356"/>
      <c r="D305" s="330"/>
      <c r="E305" s="157"/>
      <c r="F305" s="12"/>
    </row>
    <row r="306">
      <c r="A306" s="225"/>
      <c r="B306" s="213"/>
      <c r="C306" s="356"/>
      <c r="D306" s="330"/>
      <c r="E306" s="157"/>
      <c r="F306" s="12"/>
    </row>
    <row r="307">
      <c r="A307" s="225"/>
      <c r="B307" s="213"/>
      <c r="C307" s="356"/>
      <c r="D307" s="330"/>
      <c r="E307" s="157"/>
      <c r="F307" s="12"/>
    </row>
    <row r="308">
      <c r="A308" s="225"/>
      <c r="B308" s="213"/>
      <c r="C308" s="356"/>
      <c r="D308" s="330"/>
      <c r="E308" s="157"/>
      <c r="F308" s="12"/>
    </row>
    <row r="309">
      <c r="A309" s="225"/>
      <c r="B309" s="213"/>
      <c r="C309" s="356"/>
      <c r="D309" s="330"/>
      <c r="E309" s="157"/>
      <c r="F309" s="12"/>
    </row>
    <row r="310">
      <c r="A310" s="225"/>
      <c r="B310" s="213"/>
      <c r="C310" s="356"/>
      <c r="D310" s="330"/>
      <c r="E310" s="157"/>
      <c r="F310" s="12"/>
    </row>
    <row r="311">
      <c r="A311" s="225"/>
      <c r="B311" s="213"/>
      <c r="C311" s="356"/>
      <c r="D311" s="330"/>
      <c r="E311" s="157"/>
      <c r="F311" s="12"/>
    </row>
    <row r="312">
      <c r="A312" s="225"/>
      <c r="B312" s="213"/>
      <c r="C312" s="356"/>
      <c r="D312" s="330"/>
      <c r="E312" s="157"/>
      <c r="F312" s="12"/>
    </row>
    <row r="313">
      <c r="A313" s="225"/>
      <c r="B313" s="213"/>
      <c r="C313" s="356"/>
      <c r="D313" s="330"/>
      <c r="E313" s="157"/>
      <c r="F313" s="12"/>
    </row>
    <row r="314">
      <c r="A314" s="225"/>
      <c r="B314" s="213"/>
      <c r="C314" s="356"/>
      <c r="D314" s="330"/>
      <c r="E314" s="157"/>
      <c r="F314" s="12"/>
    </row>
    <row r="315">
      <c r="A315" s="225"/>
      <c r="B315" s="213"/>
      <c r="C315" s="356"/>
      <c r="D315" s="330"/>
      <c r="E315" s="157"/>
      <c r="F315" s="12"/>
    </row>
    <row r="316">
      <c r="A316" s="225"/>
      <c r="B316" s="213"/>
      <c r="C316" s="356"/>
      <c r="D316" s="330"/>
      <c r="E316" s="157"/>
      <c r="F316" s="12"/>
    </row>
    <row r="317">
      <c r="A317" s="225"/>
      <c r="B317" s="213"/>
      <c r="C317" s="356"/>
      <c r="D317" s="330"/>
      <c r="E317" s="157"/>
      <c r="F317" s="12"/>
    </row>
    <row r="318">
      <c r="A318" s="225"/>
      <c r="B318" s="213"/>
      <c r="C318" s="356"/>
      <c r="D318" s="330"/>
      <c r="E318" s="157"/>
      <c r="F318" s="12"/>
    </row>
    <row r="319">
      <c r="A319" s="225"/>
      <c r="B319" s="213"/>
      <c r="C319" s="356"/>
      <c r="D319" s="330"/>
      <c r="E319" s="157"/>
      <c r="F319" s="12"/>
    </row>
    <row r="320">
      <c r="A320" s="225"/>
      <c r="B320" s="213"/>
      <c r="C320" s="356"/>
      <c r="D320" s="330"/>
      <c r="E320" s="157"/>
      <c r="F320" s="12"/>
    </row>
    <row r="321">
      <c r="A321" s="225"/>
      <c r="B321" s="213"/>
      <c r="C321" s="356"/>
      <c r="D321" s="330"/>
      <c r="E321" s="157"/>
      <c r="F321" s="12"/>
    </row>
    <row r="322">
      <c r="A322" s="225"/>
      <c r="B322" s="213"/>
      <c r="C322" s="356"/>
      <c r="D322" s="330"/>
      <c r="E322" s="157"/>
      <c r="F322" s="12"/>
    </row>
    <row r="323">
      <c r="A323" s="225"/>
      <c r="B323" s="213"/>
      <c r="C323" s="356"/>
      <c r="D323" s="330"/>
      <c r="E323" s="157"/>
      <c r="F323" s="12"/>
    </row>
    <row r="324">
      <c r="A324" s="225"/>
      <c r="B324" s="213"/>
      <c r="C324" s="356"/>
      <c r="D324" s="330"/>
      <c r="E324" s="157"/>
      <c r="F324" s="12"/>
    </row>
    <row r="325">
      <c r="A325" s="225"/>
      <c r="B325" s="213"/>
      <c r="C325" s="356"/>
      <c r="D325" s="330"/>
      <c r="E325" s="157"/>
      <c r="F325" s="12"/>
    </row>
    <row r="326">
      <c r="A326" s="225"/>
      <c r="B326" s="213"/>
      <c r="C326" s="356"/>
      <c r="D326" s="330"/>
      <c r="E326" s="157"/>
      <c r="F326" s="12"/>
    </row>
    <row r="327">
      <c r="A327" s="225"/>
      <c r="B327" s="213"/>
      <c r="C327" s="356"/>
      <c r="D327" s="330"/>
      <c r="E327" s="157"/>
      <c r="F327" s="12"/>
    </row>
    <row r="328">
      <c r="A328" s="225"/>
      <c r="B328" s="213"/>
      <c r="C328" s="356"/>
      <c r="D328" s="330"/>
      <c r="E328" s="157"/>
      <c r="F328" s="12"/>
    </row>
    <row r="329">
      <c r="A329" s="225"/>
      <c r="B329" s="213"/>
      <c r="C329" s="356"/>
      <c r="D329" s="330"/>
      <c r="E329" s="157"/>
      <c r="F329" s="12"/>
    </row>
    <row r="330">
      <c r="A330" s="225"/>
      <c r="B330" s="213"/>
      <c r="C330" s="356"/>
      <c r="D330" s="330"/>
      <c r="E330" s="157"/>
      <c r="F330" s="12"/>
    </row>
    <row r="331">
      <c r="A331" s="225"/>
      <c r="B331" s="213"/>
      <c r="C331" s="356"/>
      <c r="D331" s="330"/>
      <c r="E331" s="157"/>
      <c r="F331" s="12"/>
    </row>
    <row r="332">
      <c r="A332" s="225"/>
      <c r="B332" s="213"/>
      <c r="C332" s="356"/>
      <c r="D332" s="330"/>
      <c r="E332" s="157"/>
      <c r="F332" s="12"/>
    </row>
    <row r="333">
      <c r="A333" s="225"/>
      <c r="B333" s="213"/>
      <c r="C333" s="356"/>
      <c r="D333" s="330"/>
      <c r="E333" s="157"/>
      <c r="F333" s="12"/>
    </row>
    <row r="334">
      <c r="A334" s="225"/>
      <c r="B334" s="213"/>
      <c r="C334" s="356"/>
      <c r="D334" s="330"/>
      <c r="E334" s="157"/>
      <c r="F334" s="12"/>
    </row>
    <row r="335">
      <c r="A335" s="225"/>
      <c r="B335" s="213"/>
      <c r="C335" s="356"/>
      <c r="D335" s="330"/>
      <c r="E335" s="157"/>
      <c r="F335" s="12"/>
    </row>
    <row r="336">
      <c r="A336" s="225"/>
      <c r="B336" s="213"/>
      <c r="C336" s="356"/>
      <c r="D336" s="330"/>
      <c r="E336" s="157"/>
      <c r="F336" s="12"/>
    </row>
    <row r="337">
      <c r="A337" s="225"/>
      <c r="B337" s="213"/>
      <c r="C337" s="356"/>
      <c r="D337" s="330"/>
      <c r="E337" s="157"/>
      <c r="F337" s="12"/>
    </row>
    <row r="338">
      <c r="A338" s="225"/>
      <c r="B338" s="213"/>
      <c r="C338" s="356"/>
      <c r="D338" s="330"/>
      <c r="E338" s="157"/>
      <c r="F338" s="12"/>
    </row>
    <row r="339">
      <c r="A339" s="225"/>
      <c r="B339" s="213"/>
      <c r="C339" s="356"/>
      <c r="D339" s="330"/>
      <c r="E339" s="157"/>
      <c r="F339" s="12"/>
    </row>
    <row r="340">
      <c r="A340" s="225"/>
      <c r="B340" s="213"/>
      <c r="C340" s="356"/>
      <c r="D340" s="330"/>
      <c r="E340" s="157"/>
      <c r="F340" s="12"/>
    </row>
    <row r="341">
      <c r="A341" s="225"/>
      <c r="B341" s="213"/>
      <c r="C341" s="356"/>
      <c r="D341" s="330"/>
      <c r="E341" s="157"/>
      <c r="F341" s="12"/>
    </row>
    <row r="342">
      <c r="A342" s="225"/>
      <c r="B342" s="213"/>
      <c r="C342" s="356"/>
      <c r="D342" s="330"/>
      <c r="E342" s="157"/>
      <c r="F342" s="12"/>
    </row>
    <row r="343">
      <c r="A343" s="225"/>
      <c r="B343" s="213"/>
      <c r="C343" s="356"/>
      <c r="D343" s="330"/>
      <c r="E343" s="157"/>
      <c r="F343" s="12"/>
    </row>
    <row r="344">
      <c r="A344" s="225"/>
      <c r="B344" s="213"/>
      <c r="C344" s="356"/>
      <c r="D344" s="330"/>
      <c r="E344" s="157"/>
      <c r="F344" s="12"/>
    </row>
    <row r="345">
      <c r="A345" s="225"/>
      <c r="B345" s="213"/>
      <c r="C345" s="356"/>
      <c r="D345" s="330"/>
      <c r="E345" s="157"/>
      <c r="F345" s="12"/>
    </row>
    <row r="346">
      <c r="A346" s="225"/>
      <c r="B346" s="213"/>
      <c r="C346" s="356"/>
      <c r="D346" s="330"/>
      <c r="E346" s="157"/>
      <c r="F346" s="12"/>
    </row>
    <row r="347">
      <c r="A347" s="225"/>
      <c r="B347" s="213"/>
      <c r="C347" s="356"/>
      <c r="D347" s="330"/>
      <c r="E347" s="157"/>
      <c r="F347" s="12"/>
    </row>
    <row r="348">
      <c r="A348" s="225"/>
      <c r="B348" s="213"/>
      <c r="C348" s="356"/>
      <c r="D348" s="330"/>
      <c r="E348" s="157"/>
      <c r="F348" s="12"/>
    </row>
    <row r="349">
      <c r="A349" s="225"/>
      <c r="B349" s="213"/>
      <c r="C349" s="356"/>
      <c r="D349" s="330"/>
      <c r="E349" s="157"/>
      <c r="F349" s="12"/>
    </row>
    <row r="350">
      <c r="A350" s="225"/>
      <c r="B350" s="213"/>
      <c r="C350" s="356"/>
      <c r="D350" s="330"/>
      <c r="E350" s="157"/>
      <c r="F350" s="12"/>
    </row>
    <row r="351">
      <c r="A351" s="225"/>
      <c r="B351" s="213"/>
      <c r="C351" s="356"/>
      <c r="D351" s="330"/>
      <c r="E351" s="157"/>
      <c r="F351" s="12"/>
    </row>
    <row r="352">
      <c r="A352" s="225"/>
      <c r="B352" s="213"/>
      <c r="C352" s="356"/>
      <c r="D352" s="330"/>
      <c r="E352" s="157"/>
      <c r="F352" s="12"/>
    </row>
    <row r="353">
      <c r="A353" s="225"/>
      <c r="B353" s="213"/>
      <c r="C353" s="356"/>
      <c r="D353" s="330"/>
      <c r="E353" s="157"/>
      <c r="F353" s="12"/>
    </row>
    <row r="354">
      <c r="A354" s="225"/>
      <c r="B354" s="213"/>
      <c r="C354" s="356"/>
      <c r="D354" s="330"/>
      <c r="E354" s="157"/>
      <c r="F354" s="12"/>
    </row>
    <row r="355">
      <c r="A355" s="225"/>
      <c r="B355" s="213"/>
      <c r="C355" s="356"/>
      <c r="D355" s="330"/>
      <c r="E355" s="157"/>
      <c r="F355" s="12"/>
    </row>
    <row r="356">
      <c r="A356" s="225"/>
      <c r="B356" s="213"/>
      <c r="C356" s="356"/>
      <c r="D356" s="330"/>
      <c r="E356" s="157"/>
      <c r="F356" s="12"/>
    </row>
    <row r="357">
      <c r="A357" s="225"/>
      <c r="B357" s="213"/>
      <c r="C357" s="356"/>
      <c r="D357" s="330"/>
      <c r="E357" s="157"/>
      <c r="F357" s="12"/>
    </row>
    <row r="358">
      <c r="A358" s="225"/>
      <c r="B358" s="213"/>
      <c r="C358" s="356"/>
      <c r="D358" s="330"/>
      <c r="E358" s="157"/>
      <c r="F358" s="12"/>
    </row>
    <row r="359">
      <c r="A359" s="225"/>
      <c r="B359" s="213"/>
      <c r="C359" s="356"/>
      <c r="D359" s="330"/>
      <c r="E359" s="157"/>
      <c r="F359" s="12"/>
    </row>
    <row r="360">
      <c r="A360" s="225"/>
      <c r="B360" s="213"/>
      <c r="C360" s="356"/>
      <c r="D360" s="330"/>
      <c r="E360" s="157"/>
      <c r="F360" s="12"/>
    </row>
    <row r="361">
      <c r="A361" s="225"/>
      <c r="B361" s="213"/>
      <c r="C361" s="356"/>
      <c r="D361" s="330"/>
      <c r="E361" s="157"/>
      <c r="F361" s="12"/>
    </row>
    <row r="362">
      <c r="A362" s="225"/>
      <c r="B362" s="213"/>
      <c r="C362" s="356"/>
      <c r="D362" s="330"/>
      <c r="E362" s="157"/>
      <c r="F362" s="12"/>
    </row>
    <row r="363">
      <c r="A363" s="225"/>
      <c r="B363" s="213"/>
      <c r="C363" s="356"/>
      <c r="D363" s="330"/>
      <c r="E363" s="157"/>
      <c r="F363" s="12"/>
    </row>
    <row r="364">
      <c r="A364" s="225"/>
      <c r="B364" s="213"/>
      <c r="C364" s="356"/>
      <c r="D364" s="330"/>
      <c r="E364" s="157"/>
      <c r="F364" s="12"/>
    </row>
    <row r="365">
      <c r="A365" s="225"/>
      <c r="B365" s="213"/>
      <c r="C365" s="356"/>
      <c r="D365" s="330"/>
      <c r="E365" s="157"/>
      <c r="F365" s="12"/>
    </row>
    <row r="366">
      <c r="A366" s="225"/>
      <c r="B366" s="213"/>
      <c r="C366" s="356"/>
      <c r="D366" s="330"/>
      <c r="E366" s="157"/>
      <c r="F366" s="12"/>
    </row>
    <row r="367">
      <c r="A367" s="225"/>
      <c r="B367" s="213"/>
      <c r="C367" s="356"/>
      <c r="D367" s="330"/>
      <c r="E367" s="157"/>
      <c r="F367" s="12"/>
    </row>
    <row r="368">
      <c r="A368" s="225"/>
      <c r="B368" s="213"/>
      <c r="C368" s="356"/>
      <c r="D368" s="330"/>
      <c r="E368" s="157"/>
      <c r="F368" s="12"/>
    </row>
    <row r="369">
      <c r="A369" s="225"/>
      <c r="B369" s="213"/>
      <c r="C369" s="356"/>
      <c r="D369" s="330"/>
      <c r="E369" s="157"/>
      <c r="F369" s="12"/>
    </row>
    <row r="370">
      <c r="A370" s="225"/>
      <c r="B370" s="213"/>
      <c r="C370" s="356"/>
      <c r="D370" s="330"/>
      <c r="E370" s="157"/>
      <c r="F370" s="12"/>
    </row>
    <row r="371">
      <c r="A371" s="225"/>
      <c r="B371" s="213"/>
      <c r="C371" s="356"/>
      <c r="D371" s="330"/>
      <c r="E371" s="157"/>
      <c r="F371" s="12"/>
    </row>
    <row r="372">
      <c r="A372" s="225"/>
      <c r="B372" s="213"/>
      <c r="C372" s="356"/>
      <c r="D372" s="330"/>
      <c r="E372" s="157"/>
      <c r="F372" s="12"/>
    </row>
    <row r="373">
      <c r="A373" s="225"/>
      <c r="B373" s="213"/>
      <c r="C373" s="356"/>
      <c r="D373" s="330"/>
      <c r="E373" s="157"/>
      <c r="F373" s="12"/>
    </row>
    <row r="374">
      <c r="A374" s="225"/>
      <c r="B374" s="213"/>
      <c r="C374" s="356"/>
      <c r="D374" s="330"/>
      <c r="E374" s="157"/>
      <c r="F374" s="12"/>
    </row>
    <row r="375">
      <c r="A375" s="225"/>
      <c r="B375" s="213"/>
      <c r="C375" s="356"/>
      <c r="D375" s="330"/>
      <c r="E375" s="157"/>
      <c r="F375" s="12"/>
    </row>
    <row r="376">
      <c r="A376" s="225"/>
      <c r="B376" s="213"/>
      <c r="C376" s="356"/>
      <c r="D376" s="330"/>
      <c r="E376" s="157"/>
      <c r="F376" s="12"/>
    </row>
    <row r="377">
      <c r="A377" s="225"/>
      <c r="B377" s="213"/>
      <c r="C377" s="356"/>
      <c r="D377" s="330"/>
      <c r="E377" s="157"/>
      <c r="F377" s="12"/>
    </row>
    <row r="378">
      <c r="A378" s="225"/>
      <c r="B378" s="213"/>
      <c r="C378" s="356"/>
      <c r="D378" s="330"/>
      <c r="E378" s="157"/>
      <c r="F378" s="12"/>
    </row>
    <row r="379">
      <c r="A379" s="225"/>
      <c r="B379" s="213"/>
      <c r="C379" s="356"/>
      <c r="D379" s="330"/>
      <c r="E379" s="157"/>
      <c r="F379" s="12"/>
    </row>
    <row r="380">
      <c r="A380" s="225"/>
      <c r="B380" s="213"/>
      <c r="C380" s="356"/>
      <c r="D380" s="330"/>
      <c r="E380" s="157"/>
      <c r="F380" s="12"/>
    </row>
    <row r="381">
      <c r="A381" s="225"/>
      <c r="B381" s="213"/>
      <c r="C381" s="356"/>
      <c r="D381" s="330"/>
      <c r="E381" s="157"/>
      <c r="F381" s="12"/>
    </row>
    <row r="382">
      <c r="A382" s="225"/>
      <c r="B382" s="213"/>
      <c r="C382" s="356"/>
      <c r="D382" s="330"/>
      <c r="E382" s="157"/>
      <c r="F382" s="12"/>
    </row>
    <row r="383">
      <c r="A383" s="225"/>
      <c r="B383" s="213"/>
      <c r="C383" s="356"/>
      <c r="D383" s="330"/>
      <c r="E383" s="157"/>
      <c r="F383" s="12"/>
    </row>
    <row r="384">
      <c r="A384" s="225"/>
      <c r="B384" s="213"/>
      <c r="C384" s="356"/>
      <c r="D384" s="330"/>
      <c r="E384" s="157"/>
      <c r="F384" s="12"/>
    </row>
    <row r="385">
      <c r="A385" s="225"/>
      <c r="B385" s="213"/>
      <c r="C385" s="356"/>
      <c r="D385" s="330"/>
      <c r="E385" s="157"/>
      <c r="F385" s="12"/>
    </row>
    <row r="386">
      <c r="A386" s="225"/>
      <c r="B386" s="213"/>
      <c r="C386" s="356"/>
      <c r="D386" s="330"/>
      <c r="E386" s="157"/>
      <c r="F386" s="12"/>
    </row>
    <row r="387">
      <c r="A387" s="225"/>
      <c r="B387" s="213"/>
      <c r="C387" s="356"/>
      <c r="D387" s="330"/>
      <c r="E387" s="157"/>
      <c r="F387" s="12"/>
    </row>
    <row r="388">
      <c r="A388" s="225"/>
      <c r="B388" s="213"/>
      <c r="C388" s="356"/>
      <c r="D388" s="330"/>
      <c r="E388" s="157"/>
      <c r="F388" s="12"/>
    </row>
    <row r="389">
      <c r="A389" s="225"/>
      <c r="B389" s="213"/>
      <c r="C389" s="356"/>
      <c r="D389" s="330"/>
      <c r="E389" s="157"/>
      <c r="F389" s="12"/>
    </row>
    <row r="390">
      <c r="A390" s="225"/>
      <c r="B390" s="213"/>
      <c r="C390" s="356"/>
      <c r="D390" s="330"/>
      <c r="E390" s="157"/>
      <c r="F390" s="12"/>
    </row>
    <row r="391">
      <c r="A391" s="225"/>
      <c r="B391" s="213"/>
      <c r="C391" s="356"/>
      <c r="D391" s="330"/>
      <c r="E391" s="157"/>
      <c r="F391" s="12"/>
    </row>
    <row r="392">
      <c r="A392" s="225"/>
      <c r="B392" s="213"/>
      <c r="C392" s="356"/>
      <c r="D392" s="330"/>
      <c r="E392" s="157"/>
      <c r="F392" s="12"/>
    </row>
    <row r="393">
      <c r="A393" s="225"/>
      <c r="B393" s="213"/>
      <c r="C393" s="356"/>
      <c r="D393" s="330"/>
      <c r="E393" s="157"/>
      <c r="F393" s="12"/>
    </row>
    <row r="394">
      <c r="A394" s="225"/>
      <c r="B394" s="213"/>
      <c r="C394" s="356"/>
      <c r="D394" s="330"/>
      <c r="E394" s="157"/>
      <c r="F394" s="12"/>
    </row>
    <row r="395">
      <c r="A395" s="225"/>
      <c r="B395" s="213"/>
      <c r="C395" s="356"/>
      <c r="D395" s="330"/>
      <c r="E395" s="157"/>
      <c r="F395" s="12"/>
    </row>
    <row r="396">
      <c r="A396" s="225"/>
      <c r="B396" s="213"/>
      <c r="C396" s="356"/>
      <c r="D396" s="330"/>
      <c r="E396" s="157"/>
      <c r="F396" s="12"/>
    </row>
    <row r="397">
      <c r="A397" s="225"/>
      <c r="B397" s="213"/>
      <c r="C397" s="356"/>
      <c r="D397" s="330"/>
      <c r="E397" s="157"/>
      <c r="F397" s="12"/>
    </row>
    <row r="398">
      <c r="A398" s="225"/>
      <c r="B398" s="213"/>
      <c r="C398" s="356"/>
      <c r="D398" s="330"/>
      <c r="E398" s="157"/>
      <c r="F398" s="12"/>
    </row>
    <row r="399">
      <c r="A399" s="225"/>
      <c r="B399" s="213"/>
      <c r="C399" s="356"/>
      <c r="D399" s="330"/>
      <c r="E399" s="157"/>
      <c r="F399" s="12"/>
    </row>
    <row r="400">
      <c r="A400" s="225"/>
      <c r="B400" s="213"/>
      <c r="C400" s="356"/>
      <c r="D400" s="330"/>
      <c r="E400" s="157"/>
      <c r="F400" s="12"/>
    </row>
    <row r="401">
      <c r="A401" s="225"/>
      <c r="B401" s="213"/>
      <c r="C401" s="356"/>
      <c r="D401" s="330"/>
      <c r="E401" s="157"/>
      <c r="F401" s="12"/>
    </row>
    <row r="402">
      <c r="A402" s="225"/>
      <c r="B402" s="213"/>
      <c r="C402" s="356"/>
      <c r="D402" s="330"/>
      <c r="E402" s="157"/>
      <c r="F402" s="12"/>
    </row>
    <row r="403">
      <c r="A403" s="225"/>
      <c r="B403" s="213"/>
      <c r="C403" s="356"/>
      <c r="D403" s="330"/>
      <c r="E403" s="157"/>
      <c r="F403" s="12"/>
    </row>
    <row r="404">
      <c r="A404" s="225"/>
      <c r="B404" s="213"/>
      <c r="C404" s="356"/>
      <c r="D404" s="330"/>
      <c r="E404" s="157"/>
      <c r="F404" s="12"/>
    </row>
    <row r="405">
      <c r="A405" s="225"/>
      <c r="B405" s="213"/>
      <c r="C405" s="356"/>
      <c r="D405" s="330"/>
      <c r="E405" s="157"/>
      <c r="F405" s="12"/>
    </row>
    <row r="406">
      <c r="A406" s="225"/>
      <c r="B406" s="213"/>
      <c r="C406" s="356"/>
      <c r="D406" s="330"/>
      <c r="E406" s="157"/>
      <c r="F406" s="12"/>
    </row>
    <row r="407">
      <c r="A407" s="225"/>
      <c r="B407" s="213"/>
      <c r="C407" s="356"/>
      <c r="D407" s="330"/>
      <c r="E407" s="157"/>
      <c r="F407" s="12"/>
    </row>
    <row r="408">
      <c r="A408" s="225"/>
      <c r="B408" s="213"/>
      <c r="C408" s="356"/>
      <c r="D408" s="330"/>
      <c r="E408" s="157"/>
      <c r="F408" s="12"/>
    </row>
    <row r="409">
      <c r="A409" s="225"/>
      <c r="B409" s="213"/>
      <c r="C409" s="356"/>
      <c r="D409" s="330"/>
      <c r="E409" s="157"/>
      <c r="F409" s="12"/>
    </row>
    <row r="410">
      <c r="A410" s="225"/>
      <c r="B410" s="213"/>
      <c r="C410" s="356"/>
      <c r="D410" s="330"/>
      <c r="E410" s="157"/>
      <c r="F410" s="12"/>
    </row>
    <row r="411">
      <c r="A411" s="225"/>
      <c r="B411" s="213"/>
      <c r="C411" s="356"/>
      <c r="D411" s="330"/>
      <c r="E411" s="157"/>
      <c r="F411" s="12"/>
    </row>
    <row r="412">
      <c r="A412" s="225"/>
      <c r="B412" s="213"/>
      <c r="C412" s="356"/>
      <c r="D412" s="330"/>
      <c r="E412" s="157"/>
      <c r="F412" s="12"/>
    </row>
    <row r="413">
      <c r="A413" s="225"/>
      <c r="B413" s="213"/>
      <c r="C413" s="356"/>
      <c r="D413" s="330"/>
      <c r="E413" s="157"/>
      <c r="F413" s="12"/>
    </row>
    <row r="414">
      <c r="A414" s="225"/>
      <c r="B414" s="213"/>
      <c r="C414" s="356"/>
      <c r="D414" s="330"/>
      <c r="E414" s="157"/>
      <c r="F414" s="12"/>
    </row>
    <row r="415">
      <c r="A415" s="225"/>
      <c r="B415" s="213"/>
      <c r="C415" s="356"/>
      <c r="D415" s="330"/>
      <c r="E415" s="157"/>
      <c r="F415" s="12"/>
    </row>
    <row r="416">
      <c r="A416" s="225"/>
      <c r="B416" s="213"/>
      <c r="C416" s="356"/>
      <c r="D416" s="330"/>
      <c r="E416" s="157"/>
      <c r="F416" s="12"/>
    </row>
    <row r="417">
      <c r="A417" s="225"/>
      <c r="B417" s="213"/>
      <c r="C417" s="356"/>
      <c r="D417" s="330"/>
      <c r="E417" s="157"/>
      <c r="F417" s="12"/>
    </row>
    <row r="418">
      <c r="A418" s="225"/>
      <c r="B418" s="213"/>
      <c r="C418" s="356"/>
      <c r="D418" s="330"/>
      <c r="E418" s="157"/>
      <c r="F418" s="12"/>
    </row>
    <row r="419">
      <c r="A419" s="225"/>
      <c r="B419" s="213"/>
      <c r="C419" s="356"/>
      <c r="D419" s="330"/>
      <c r="E419" s="157"/>
      <c r="F419" s="12"/>
    </row>
    <row r="420">
      <c r="A420" s="225"/>
      <c r="B420" s="213"/>
      <c r="C420" s="356"/>
      <c r="D420" s="330"/>
      <c r="E420" s="157"/>
      <c r="F420" s="12"/>
    </row>
    <row r="421">
      <c r="A421" s="225"/>
      <c r="B421" s="213"/>
      <c r="C421" s="356"/>
      <c r="D421" s="330"/>
      <c r="E421" s="157"/>
      <c r="F421" s="12"/>
    </row>
    <row r="422">
      <c r="A422" s="225"/>
      <c r="B422" s="213"/>
      <c r="C422" s="356"/>
      <c r="D422" s="330"/>
      <c r="E422" s="157"/>
      <c r="F422" s="12"/>
    </row>
    <row r="423">
      <c r="A423" s="225"/>
      <c r="B423" s="213"/>
      <c r="C423" s="356"/>
      <c r="D423" s="330"/>
      <c r="E423" s="157"/>
      <c r="F423" s="12"/>
    </row>
    <row r="424">
      <c r="A424" s="225"/>
      <c r="B424" s="213"/>
      <c r="C424" s="356"/>
      <c r="D424" s="330"/>
      <c r="E424" s="157"/>
      <c r="F424" s="12"/>
    </row>
    <row r="425">
      <c r="A425" s="225"/>
      <c r="B425" s="213"/>
      <c r="C425" s="356"/>
      <c r="D425" s="330"/>
      <c r="E425" s="157"/>
      <c r="F425" s="12"/>
    </row>
    <row r="426">
      <c r="A426" s="225"/>
      <c r="B426" s="213"/>
      <c r="C426" s="356"/>
      <c r="D426" s="330"/>
      <c r="E426" s="157"/>
      <c r="F426" s="12"/>
    </row>
    <row r="427">
      <c r="A427" s="225"/>
      <c r="B427" s="213"/>
      <c r="C427" s="356"/>
      <c r="D427" s="330"/>
      <c r="E427" s="157"/>
      <c r="F427" s="12"/>
    </row>
    <row r="428">
      <c r="A428" s="225"/>
      <c r="B428" s="213"/>
      <c r="C428" s="356"/>
      <c r="D428" s="330"/>
      <c r="E428" s="157"/>
      <c r="F428" s="12"/>
    </row>
    <row r="429">
      <c r="A429" s="225"/>
      <c r="B429" s="213"/>
      <c r="C429" s="356"/>
      <c r="D429" s="330"/>
      <c r="E429" s="157"/>
      <c r="F429" s="12"/>
    </row>
    <row r="430">
      <c r="A430" s="225"/>
      <c r="B430" s="213"/>
      <c r="C430" s="356"/>
      <c r="D430" s="330"/>
      <c r="E430" s="157"/>
      <c r="F430" s="12"/>
    </row>
    <row r="431">
      <c r="A431" s="225"/>
      <c r="B431" s="213"/>
      <c r="C431" s="356"/>
      <c r="D431" s="330"/>
      <c r="E431" s="157"/>
      <c r="F431" s="12"/>
    </row>
    <row r="432">
      <c r="A432" s="225"/>
      <c r="B432" s="213"/>
      <c r="C432" s="356"/>
      <c r="D432" s="330"/>
      <c r="E432" s="157"/>
      <c r="F432" s="12"/>
    </row>
    <row r="433">
      <c r="A433" s="225"/>
      <c r="B433" s="213"/>
      <c r="C433" s="356"/>
      <c r="D433" s="330"/>
      <c r="E433" s="157"/>
      <c r="F433" s="12"/>
    </row>
    <row r="434">
      <c r="A434" s="225"/>
      <c r="B434" s="213"/>
      <c r="C434" s="356"/>
      <c r="D434" s="330"/>
      <c r="E434" s="157"/>
      <c r="F434" s="12"/>
    </row>
    <row r="435">
      <c r="A435" s="225"/>
      <c r="B435" s="213"/>
      <c r="C435" s="356"/>
      <c r="D435" s="330"/>
      <c r="E435" s="157"/>
      <c r="F435" s="12"/>
    </row>
    <row r="436">
      <c r="A436" s="225"/>
      <c r="B436" s="213"/>
      <c r="C436" s="356"/>
      <c r="D436" s="330"/>
      <c r="E436" s="157"/>
      <c r="F436" s="12"/>
    </row>
    <row r="437">
      <c r="A437" s="225"/>
      <c r="B437" s="213"/>
      <c r="C437" s="356"/>
      <c r="D437" s="330"/>
      <c r="E437" s="157"/>
      <c r="F437" s="12"/>
    </row>
    <row r="438">
      <c r="A438" s="225"/>
      <c r="B438" s="213"/>
      <c r="C438" s="356"/>
      <c r="D438" s="330"/>
      <c r="E438" s="157"/>
      <c r="F438" s="12"/>
    </row>
    <row r="439">
      <c r="A439" s="225"/>
      <c r="B439" s="213"/>
      <c r="C439" s="356"/>
      <c r="D439" s="330"/>
      <c r="E439" s="157"/>
      <c r="F439" s="12"/>
    </row>
    <row r="440">
      <c r="A440" s="225"/>
      <c r="B440" s="213"/>
      <c r="C440" s="356"/>
      <c r="D440" s="330"/>
      <c r="E440" s="157"/>
      <c r="F440" s="12"/>
    </row>
    <row r="441">
      <c r="A441" s="225"/>
      <c r="B441" s="213"/>
      <c r="C441" s="356"/>
      <c r="D441" s="330"/>
      <c r="E441" s="157"/>
      <c r="F441" s="12"/>
    </row>
    <row r="442">
      <c r="A442" s="225"/>
      <c r="B442" s="213"/>
      <c r="C442" s="356"/>
      <c r="D442" s="330"/>
      <c r="E442" s="157"/>
      <c r="F442" s="12"/>
    </row>
    <row r="443">
      <c r="A443" s="225"/>
      <c r="B443" s="213"/>
      <c r="C443" s="356"/>
      <c r="D443" s="330"/>
      <c r="E443" s="157"/>
      <c r="F443" s="12"/>
    </row>
    <row r="444">
      <c r="A444" s="225"/>
      <c r="B444" s="213"/>
      <c r="C444" s="356"/>
      <c r="D444" s="330"/>
      <c r="E444" s="157"/>
      <c r="F444" s="12"/>
    </row>
    <row r="445">
      <c r="A445" s="225"/>
      <c r="B445" s="213"/>
      <c r="C445" s="356"/>
      <c r="D445" s="330"/>
      <c r="E445" s="157"/>
      <c r="F445" s="12"/>
    </row>
    <row r="446">
      <c r="A446" s="225"/>
      <c r="B446" s="213"/>
      <c r="C446" s="356"/>
      <c r="D446" s="330"/>
      <c r="E446" s="157"/>
      <c r="F446" s="12"/>
    </row>
    <row r="447">
      <c r="A447" s="225"/>
      <c r="B447" s="213"/>
      <c r="C447" s="356"/>
      <c r="D447" s="330"/>
      <c r="E447" s="157"/>
      <c r="F447" s="12"/>
    </row>
    <row r="448">
      <c r="A448" s="225"/>
      <c r="B448" s="213"/>
      <c r="C448" s="356"/>
      <c r="D448" s="330"/>
      <c r="E448" s="157"/>
      <c r="F448" s="12"/>
    </row>
    <row r="449">
      <c r="A449" s="225"/>
      <c r="B449" s="213"/>
      <c r="C449" s="356"/>
      <c r="D449" s="330"/>
      <c r="E449" s="157"/>
      <c r="F449" s="12"/>
    </row>
    <row r="450">
      <c r="A450" s="225"/>
      <c r="B450" s="213"/>
      <c r="C450" s="356"/>
      <c r="D450" s="330"/>
      <c r="E450" s="157"/>
      <c r="F450" s="12"/>
    </row>
    <row r="451">
      <c r="A451" s="225"/>
      <c r="B451" s="213"/>
      <c r="C451" s="356"/>
      <c r="D451" s="330"/>
      <c r="E451" s="157"/>
      <c r="F451" s="12"/>
    </row>
    <row r="452">
      <c r="A452" s="225"/>
      <c r="B452" s="213"/>
      <c r="C452" s="356"/>
      <c r="D452" s="330"/>
      <c r="E452" s="157"/>
      <c r="F452" s="12"/>
    </row>
    <row r="453">
      <c r="A453" s="225"/>
      <c r="B453" s="213"/>
      <c r="C453" s="356"/>
      <c r="D453" s="330"/>
      <c r="E453" s="157"/>
      <c r="F453" s="12"/>
    </row>
    <row r="454">
      <c r="A454" s="225"/>
      <c r="B454" s="213"/>
      <c r="C454" s="356"/>
      <c r="D454" s="330"/>
      <c r="E454" s="157"/>
      <c r="F454" s="12"/>
    </row>
    <row r="455">
      <c r="A455" s="225"/>
      <c r="B455" s="213"/>
      <c r="C455" s="356"/>
      <c r="D455" s="330"/>
      <c r="E455" s="157"/>
      <c r="F455" s="12"/>
    </row>
    <row r="456">
      <c r="A456" s="225"/>
      <c r="B456" s="213"/>
      <c r="C456" s="356"/>
      <c r="D456" s="330"/>
      <c r="E456" s="157"/>
      <c r="F456" s="12"/>
    </row>
    <row r="457">
      <c r="A457" s="225"/>
      <c r="B457" s="213"/>
      <c r="C457" s="356"/>
      <c r="D457" s="330"/>
      <c r="E457" s="157"/>
      <c r="F457" s="12"/>
    </row>
    <row r="458">
      <c r="A458" s="225"/>
      <c r="B458" s="213"/>
      <c r="C458" s="356"/>
      <c r="D458" s="330"/>
      <c r="E458" s="157"/>
      <c r="F458" s="12"/>
    </row>
    <row r="459">
      <c r="A459" s="225"/>
      <c r="B459" s="213"/>
      <c r="C459" s="356"/>
      <c r="D459" s="330"/>
      <c r="E459" s="157"/>
      <c r="F459" s="12"/>
    </row>
    <row r="460">
      <c r="A460" s="225"/>
      <c r="B460" s="213"/>
      <c r="C460" s="356"/>
      <c r="D460" s="330"/>
      <c r="E460" s="157"/>
      <c r="F460" s="12"/>
    </row>
    <row r="461">
      <c r="A461" s="225"/>
      <c r="B461" s="213"/>
      <c r="C461" s="356"/>
      <c r="D461" s="330"/>
      <c r="E461" s="157"/>
      <c r="F461" s="12"/>
    </row>
    <row r="462">
      <c r="A462" s="225"/>
      <c r="B462" s="213"/>
      <c r="C462" s="356"/>
      <c r="D462" s="330"/>
      <c r="E462" s="157"/>
      <c r="F462" s="12"/>
    </row>
    <row r="463">
      <c r="A463" s="225"/>
      <c r="B463" s="213"/>
      <c r="C463" s="356"/>
      <c r="D463" s="330"/>
      <c r="E463" s="157"/>
      <c r="F463" s="12"/>
    </row>
    <row r="464">
      <c r="A464" s="225"/>
      <c r="B464" s="213"/>
      <c r="C464" s="356"/>
      <c r="D464" s="330"/>
      <c r="E464" s="157"/>
      <c r="F464" s="12"/>
    </row>
    <row r="465">
      <c r="A465" s="225"/>
      <c r="B465" s="213"/>
      <c r="C465" s="356"/>
      <c r="D465" s="330"/>
      <c r="E465" s="157"/>
      <c r="F465" s="12"/>
    </row>
    <row r="466">
      <c r="A466" s="225"/>
      <c r="B466" s="213"/>
      <c r="C466" s="356"/>
      <c r="D466" s="330"/>
      <c r="E466" s="157"/>
      <c r="F466" s="12"/>
    </row>
    <row r="467">
      <c r="A467" s="225"/>
      <c r="B467" s="213"/>
      <c r="C467" s="356"/>
      <c r="D467" s="330"/>
      <c r="E467" s="157"/>
      <c r="F467" s="12"/>
    </row>
    <row r="468">
      <c r="A468" s="225"/>
      <c r="B468" s="213"/>
      <c r="C468" s="356"/>
      <c r="D468" s="330"/>
      <c r="E468" s="157"/>
      <c r="F468" s="12"/>
    </row>
    <row r="469">
      <c r="A469" s="225"/>
      <c r="B469" s="213"/>
      <c r="C469" s="356"/>
      <c r="D469" s="330"/>
      <c r="E469" s="157"/>
      <c r="F469" s="12"/>
    </row>
    <row r="470">
      <c r="A470" s="225"/>
      <c r="B470" s="213"/>
      <c r="C470" s="356"/>
      <c r="D470" s="330"/>
      <c r="E470" s="157"/>
      <c r="F470" s="12"/>
    </row>
    <row r="471">
      <c r="A471" s="225"/>
      <c r="B471" s="213"/>
      <c r="C471" s="356"/>
      <c r="D471" s="330"/>
      <c r="E471" s="157"/>
      <c r="F471" s="12"/>
    </row>
    <row r="472">
      <c r="A472" s="225"/>
      <c r="B472" s="213"/>
      <c r="C472" s="356"/>
      <c r="D472" s="330"/>
      <c r="E472" s="157"/>
      <c r="F472" s="12"/>
    </row>
    <row r="473">
      <c r="A473" s="225"/>
      <c r="B473" s="213"/>
      <c r="C473" s="356"/>
      <c r="D473" s="330"/>
      <c r="E473" s="157"/>
      <c r="F473" s="12"/>
    </row>
    <row r="474">
      <c r="A474" s="225"/>
      <c r="B474" s="213"/>
      <c r="C474" s="356"/>
      <c r="D474" s="330"/>
      <c r="E474" s="157"/>
      <c r="F474" s="12"/>
    </row>
    <row r="475">
      <c r="A475" s="225"/>
      <c r="B475" s="213"/>
      <c r="C475" s="356"/>
      <c r="D475" s="330"/>
      <c r="E475" s="157"/>
      <c r="F475" s="12"/>
    </row>
    <row r="476">
      <c r="A476" s="225"/>
      <c r="B476" s="213"/>
      <c r="C476" s="356"/>
      <c r="D476" s="330"/>
      <c r="E476" s="157"/>
      <c r="F476" s="12"/>
    </row>
    <row r="477">
      <c r="A477" s="225"/>
      <c r="B477" s="213"/>
      <c r="C477" s="356"/>
      <c r="D477" s="330"/>
      <c r="E477" s="157"/>
      <c r="F477" s="12"/>
    </row>
    <row r="478">
      <c r="A478" s="225"/>
      <c r="B478" s="213"/>
      <c r="C478" s="356"/>
      <c r="D478" s="330"/>
      <c r="E478" s="157"/>
      <c r="F478" s="12"/>
    </row>
    <row r="479">
      <c r="A479" s="225"/>
      <c r="B479" s="213"/>
      <c r="C479" s="356"/>
      <c r="D479" s="330"/>
      <c r="E479" s="157"/>
      <c r="F479" s="12"/>
    </row>
    <row r="480">
      <c r="A480" s="225"/>
      <c r="B480" s="213"/>
      <c r="C480" s="356"/>
      <c r="D480" s="330"/>
      <c r="E480" s="157"/>
      <c r="F480" s="12"/>
    </row>
    <row r="481">
      <c r="A481" s="225"/>
      <c r="B481" s="213"/>
      <c r="C481" s="356"/>
      <c r="D481" s="330"/>
      <c r="E481" s="157"/>
      <c r="F481" s="12"/>
    </row>
    <row r="482">
      <c r="A482" s="225"/>
      <c r="B482" s="213"/>
      <c r="C482" s="356"/>
      <c r="D482" s="330"/>
      <c r="E482" s="157"/>
      <c r="F482" s="12"/>
    </row>
    <row r="483">
      <c r="A483" s="225"/>
      <c r="B483" s="213"/>
      <c r="C483" s="356"/>
      <c r="D483" s="330"/>
      <c r="E483" s="157"/>
      <c r="F483" s="12"/>
    </row>
    <row r="484">
      <c r="A484" s="225"/>
      <c r="B484" s="213"/>
      <c r="C484" s="356"/>
      <c r="D484" s="330"/>
      <c r="E484" s="157"/>
      <c r="F484" s="12"/>
    </row>
    <row r="485">
      <c r="A485" s="225"/>
      <c r="B485" s="213"/>
      <c r="C485" s="356"/>
      <c r="D485" s="330"/>
      <c r="E485" s="157"/>
      <c r="F485" s="12"/>
    </row>
    <row r="486">
      <c r="A486" s="225"/>
      <c r="B486" s="213"/>
      <c r="C486" s="356"/>
      <c r="D486" s="330"/>
      <c r="E486" s="157"/>
      <c r="F486" s="12"/>
    </row>
    <row r="487">
      <c r="A487" s="225"/>
      <c r="B487" s="213"/>
      <c r="C487" s="356"/>
      <c r="D487" s="330"/>
      <c r="E487" s="157"/>
      <c r="F487" s="12"/>
    </row>
    <row r="488">
      <c r="A488" s="225"/>
      <c r="B488" s="213"/>
      <c r="C488" s="356"/>
      <c r="D488" s="330"/>
      <c r="E488" s="157"/>
      <c r="F488" s="12"/>
    </row>
    <row r="489">
      <c r="A489" s="225"/>
      <c r="B489" s="213"/>
      <c r="C489" s="356"/>
      <c r="D489" s="330"/>
      <c r="E489" s="157"/>
      <c r="F489" s="12"/>
    </row>
    <row r="490">
      <c r="A490" s="225"/>
      <c r="B490" s="213"/>
      <c r="C490" s="356"/>
      <c r="D490" s="330"/>
      <c r="E490" s="157"/>
      <c r="F490" s="12"/>
    </row>
    <row r="491">
      <c r="A491" s="225"/>
      <c r="B491" s="213"/>
      <c r="C491" s="356"/>
      <c r="D491" s="330"/>
      <c r="E491" s="157"/>
      <c r="F491" s="12"/>
    </row>
    <row r="492">
      <c r="A492" s="225"/>
      <c r="B492" s="213"/>
      <c r="C492" s="356"/>
      <c r="D492" s="330"/>
      <c r="E492" s="157"/>
      <c r="F492" s="12"/>
    </row>
    <row r="493">
      <c r="A493" s="225"/>
      <c r="B493" s="213"/>
      <c r="C493" s="356"/>
      <c r="D493" s="330"/>
      <c r="E493" s="157"/>
      <c r="F493" s="12"/>
    </row>
    <row r="494">
      <c r="A494" s="225"/>
      <c r="B494" s="213"/>
      <c r="C494" s="356"/>
      <c r="D494" s="330"/>
      <c r="E494" s="157"/>
      <c r="F494" s="12"/>
    </row>
    <row r="495">
      <c r="A495" s="225"/>
      <c r="B495" s="213"/>
      <c r="C495" s="356"/>
      <c r="D495" s="330"/>
      <c r="E495" s="157"/>
      <c r="F495" s="12"/>
    </row>
    <row r="496">
      <c r="A496" s="225"/>
      <c r="B496" s="213"/>
      <c r="C496" s="356"/>
      <c r="D496" s="330"/>
      <c r="E496" s="157"/>
      <c r="F496" s="12"/>
    </row>
    <row r="497">
      <c r="A497" s="225"/>
      <c r="B497" s="213"/>
      <c r="C497" s="356"/>
      <c r="D497" s="330"/>
      <c r="E497" s="157"/>
      <c r="F497" s="12"/>
    </row>
    <row r="498">
      <c r="A498" s="225"/>
      <c r="B498" s="213"/>
      <c r="C498" s="356"/>
      <c r="D498" s="330"/>
      <c r="E498" s="157"/>
      <c r="F498" s="12"/>
    </row>
    <row r="499">
      <c r="A499" s="225"/>
      <c r="B499" s="213"/>
      <c r="C499" s="356"/>
      <c r="D499" s="330"/>
      <c r="E499" s="157"/>
      <c r="F499" s="12"/>
    </row>
    <row r="500">
      <c r="A500" s="225"/>
      <c r="B500" s="213"/>
      <c r="C500" s="356"/>
      <c r="D500" s="330"/>
      <c r="E500" s="157"/>
      <c r="F500" s="12"/>
    </row>
    <row r="501">
      <c r="A501" s="225"/>
      <c r="B501" s="213"/>
      <c r="C501" s="356"/>
      <c r="D501" s="330"/>
      <c r="E501" s="157"/>
      <c r="F501" s="12"/>
    </row>
    <row r="502">
      <c r="A502" s="225"/>
      <c r="B502" s="213"/>
      <c r="C502" s="356"/>
      <c r="D502" s="330"/>
      <c r="E502" s="157"/>
      <c r="F502" s="12"/>
    </row>
    <row r="503">
      <c r="A503" s="225"/>
      <c r="B503" s="213"/>
      <c r="C503" s="356"/>
      <c r="D503" s="330"/>
      <c r="E503" s="157"/>
      <c r="F503" s="12"/>
    </row>
    <row r="504">
      <c r="A504" s="225"/>
      <c r="B504" s="213"/>
      <c r="C504" s="356"/>
      <c r="D504" s="330"/>
      <c r="E504" s="157"/>
      <c r="F504" s="12"/>
    </row>
    <row r="505">
      <c r="A505" s="225"/>
      <c r="B505" s="213"/>
      <c r="C505" s="356"/>
      <c r="D505" s="330"/>
      <c r="E505" s="157"/>
      <c r="F505" s="12"/>
    </row>
    <row r="506">
      <c r="A506" s="225"/>
      <c r="B506" s="213"/>
      <c r="C506" s="356"/>
      <c r="D506" s="330"/>
      <c r="E506" s="157"/>
      <c r="F506" s="12"/>
    </row>
    <row r="507">
      <c r="A507" s="225"/>
      <c r="B507" s="213"/>
      <c r="C507" s="356"/>
      <c r="D507" s="330"/>
      <c r="E507" s="157"/>
      <c r="F507" s="12"/>
    </row>
    <row r="508">
      <c r="A508" s="225"/>
      <c r="B508" s="213"/>
      <c r="C508" s="356"/>
      <c r="D508" s="330"/>
      <c r="E508" s="157"/>
      <c r="F508" s="12"/>
    </row>
    <row r="509">
      <c r="A509" s="225"/>
      <c r="B509" s="213"/>
      <c r="C509" s="356"/>
      <c r="D509" s="330"/>
      <c r="E509" s="157"/>
      <c r="F509" s="12"/>
    </row>
    <row r="510">
      <c r="A510" s="225"/>
      <c r="B510" s="213"/>
      <c r="C510" s="356"/>
      <c r="D510" s="330"/>
      <c r="E510" s="157"/>
      <c r="F510" s="12"/>
    </row>
    <row r="511">
      <c r="A511" s="225"/>
      <c r="B511" s="213"/>
      <c r="C511" s="356"/>
      <c r="D511" s="330"/>
      <c r="E511" s="157"/>
      <c r="F511" s="12"/>
    </row>
    <row r="512">
      <c r="A512" s="225"/>
      <c r="B512" s="213"/>
      <c r="C512" s="356"/>
      <c r="D512" s="330"/>
      <c r="E512" s="157"/>
      <c r="F512" s="12"/>
    </row>
    <row r="513">
      <c r="A513" s="225"/>
      <c r="B513" s="213"/>
      <c r="C513" s="356"/>
      <c r="D513" s="330"/>
      <c r="E513" s="157"/>
      <c r="F513" s="12"/>
    </row>
    <row r="514">
      <c r="A514" s="225"/>
      <c r="B514" s="213"/>
      <c r="C514" s="356"/>
      <c r="D514" s="330"/>
      <c r="E514" s="157"/>
      <c r="F514" s="12"/>
    </row>
    <row r="515">
      <c r="A515" s="225"/>
      <c r="B515" s="213"/>
      <c r="C515" s="356"/>
      <c r="D515" s="330"/>
      <c r="E515" s="157"/>
      <c r="F515" s="12"/>
    </row>
    <row r="516">
      <c r="A516" s="225"/>
      <c r="B516" s="213"/>
      <c r="C516" s="356"/>
      <c r="D516" s="330"/>
      <c r="E516" s="157"/>
      <c r="F516" s="12"/>
    </row>
    <row r="517">
      <c r="A517" s="225"/>
      <c r="B517" s="213"/>
      <c r="C517" s="356"/>
      <c r="D517" s="330"/>
      <c r="E517" s="157"/>
      <c r="F517" s="12"/>
    </row>
    <row r="518">
      <c r="A518" s="225"/>
      <c r="B518" s="213"/>
      <c r="C518" s="356"/>
      <c r="D518" s="330"/>
      <c r="E518" s="157"/>
      <c r="F518" s="12"/>
    </row>
    <row r="519">
      <c r="A519" s="225"/>
      <c r="B519" s="213"/>
      <c r="C519" s="356"/>
      <c r="D519" s="330"/>
      <c r="E519" s="157"/>
      <c r="F519" s="12"/>
    </row>
    <row r="520">
      <c r="A520" s="225"/>
      <c r="B520" s="213"/>
      <c r="C520" s="356"/>
      <c r="D520" s="330"/>
      <c r="E520" s="157"/>
      <c r="F520" s="12"/>
    </row>
    <row r="521">
      <c r="A521" s="225"/>
      <c r="B521" s="213"/>
      <c r="C521" s="356"/>
      <c r="D521" s="330"/>
      <c r="E521" s="157"/>
      <c r="F521" s="12"/>
    </row>
    <row r="522">
      <c r="A522" s="225"/>
      <c r="B522" s="213"/>
      <c r="C522" s="356"/>
      <c r="D522" s="330"/>
      <c r="E522" s="157"/>
      <c r="F522" s="12"/>
    </row>
    <row r="523">
      <c r="A523" s="225"/>
      <c r="B523" s="213"/>
      <c r="C523" s="356"/>
      <c r="D523" s="330"/>
      <c r="E523" s="157"/>
      <c r="F523" s="12"/>
    </row>
    <row r="524">
      <c r="A524" s="225"/>
      <c r="B524" s="213"/>
      <c r="C524" s="356"/>
      <c r="D524" s="330"/>
      <c r="E524" s="157"/>
      <c r="F524" s="12"/>
    </row>
    <row r="525">
      <c r="A525" s="225"/>
      <c r="B525" s="213"/>
      <c r="C525" s="356"/>
      <c r="D525" s="330"/>
      <c r="E525" s="157"/>
      <c r="F525" s="12"/>
    </row>
    <row r="526">
      <c r="A526" s="225"/>
      <c r="B526" s="213"/>
      <c r="C526" s="356"/>
      <c r="D526" s="330"/>
      <c r="E526" s="157"/>
      <c r="F526" s="12"/>
    </row>
    <row r="527">
      <c r="A527" s="225"/>
      <c r="B527" s="213"/>
      <c r="C527" s="356"/>
      <c r="D527" s="330"/>
      <c r="E527" s="157"/>
      <c r="F527" s="12"/>
    </row>
    <row r="528">
      <c r="A528" s="225"/>
      <c r="B528" s="213"/>
      <c r="C528" s="356"/>
      <c r="D528" s="330"/>
      <c r="E528" s="157"/>
      <c r="F528" s="12"/>
    </row>
    <row r="529">
      <c r="A529" s="225"/>
      <c r="B529" s="213"/>
      <c r="C529" s="356"/>
      <c r="D529" s="330"/>
      <c r="E529" s="157"/>
      <c r="F529" s="12"/>
    </row>
    <row r="530">
      <c r="A530" s="225"/>
      <c r="B530" s="213"/>
      <c r="C530" s="356"/>
      <c r="D530" s="330"/>
      <c r="E530" s="157"/>
      <c r="F530" s="12"/>
    </row>
    <row r="531">
      <c r="A531" s="225"/>
      <c r="B531" s="213"/>
      <c r="C531" s="356"/>
      <c r="D531" s="330"/>
      <c r="E531" s="157"/>
      <c r="F531" s="12"/>
    </row>
    <row r="532">
      <c r="A532" s="225"/>
      <c r="B532" s="213"/>
      <c r="C532" s="356"/>
      <c r="D532" s="330"/>
      <c r="E532" s="157"/>
      <c r="F532" s="12"/>
    </row>
    <row r="533">
      <c r="A533" s="225"/>
      <c r="B533" s="213"/>
      <c r="C533" s="356"/>
      <c r="D533" s="330"/>
      <c r="E533" s="157"/>
      <c r="F533" s="12"/>
    </row>
    <row r="534">
      <c r="A534" s="225"/>
      <c r="B534" s="213"/>
      <c r="C534" s="356"/>
      <c r="D534" s="330"/>
      <c r="E534" s="157"/>
      <c r="F534" s="12"/>
    </row>
    <row r="535">
      <c r="A535" s="225"/>
      <c r="B535" s="213"/>
      <c r="C535" s="356"/>
      <c r="D535" s="330"/>
      <c r="E535" s="157"/>
      <c r="F535" s="12"/>
    </row>
    <row r="536">
      <c r="A536" s="225"/>
      <c r="B536" s="213"/>
      <c r="C536" s="356"/>
      <c r="D536" s="330"/>
      <c r="E536" s="157"/>
      <c r="F536" s="12"/>
    </row>
    <row r="537">
      <c r="A537" s="225"/>
      <c r="B537" s="213"/>
      <c r="C537" s="356"/>
      <c r="D537" s="330"/>
      <c r="E537" s="157"/>
      <c r="F537" s="12"/>
    </row>
    <row r="538">
      <c r="A538" s="225"/>
      <c r="B538" s="213"/>
      <c r="C538" s="356"/>
      <c r="D538" s="330"/>
      <c r="E538" s="157"/>
      <c r="F538" s="12"/>
    </row>
    <row r="539">
      <c r="A539" s="225"/>
      <c r="B539" s="213"/>
      <c r="C539" s="356"/>
      <c r="D539" s="330"/>
      <c r="E539" s="157"/>
      <c r="F539" s="12"/>
    </row>
    <row r="540">
      <c r="A540" s="225"/>
      <c r="B540" s="213"/>
      <c r="C540" s="356"/>
      <c r="D540" s="330"/>
      <c r="E540" s="157"/>
      <c r="F540" s="12"/>
    </row>
    <row r="541">
      <c r="A541" s="225"/>
      <c r="B541" s="213"/>
      <c r="C541" s="356"/>
      <c r="D541" s="330"/>
      <c r="E541" s="157"/>
      <c r="F541" s="12"/>
    </row>
    <row r="542">
      <c r="A542" s="225"/>
      <c r="B542" s="213"/>
      <c r="C542" s="356"/>
      <c r="D542" s="330"/>
      <c r="E542" s="157"/>
      <c r="F542" s="12"/>
    </row>
    <row r="543">
      <c r="A543" s="225"/>
      <c r="B543" s="213"/>
      <c r="C543" s="356"/>
      <c r="D543" s="330"/>
      <c r="E543" s="157"/>
      <c r="F543" s="12"/>
    </row>
    <row r="544">
      <c r="A544" s="225"/>
      <c r="B544" s="213"/>
      <c r="C544" s="356"/>
      <c r="D544" s="330"/>
      <c r="E544" s="157"/>
      <c r="F544" s="12"/>
    </row>
    <row r="545">
      <c r="A545" s="225"/>
      <c r="B545" s="213"/>
      <c r="C545" s="356"/>
      <c r="D545" s="330"/>
      <c r="E545" s="157"/>
      <c r="F545" s="12"/>
    </row>
    <row r="546">
      <c r="A546" s="225"/>
      <c r="B546" s="213"/>
      <c r="C546" s="356"/>
      <c r="D546" s="330"/>
      <c r="E546" s="157"/>
      <c r="F546" s="12"/>
    </row>
    <row r="547">
      <c r="A547" s="225"/>
      <c r="B547" s="213"/>
      <c r="C547" s="356"/>
      <c r="D547" s="330"/>
      <c r="E547" s="157"/>
      <c r="F547" s="12"/>
    </row>
    <row r="548">
      <c r="A548" s="225"/>
      <c r="B548" s="213"/>
      <c r="C548" s="356"/>
      <c r="D548" s="330"/>
      <c r="E548" s="157"/>
      <c r="F548" s="12"/>
    </row>
    <row r="549">
      <c r="A549" s="225"/>
      <c r="B549" s="213"/>
      <c r="C549" s="356"/>
      <c r="D549" s="330"/>
      <c r="E549" s="157"/>
      <c r="F549" s="12"/>
    </row>
    <row r="550">
      <c r="A550" s="225"/>
      <c r="B550" s="213"/>
      <c r="C550" s="356"/>
      <c r="D550" s="330"/>
      <c r="E550" s="157"/>
      <c r="F550" s="12"/>
    </row>
    <row r="551">
      <c r="A551" s="225"/>
      <c r="B551" s="213"/>
      <c r="C551" s="356"/>
      <c r="D551" s="330"/>
      <c r="E551" s="157"/>
      <c r="F551" s="12"/>
    </row>
    <row r="552">
      <c r="A552" s="225"/>
      <c r="B552" s="213"/>
      <c r="C552" s="356"/>
      <c r="D552" s="330"/>
      <c r="E552" s="157"/>
      <c r="F552" s="12"/>
    </row>
    <row r="553">
      <c r="A553" s="225"/>
      <c r="B553" s="213"/>
      <c r="C553" s="356"/>
      <c r="D553" s="330"/>
      <c r="E553" s="157"/>
      <c r="F553" s="12"/>
    </row>
    <row r="554">
      <c r="A554" s="225"/>
      <c r="B554" s="213"/>
      <c r="C554" s="356"/>
      <c r="D554" s="330"/>
      <c r="E554" s="157"/>
      <c r="F554" s="12"/>
    </row>
    <row r="555">
      <c r="A555" s="225"/>
      <c r="B555" s="213"/>
      <c r="C555" s="356"/>
      <c r="D555" s="330"/>
      <c r="E555" s="157"/>
      <c r="F555" s="12"/>
    </row>
    <row r="556">
      <c r="A556" s="225"/>
      <c r="B556" s="213"/>
      <c r="C556" s="356"/>
      <c r="D556" s="330"/>
      <c r="E556" s="157"/>
      <c r="F556" s="12"/>
    </row>
    <row r="557">
      <c r="A557" s="225"/>
      <c r="B557" s="213"/>
      <c r="C557" s="356"/>
      <c r="D557" s="330"/>
      <c r="E557" s="157"/>
      <c r="F557" s="12"/>
    </row>
    <row r="558">
      <c r="A558" s="225"/>
      <c r="B558" s="213"/>
      <c r="C558" s="356"/>
      <c r="D558" s="330"/>
      <c r="E558" s="157"/>
      <c r="F558" s="12"/>
    </row>
    <row r="559">
      <c r="A559" s="225"/>
      <c r="B559" s="213"/>
      <c r="C559" s="356"/>
      <c r="D559" s="330"/>
      <c r="E559" s="157"/>
      <c r="F559" s="12"/>
    </row>
    <row r="560">
      <c r="A560" s="225"/>
      <c r="B560" s="213"/>
      <c r="C560" s="356"/>
      <c r="D560" s="330"/>
      <c r="E560" s="157"/>
      <c r="F560" s="12"/>
    </row>
    <row r="561">
      <c r="A561" s="225"/>
      <c r="B561" s="213"/>
      <c r="C561" s="356"/>
      <c r="D561" s="330"/>
      <c r="E561" s="157"/>
      <c r="F561" s="12"/>
    </row>
    <row r="562">
      <c r="A562" s="225"/>
      <c r="B562" s="213"/>
      <c r="C562" s="356"/>
      <c r="D562" s="330"/>
      <c r="E562" s="157"/>
      <c r="F562" s="12"/>
    </row>
    <row r="563">
      <c r="A563" s="225"/>
      <c r="B563" s="213"/>
      <c r="C563" s="356"/>
      <c r="D563" s="330"/>
      <c r="E563" s="157"/>
      <c r="F563" s="12"/>
    </row>
    <row r="564">
      <c r="A564" s="225"/>
      <c r="B564" s="213"/>
      <c r="C564" s="356"/>
      <c r="D564" s="330"/>
      <c r="E564" s="157"/>
      <c r="F564" s="12"/>
    </row>
    <row r="565">
      <c r="A565" s="225"/>
      <c r="B565" s="213"/>
      <c r="C565" s="356"/>
      <c r="D565" s="330"/>
      <c r="E565" s="157"/>
      <c r="F565" s="12"/>
    </row>
    <row r="566">
      <c r="A566" s="225"/>
      <c r="B566" s="213"/>
      <c r="C566" s="356"/>
      <c r="D566" s="330"/>
      <c r="E566" s="157"/>
      <c r="F566" s="12"/>
    </row>
    <row r="567">
      <c r="A567" s="225"/>
      <c r="B567" s="213"/>
      <c r="C567" s="356"/>
      <c r="D567" s="330"/>
      <c r="E567" s="157"/>
      <c r="F567" s="12"/>
    </row>
    <row r="568">
      <c r="A568" s="225"/>
      <c r="B568" s="213"/>
      <c r="C568" s="356"/>
      <c r="D568" s="330"/>
      <c r="E568" s="157"/>
      <c r="F568" s="12"/>
    </row>
    <row r="569">
      <c r="A569" s="225"/>
      <c r="B569" s="213"/>
      <c r="C569" s="356"/>
      <c r="D569" s="330"/>
      <c r="E569" s="157"/>
      <c r="F569" s="12"/>
    </row>
    <row r="570">
      <c r="A570" s="225"/>
      <c r="B570" s="213"/>
      <c r="C570" s="356"/>
      <c r="D570" s="330"/>
      <c r="E570" s="157"/>
      <c r="F570" s="12"/>
    </row>
    <row r="571">
      <c r="A571" s="225"/>
      <c r="B571" s="213"/>
      <c r="C571" s="356"/>
      <c r="D571" s="330"/>
      <c r="E571" s="157"/>
      <c r="F571" s="12"/>
    </row>
    <row r="572">
      <c r="A572" s="225"/>
      <c r="B572" s="213"/>
      <c r="C572" s="356"/>
      <c r="D572" s="330"/>
      <c r="E572" s="157"/>
      <c r="F572" s="12"/>
    </row>
    <row r="573">
      <c r="A573" s="225"/>
      <c r="B573" s="213"/>
      <c r="C573" s="356"/>
      <c r="D573" s="330"/>
      <c r="E573" s="157"/>
      <c r="F573" s="12"/>
    </row>
    <row r="574">
      <c r="A574" s="225"/>
      <c r="B574" s="213"/>
      <c r="C574" s="356"/>
      <c r="D574" s="330"/>
      <c r="E574" s="157"/>
      <c r="F574" s="12"/>
    </row>
    <row r="575">
      <c r="A575" s="225"/>
      <c r="B575" s="213"/>
      <c r="C575" s="356"/>
      <c r="D575" s="330"/>
      <c r="E575" s="157"/>
      <c r="F575" s="12"/>
    </row>
    <row r="576">
      <c r="A576" s="225"/>
      <c r="B576" s="213"/>
      <c r="C576" s="356"/>
      <c r="D576" s="330"/>
      <c r="E576" s="157"/>
      <c r="F576" s="12"/>
    </row>
    <row r="577">
      <c r="A577" s="225"/>
      <c r="B577" s="213"/>
      <c r="C577" s="356"/>
      <c r="D577" s="330"/>
      <c r="E577" s="157"/>
      <c r="F577" s="12"/>
    </row>
    <row r="578">
      <c r="A578" s="225"/>
      <c r="B578" s="213"/>
      <c r="C578" s="356"/>
      <c r="D578" s="330"/>
      <c r="E578" s="157"/>
      <c r="F578" s="12"/>
    </row>
    <row r="579">
      <c r="A579" s="225"/>
      <c r="B579" s="213"/>
      <c r="C579" s="356"/>
      <c r="D579" s="330"/>
      <c r="E579" s="157"/>
      <c r="F579" s="12"/>
    </row>
    <row r="580">
      <c r="A580" s="225"/>
      <c r="B580" s="213"/>
      <c r="C580" s="356"/>
      <c r="D580" s="330"/>
      <c r="E580" s="157"/>
      <c r="F580" s="12"/>
    </row>
    <row r="581">
      <c r="A581" s="225"/>
      <c r="B581" s="213"/>
      <c r="C581" s="356"/>
      <c r="D581" s="330"/>
      <c r="E581" s="157"/>
      <c r="F581" s="12"/>
    </row>
    <row r="582">
      <c r="A582" s="225"/>
      <c r="B582" s="213"/>
      <c r="C582" s="356"/>
      <c r="D582" s="330"/>
      <c r="E582" s="157"/>
      <c r="F582" s="12"/>
    </row>
    <row r="583">
      <c r="A583" s="225"/>
      <c r="B583" s="213"/>
      <c r="C583" s="356"/>
      <c r="D583" s="330"/>
      <c r="E583" s="157"/>
      <c r="F583" s="12"/>
    </row>
    <row r="584">
      <c r="A584" s="225"/>
      <c r="B584" s="213"/>
      <c r="C584" s="356"/>
      <c r="D584" s="330"/>
      <c r="E584" s="157"/>
      <c r="F584" s="12"/>
    </row>
    <row r="585">
      <c r="A585" s="225"/>
      <c r="B585" s="213"/>
      <c r="C585" s="356"/>
      <c r="D585" s="330"/>
      <c r="E585" s="157"/>
      <c r="F585" s="12"/>
    </row>
    <row r="586">
      <c r="A586" s="225"/>
      <c r="B586" s="213"/>
      <c r="C586" s="356"/>
      <c r="D586" s="330"/>
      <c r="E586" s="157"/>
      <c r="F586" s="12"/>
    </row>
    <row r="587">
      <c r="A587" s="225"/>
      <c r="B587" s="213"/>
      <c r="C587" s="356"/>
      <c r="D587" s="330"/>
      <c r="E587" s="157"/>
      <c r="F587" s="12"/>
    </row>
    <row r="588">
      <c r="A588" s="225"/>
      <c r="B588" s="213"/>
      <c r="C588" s="356"/>
      <c r="D588" s="330"/>
      <c r="E588" s="157"/>
      <c r="F588" s="12"/>
    </row>
    <row r="589">
      <c r="A589" s="225"/>
      <c r="B589" s="213"/>
      <c r="C589" s="356"/>
      <c r="D589" s="330"/>
      <c r="E589" s="157"/>
      <c r="F589" s="12"/>
    </row>
    <row r="590">
      <c r="A590" s="225"/>
      <c r="B590" s="213"/>
      <c r="C590" s="356"/>
      <c r="D590" s="330"/>
      <c r="E590" s="157"/>
      <c r="F590" s="12"/>
    </row>
    <row r="591">
      <c r="A591" s="225"/>
      <c r="B591" s="213"/>
      <c r="C591" s="356"/>
      <c r="D591" s="330"/>
      <c r="E591" s="157"/>
      <c r="F591" s="12"/>
    </row>
    <row r="592">
      <c r="A592" s="225"/>
      <c r="B592" s="213"/>
      <c r="C592" s="356"/>
      <c r="D592" s="330"/>
      <c r="E592" s="157"/>
      <c r="F592" s="12"/>
    </row>
    <row r="593">
      <c r="A593" s="225"/>
      <c r="B593" s="213"/>
      <c r="C593" s="356"/>
      <c r="D593" s="330"/>
      <c r="E593" s="157"/>
      <c r="F593" s="12"/>
    </row>
    <row r="594">
      <c r="A594" s="225"/>
      <c r="B594" s="213"/>
      <c r="C594" s="356"/>
      <c r="D594" s="330"/>
      <c r="E594" s="157"/>
      <c r="F594" s="12"/>
    </row>
    <row r="595">
      <c r="A595" s="225"/>
      <c r="B595" s="213"/>
      <c r="C595" s="356"/>
      <c r="D595" s="330"/>
      <c r="E595" s="157"/>
      <c r="F595" s="12"/>
    </row>
    <row r="596">
      <c r="A596" s="225"/>
      <c r="B596" s="213"/>
      <c r="C596" s="356"/>
      <c r="D596" s="330"/>
      <c r="E596" s="157"/>
      <c r="F596" s="12"/>
    </row>
    <row r="597">
      <c r="A597" s="225"/>
      <c r="B597" s="213"/>
      <c r="C597" s="356"/>
      <c r="D597" s="330"/>
      <c r="E597" s="157"/>
      <c r="F597" s="12"/>
    </row>
    <row r="598">
      <c r="A598" s="225"/>
      <c r="B598" s="213"/>
      <c r="C598" s="356"/>
      <c r="D598" s="330"/>
      <c r="E598" s="157"/>
      <c r="F598" s="12"/>
    </row>
    <row r="599">
      <c r="A599" s="225"/>
      <c r="B599" s="213"/>
      <c r="C599" s="356"/>
      <c r="D599" s="330"/>
      <c r="E599" s="157"/>
      <c r="F599" s="12"/>
    </row>
    <row r="600">
      <c r="A600" s="225"/>
      <c r="B600" s="213"/>
      <c r="C600" s="356"/>
      <c r="D600" s="330"/>
      <c r="E600" s="157"/>
      <c r="F600" s="12"/>
    </row>
    <row r="601">
      <c r="A601" s="225"/>
      <c r="B601" s="213"/>
      <c r="C601" s="356"/>
      <c r="D601" s="330"/>
      <c r="E601" s="157"/>
      <c r="F601" s="12"/>
    </row>
    <row r="602">
      <c r="A602" s="225"/>
      <c r="B602" s="213"/>
      <c r="C602" s="356"/>
      <c r="D602" s="330"/>
      <c r="E602" s="157"/>
      <c r="F602" s="12"/>
    </row>
    <row r="603">
      <c r="A603" s="225"/>
      <c r="B603" s="213"/>
      <c r="C603" s="356"/>
      <c r="D603" s="330"/>
      <c r="E603" s="157"/>
      <c r="F603" s="12"/>
    </row>
    <row r="604">
      <c r="A604" s="225"/>
      <c r="B604" s="213"/>
      <c r="C604" s="356"/>
      <c r="D604" s="330"/>
      <c r="E604" s="157"/>
      <c r="F604" s="12"/>
    </row>
    <row r="605">
      <c r="A605" s="225"/>
      <c r="B605" s="213"/>
      <c r="C605" s="356"/>
      <c r="D605" s="330"/>
      <c r="E605" s="157"/>
      <c r="F605" s="12"/>
    </row>
    <row r="606">
      <c r="A606" s="225"/>
      <c r="B606" s="213"/>
      <c r="C606" s="356"/>
      <c r="D606" s="330"/>
      <c r="E606" s="157"/>
      <c r="F606" s="12"/>
    </row>
    <row r="607">
      <c r="A607" s="225"/>
      <c r="B607" s="213"/>
      <c r="C607" s="356"/>
      <c r="D607" s="330"/>
      <c r="E607" s="157"/>
      <c r="F607" s="12"/>
    </row>
    <row r="608">
      <c r="A608" s="225"/>
      <c r="B608" s="213"/>
      <c r="C608" s="356"/>
      <c r="D608" s="330"/>
      <c r="E608" s="157"/>
      <c r="F608" s="12"/>
    </row>
    <row r="609">
      <c r="A609" s="225"/>
      <c r="B609" s="213"/>
      <c r="C609" s="356"/>
      <c r="D609" s="330"/>
      <c r="E609" s="157"/>
      <c r="F609" s="12"/>
    </row>
    <row r="610">
      <c r="A610" s="225"/>
      <c r="B610" s="213"/>
      <c r="C610" s="356"/>
      <c r="D610" s="330"/>
      <c r="E610" s="157"/>
      <c r="F610" s="12"/>
    </row>
    <row r="611">
      <c r="A611" s="225"/>
      <c r="B611" s="213"/>
      <c r="C611" s="356"/>
      <c r="D611" s="330"/>
      <c r="E611" s="157"/>
      <c r="F611" s="12"/>
    </row>
    <row r="612">
      <c r="A612" s="225"/>
      <c r="B612" s="213"/>
      <c r="C612" s="356"/>
      <c r="D612" s="330"/>
      <c r="E612" s="157"/>
      <c r="F612" s="12"/>
    </row>
    <row r="613">
      <c r="A613" s="225"/>
      <c r="B613" s="213"/>
      <c r="C613" s="356"/>
      <c r="D613" s="330"/>
      <c r="E613" s="157"/>
      <c r="F613" s="12"/>
    </row>
    <row r="614">
      <c r="A614" s="225"/>
      <c r="B614" s="213"/>
      <c r="C614" s="356"/>
      <c r="D614" s="330"/>
      <c r="E614" s="157"/>
      <c r="F614" s="12"/>
    </row>
    <row r="615">
      <c r="A615" s="225"/>
      <c r="B615" s="213"/>
      <c r="C615" s="356"/>
      <c r="D615" s="330"/>
      <c r="E615" s="157"/>
      <c r="F615" s="12"/>
    </row>
    <row r="616">
      <c r="A616" s="225"/>
      <c r="B616" s="213"/>
      <c r="C616" s="356"/>
      <c r="D616" s="330"/>
      <c r="E616" s="157"/>
      <c r="F616" s="12"/>
    </row>
    <row r="617">
      <c r="A617" s="225"/>
      <c r="B617" s="213"/>
      <c r="C617" s="356"/>
      <c r="D617" s="330"/>
      <c r="E617" s="157"/>
      <c r="F617" s="12"/>
    </row>
    <row r="618">
      <c r="A618" s="225"/>
      <c r="B618" s="213"/>
      <c r="C618" s="356"/>
      <c r="D618" s="330"/>
      <c r="E618" s="157"/>
      <c r="F618" s="12"/>
    </row>
    <row r="619">
      <c r="A619" s="225"/>
      <c r="B619" s="213"/>
      <c r="C619" s="356"/>
      <c r="D619" s="330"/>
      <c r="E619" s="157"/>
      <c r="F619" s="12"/>
    </row>
    <row r="620">
      <c r="A620" s="225"/>
      <c r="B620" s="213"/>
      <c r="C620" s="356"/>
      <c r="D620" s="330"/>
      <c r="E620" s="157"/>
      <c r="F620" s="12"/>
    </row>
    <row r="621">
      <c r="A621" s="225"/>
      <c r="B621" s="213"/>
      <c r="C621" s="356"/>
      <c r="D621" s="330"/>
      <c r="E621" s="157"/>
      <c r="F621" s="12"/>
    </row>
    <row r="622">
      <c r="A622" s="225"/>
      <c r="B622" s="213"/>
      <c r="C622" s="356"/>
      <c r="D622" s="330"/>
      <c r="E622" s="157"/>
      <c r="F622" s="12"/>
    </row>
    <row r="623">
      <c r="A623" s="225"/>
      <c r="B623" s="213"/>
      <c r="C623" s="356"/>
      <c r="D623" s="330"/>
      <c r="E623" s="157"/>
      <c r="F623" s="12"/>
    </row>
    <row r="624">
      <c r="A624" s="225"/>
      <c r="B624" s="213"/>
      <c r="C624" s="356"/>
      <c r="D624" s="330"/>
      <c r="E624" s="157"/>
      <c r="F624" s="12"/>
    </row>
    <row r="625">
      <c r="A625" s="225"/>
      <c r="B625" s="213"/>
      <c r="C625" s="356"/>
      <c r="D625" s="330"/>
      <c r="E625" s="157"/>
      <c r="F625" s="12"/>
    </row>
    <row r="626">
      <c r="A626" s="225"/>
      <c r="B626" s="213"/>
      <c r="C626" s="356"/>
      <c r="D626" s="330"/>
      <c r="E626" s="157"/>
      <c r="F626" s="12"/>
    </row>
    <row r="627">
      <c r="A627" s="225"/>
      <c r="B627" s="213"/>
      <c r="C627" s="356"/>
      <c r="D627" s="330"/>
      <c r="E627" s="157"/>
      <c r="F627" s="12"/>
    </row>
    <row r="628">
      <c r="A628" s="225"/>
      <c r="B628" s="213"/>
      <c r="C628" s="356"/>
      <c r="D628" s="330"/>
      <c r="E628" s="157"/>
      <c r="F628" s="12"/>
    </row>
    <row r="629">
      <c r="A629" s="225"/>
      <c r="B629" s="213"/>
      <c r="C629" s="356"/>
      <c r="D629" s="330"/>
      <c r="E629" s="157"/>
      <c r="F629" s="12"/>
    </row>
    <row r="630">
      <c r="A630" s="225"/>
      <c r="B630" s="213"/>
      <c r="C630" s="356"/>
      <c r="D630" s="330"/>
      <c r="E630" s="157"/>
      <c r="F630" s="12"/>
    </row>
    <row r="631">
      <c r="A631" s="225"/>
      <c r="B631" s="213"/>
      <c r="C631" s="356"/>
      <c r="D631" s="330"/>
      <c r="E631" s="157"/>
      <c r="F631" s="12"/>
    </row>
    <row r="632">
      <c r="A632" s="225"/>
      <c r="B632" s="213"/>
      <c r="C632" s="356"/>
      <c r="D632" s="330"/>
      <c r="E632" s="157"/>
      <c r="F632" s="12"/>
    </row>
    <row r="633">
      <c r="A633" s="225"/>
      <c r="B633" s="213"/>
      <c r="C633" s="356"/>
      <c r="D633" s="330"/>
      <c r="E633" s="157"/>
      <c r="F633" s="12"/>
    </row>
    <row r="634">
      <c r="A634" s="225"/>
      <c r="B634" s="213"/>
      <c r="C634" s="356"/>
      <c r="D634" s="330"/>
      <c r="E634" s="157"/>
      <c r="F634" s="12"/>
    </row>
    <row r="635">
      <c r="A635" s="225"/>
      <c r="B635" s="213"/>
      <c r="C635" s="356"/>
      <c r="D635" s="330"/>
      <c r="E635" s="157"/>
      <c r="F635" s="12"/>
    </row>
    <row r="636">
      <c r="A636" s="225"/>
      <c r="B636" s="213"/>
      <c r="C636" s="356"/>
      <c r="D636" s="330"/>
      <c r="E636" s="157"/>
      <c r="F636" s="12"/>
    </row>
    <row r="637">
      <c r="A637" s="225"/>
      <c r="B637" s="213"/>
      <c r="C637" s="356"/>
      <c r="D637" s="330"/>
      <c r="E637" s="157"/>
      <c r="F637" s="12"/>
    </row>
    <row r="638">
      <c r="A638" s="225"/>
      <c r="B638" s="213"/>
      <c r="C638" s="356"/>
      <c r="D638" s="330"/>
      <c r="E638" s="157"/>
      <c r="F638" s="12"/>
    </row>
    <row r="639">
      <c r="A639" s="225"/>
      <c r="B639" s="213"/>
      <c r="C639" s="356"/>
      <c r="D639" s="330"/>
      <c r="E639" s="157"/>
      <c r="F639" s="12"/>
    </row>
    <row r="640">
      <c r="A640" s="225"/>
      <c r="B640" s="213"/>
      <c r="C640" s="356"/>
      <c r="D640" s="330"/>
      <c r="E640" s="157"/>
      <c r="F640" s="12"/>
    </row>
    <row r="641">
      <c r="A641" s="225"/>
      <c r="B641" s="213"/>
      <c r="C641" s="356"/>
      <c r="D641" s="330"/>
      <c r="E641" s="157"/>
      <c r="F641" s="12"/>
    </row>
    <row r="642">
      <c r="A642" s="225"/>
      <c r="B642" s="213"/>
      <c r="C642" s="356"/>
      <c r="D642" s="330"/>
      <c r="E642" s="157"/>
      <c r="F642" s="12"/>
    </row>
    <row r="643">
      <c r="A643" s="225"/>
      <c r="B643" s="213"/>
      <c r="C643" s="356"/>
      <c r="D643" s="330"/>
      <c r="E643" s="157"/>
      <c r="F643" s="12"/>
    </row>
    <row r="644">
      <c r="A644" s="225"/>
      <c r="B644" s="213"/>
      <c r="C644" s="356"/>
      <c r="D644" s="330"/>
      <c r="E644" s="157"/>
      <c r="F644" s="12"/>
    </row>
    <row r="645">
      <c r="A645" s="225"/>
      <c r="B645" s="213"/>
      <c r="C645" s="356"/>
      <c r="D645" s="330"/>
      <c r="E645" s="157"/>
      <c r="F645" s="12"/>
    </row>
    <row r="646">
      <c r="A646" s="225"/>
      <c r="B646" s="213"/>
      <c r="C646" s="356"/>
      <c r="D646" s="330"/>
      <c r="E646" s="157"/>
      <c r="F646" s="12"/>
    </row>
    <row r="647">
      <c r="A647" s="225"/>
      <c r="B647" s="213"/>
      <c r="C647" s="356"/>
      <c r="D647" s="330"/>
      <c r="E647" s="157"/>
      <c r="F647" s="12"/>
    </row>
    <row r="648">
      <c r="A648" s="225"/>
      <c r="B648" s="213"/>
      <c r="C648" s="356"/>
      <c r="D648" s="330"/>
      <c r="E648" s="157"/>
      <c r="F648" s="12"/>
    </row>
    <row r="649">
      <c r="A649" s="225"/>
      <c r="B649" s="213"/>
      <c r="C649" s="356"/>
      <c r="D649" s="330"/>
      <c r="E649" s="157"/>
      <c r="F649" s="12"/>
    </row>
    <row r="650">
      <c r="A650" s="225"/>
      <c r="B650" s="213"/>
      <c r="C650" s="356"/>
      <c r="D650" s="330"/>
      <c r="E650" s="157"/>
      <c r="F650" s="12"/>
    </row>
    <row r="651">
      <c r="A651" s="225"/>
      <c r="B651" s="213"/>
      <c r="C651" s="356"/>
      <c r="D651" s="330"/>
      <c r="E651" s="157"/>
      <c r="F651" s="12"/>
    </row>
    <row r="652">
      <c r="A652" s="225"/>
      <c r="B652" s="213"/>
      <c r="C652" s="356"/>
      <c r="D652" s="330"/>
      <c r="E652" s="157"/>
      <c r="F652" s="12"/>
    </row>
    <row r="653">
      <c r="A653" s="225"/>
      <c r="B653" s="213"/>
      <c r="C653" s="356"/>
      <c r="D653" s="330"/>
      <c r="E653" s="157"/>
      <c r="F653" s="12"/>
    </row>
    <row r="654">
      <c r="A654" s="225"/>
      <c r="B654" s="213"/>
      <c r="C654" s="356"/>
      <c r="D654" s="330"/>
      <c r="E654" s="157"/>
      <c r="F654" s="12"/>
    </row>
    <row r="655">
      <c r="A655" s="225"/>
      <c r="B655" s="213"/>
      <c r="C655" s="356"/>
      <c r="D655" s="330"/>
      <c r="E655" s="157"/>
      <c r="F655" s="12"/>
    </row>
    <row r="656">
      <c r="A656" s="225"/>
      <c r="B656" s="213"/>
      <c r="C656" s="356"/>
      <c r="D656" s="330"/>
      <c r="E656" s="157"/>
      <c r="F656" s="12"/>
    </row>
    <row r="657">
      <c r="A657" s="225"/>
      <c r="B657" s="213"/>
      <c r="C657" s="356"/>
      <c r="D657" s="330"/>
      <c r="E657" s="157"/>
      <c r="F657" s="12"/>
    </row>
    <row r="658">
      <c r="A658" s="225"/>
      <c r="B658" s="213"/>
      <c r="C658" s="356"/>
      <c r="D658" s="330"/>
      <c r="E658" s="157"/>
      <c r="F658" s="12"/>
    </row>
    <row r="659">
      <c r="A659" s="225"/>
      <c r="B659" s="213"/>
      <c r="C659" s="356"/>
      <c r="D659" s="330"/>
      <c r="E659" s="157"/>
      <c r="F659" s="12"/>
    </row>
    <row r="660">
      <c r="A660" s="225"/>
      <c r="B660" s="213"/>
      <c r="C660" s="356"/>
      <c r="D660" s="330"/>
      <c r="E660" s="157"/>
      <c r="F660" s="12"/>
    </row>
    <row r="661">
      <c r="A661" s="225"/>
      <c r="B661" s="213"/>
      <c r="C661" s="356"/>
      <c r="D661" s="330"/>
      <c r="E661" s="157"/>
      <c r="F661" s="12"/>
    </row>
    <row r="662">
      <c r="A662" s="225"/>
      <c r="B662" s="213"/>
      <c r="C662" s="356"/>
      <c r="D662" s="330"/>
      <c r="E662" s="157"/>
      <c r="F662" s="12"/>
    </row>
    <row r="663">
      <c r="A663" s="225"/>
      <c r="B663" s="213"/>
      <c r="C663" s="356"/>
      <c r="D663" s="330"/>
      <c r="E663" s="157"/>
      <c r="F663" s="12"/>
    </row>
    <row r="664">
      <c r="A664" s="225"/>
      <c r="B664" s="213"/>
      <c r="C664" s="356"/>
      <c r="D664" s="330"/>
      <c r="E664" s="157"/>
      <c r="F664" s="12"/>
    </row>
    <row r="665">
      <c r="A665" s="225"/>
      <c r="B665" s="213"/>
      <c r="C665" s="356"/>
      <c r="D665" s="330"/>
      <c r="E665" s="157"/>
      <c r="F665" s="12"/>
    </row>
    <row r="666">
      <c r="A666" s="225"/>
      <c r="B666" s="213"/>
      <c r="C666" s="356"/>
      <c r="D666" s="330"/>
      <c r="E666" s="157"/>
      <c r="F666" s="12"/>
    </row>
    <row r="667">
      <c r="A667" s="225"/>
      <c r="B667" s="213"/>
      <c r="C667" s="356"/>
      <c r="D667" s="330"/>
      <c r="E667" s="157"/>
      <c r="F667" s="12"/>
    </row>
    <row r="668">
      <c r="A668" s="225"/>
      <c r="B668" s="213"/>
      <c r="C668" s="356"/>
      <c r="D668" s="330"/>
      <c r="E668" s="157"/>
      <c r="F668" s="12"/>
    </row>
    <row r="669">
      <c r="A669" s="225"/>
      <c r="B669" s="213"/>
      <c r="C669" s="356"/>
      <c r="D669" s="330"/>
      <c r="E669" s="157"/>
      <c r="F669" s="12"/>
    </row>
    <row r="670">
      <c r="A670" s="225"/>
      <c r="B670" s="213"/>
      <c r="C670" s="356"/>
      <c r="D670" s="330"/>
      <c r="E670" s="157"/>
      <c r="F670" s="12"/>
    </row>
    <row r="671">
      <c r="A671" s="225"/>
      <c r="B671" s="213"/>
      <c r="C671" s="356"/>
      <c r="D671" s="330"/>
      <c r="E671" s="157"/>
      <c r="F671" s="12"/>
    </row>
    <row r="672">
      <c r="A672" s="225"/>
      <c r="B672" s="213"/>
      <c r="C672" s="356"/>
      <c r="D672" s="330"/>
      <c r="E672" s="157"/>
      <c r="F672" s="12"/>
    </row>
    <row r="673">
      <c r="A673" s="225"/>
      <c r="B673" s="213"/>
      <c r="C673" s="356"/>
      <c r="D673" s="330"/>
      <c r="E673" s="157"/>
      <c r="F673" s="12"/>
    </row>
    <row r="674">
      <c r="A674" s="225"/>
      <c r="B674" s="213"/>
      <c r="C674" s="356"/>
      <c r="D674" s="330"/>
      <c r="E674" s="157"/>
      <c r="F674" s="12"/>
    </row>
    <row r="675">
      <c r="A675" s="225"/>
      <c r="B675" s="213"/>
      <c r="C675" s="356"/>
      <c r="D675" s="330"/>
      <c r="E675" s="157"/>
      <c r="F675" s="12"/>
    </row>
    <row r="676">
      <c r="A676" s="225"/>
      <c r="B676" s="213"/>
      <c r="C676" s="356"/>
      <c r="D676" s="330"/>
      <c r="E676" s="157"/>
      <c r="F676" s="12"/>
    </row>
    <row r="677">
      <c r="A677" s="225"/>
      <c r="B677" s="213"/>
      <c r="C677" s="356"/>
      <c r="D677" s="330"/>
      <c r="E677" s="157"/>
      <c r="F677" s="12"/>
    </row>
    <row r="678">
      <c r="A678" s="225"/>
      <c r="B678" s="213"/>
      <c r="C678" s="356"/>
      <c r="D678" s="330"/>
      <c r="E678" s="157"/>
      <c r="F678" s="12"/>
    </row>
    <row r="679">
      <c r="A679" s="225"/>
      <c r="B679" s="213"/>
      <c r="C679" s="356"/>
      <c r="D679" s="330"/>
      <c r="E679" s="157"/>
      <c r="F679" s="12"/>
    </row>
    <row r="680">
      <c r="A680" s="225"/>
      <c r="B680" s="213"/>
      <c r="C680" s="356"/>
      <c r="D680" s="330"/>
      <c r="E680" s="157"/>
      <c r="F680" s="12"/>
    </row>
    <row r="681">
      <c r="A681" s="225"/>
      <c r="B681" s="213"/>
      <c r="C681" s="356"/>
      <c r="D681" s="330"/>
      <c r="E681" s="157"/>
      <c r="F681" s="12"/>
    </row>
    <row r="682">
      <c r="A682" s="225"/>
      <c r="B682" s="213"/>
      <c r="C682" s="356"/>
      <c r="D682" s="330"/>
      <c r="E682" s="157"/>
      <c r="F682" s="12"/>
    </row>
    <row r="683">
      <c r="A683" s="225"/>
      <c r="B683" s="213"/>
      <c r="C683" s="356"/>
      <c r="D683" s="330"/>
      <c r="E683" s="157"/>
      <c r="F683" s="12"/>
    </row>
    <row r="684">
      <c r="A684" s="225"/>
      <c r="B684" s="213"/>
      <c r="C684" s="356"/>
      <c r="D684" s="330"/>
      <c r="E684" s="157"/>
      <c r="F684" s="12"/>
    </row>
    <row r="685">
      <c r="A685" s="225"/>
      <c r="B685" s="213"/>
      <c r="C685" s="356"/>
      <c r="D685" s="330"/>
      <c r="E685" s="157"/>
      <c r="F685" s="12"/>
    </row>
    <row r="686">
      <c r="A686" s="225"/>
      <c r="B686" s="213"/>
      <c r="C686" s="356"/>
      <c r="D686" s="330"/>
      <c r="E686" s="157"/>
      <c r="F686" s="12"/>
    </row>
    <row r="687">
      <c r="A687" s="225"/>
      <c r="B687" s="213"/>
      <c r="C687" s="356"/>
      <c r="D687" s="330"/>
      <c r="E687" s="157"/>
      <c r="F687" s="12"/>
    </row>
    <row r="688">
      <c r="A688" s="225"/>
      <c r="B688" s="213"/>
      <c r="C688" s="356"/>
      <c r="D688" s="330"/>
      <c r="E688" s="157"/>
      <c r="F688" s="12"/>
    </row>
    <row r="689">
      <c r="A689" s="225"/>
      <c r="B689" s="213"/>
      <c r="C689" s="356"/>
      <c r="D689" s="330"/>
      <c r="E689" s="157"/>
      <c r="F689" s="12"/>
    </row>
    <row r="690">
      <c r="A690" s="225"/>
      <c r="B690" s="213"/>
      <c r="C690" s="356"/>
      <c r="D690" s="330"/>
      <c r="E690" s="157"/>
      <c r="F690" s="12"/>
    </row>
    <row r="691">
      <c r="A691" s="225"/>
      <c r="B691" s="213"/>
      <c r="C691" s="356"/>
      <c r="D691" s="330"/>
      <c r="E691" s="157"/>
      <c r="F691" s="12"/>
    </row>
    <row r="692">
      <c r="A692" s="225"/>
      <c r="B692" s="213"/>
      <c r="C692" s="356"/>
      <c r="D692" s="330"/>
      <c r="E692" s="157"/>
      <c r="F692" s="12"/>
    </row>
    <row r="693">
      <c r="A693" s="225"/>
      <c r="B693" s="213"/>
      <c r="C693" s="356"/>
      <c r="D693" s="330"/>
      <c r="E693" s="157"/>
      <c r="F693" s="12"/>
    </row>
    <row r="694">
      <c r="A694" s="225"/>
      <c r="B694" s="213"/>
      <c r="C694" s="356"/>
      <c r="D694" s="330"/>
      <c r="E694" s="157"/>
      <c r="F694" s="12"/>
    </row>
    <row r="695">
      <c r="A695" s="225"/>
      <c r="B695" s="213"/>
      <c r="C695" s="356"/>
      <c r="D695" s="330"/>
      <c r="E695" s="157"/>
      <c r="F695" s="12"/>
    </row>
    <row r="696">
      <c r="A696" s="225"/>
      <c r="B696" s="213"/>
      <c r="C696" s="356"/>
      <c r="D696" s="330"/>
      <c r="E696" s="157"/>
      <c r="F696" s="12"/>
    </row>
    <row r="697">
      <c r="A697" s="225"/>
      <c r="B697" s="213"/>
      <c r="C697" s="356"/>
      <c r="D697" s="330"/>
      <c r="E697" s="157"/>
      <c r="F697" s="12"/>
    </row>
    <row r="698">
      <c r="A698" s="225"/>
      <c r="B698" s="213"/>
      <c r="C698" s="356"/>
      <c r="D698" s="330"/>
      <c r="E698" s="157"/>
      <c r="F698" s="12"/>
    </row>
    <row r="699">
      <c r="A699" s="225"/>
      <c r="B699" s="213"/>
      <c r="C699" s="356"/>
      <c r="D699" s="330"/>
      <c r="E699" s="157"/>
      <c r="F699" s="12"/>
    </row>
    <row r="700">
      <c r="A700" s="225"/>
      <c r="B700" s="213"/>
      <c r="C700" s="356"/>
      <c r="D700" s="330"/>
      <c r="E700" s="157"/>
      <c r="F700" s="12"/>
    </row>
    <row r="701">
      <c r="A701" s="225"/>
      <c r="B701" s="213"/>
      <c r="C701" s="356"/>
      <c r="D701" s="330"/>
      <c r="E701" s="157"/>
      <c r="F701" s="12"/>
    </row>
    <row r="702">
      <c r="A702" s="225"/>
      <c r="B702" s="213"/>
      <c r="C702" s="356"/>
      <c r="D702" s="330"/>
      <c r="E702" s="157"/>
      <c r="F702" s="12"/>
    </row>
    <row r="703">
      <c r="A703" s="225"/>
      <c r="B703" s="213"/>
      <c r="C703" s="356"/>
      <c r="D703" s="330"/>
      <c r="E703" s="157"/>
      <c r="F703" s="12"/>
    </row>
    <row r="704">
      <c r="A704" s="225"/>
      <c r="B704" s="213"/>
      <c r="C704" s="356"/>
      <c r="D704" s="330"/>
      <c r="E704" s="157"/>
      <c r="F704" s="12"/>
    </row>
    <row r="705">
      <c r="A705" s="225"/>
      <c r="B705" s="213"/>
      <c r="C705" s="356"/>
      <c r="D705" s="330"/>
      <c r="E705" s="157"/>
      <c r="F705" s="12"/>
    </row>
    <row r="706">
      <c r="A706" s="225"/>
      <c r="B706" s="213"/>
      <c r="C706" s="356"/>
      <c r="D706" s="330"/>
      <c r="E706" s="157"/>
      <c r="F706" s="12"/>
    </row>
    <row r="707">
      <c r="A707" s="225"/>
      <c r="B707" s="213"/>
      <c r="C707" s="356"/>
      <c r="D707" s="330"/>
      <c r="E707" s="157"/>
      <c r="F707" s="12"/>
    </row>
    <row r="708">
      <c r="A708" s="225"/>
      <c r="B708" s="213"/>
      <c r="C708" s="356"/>
      <c r="D708" s="330"/>
      <c r="E708" s="157"/>
      <c r="F708" s="12"/>
    </row>
    <row r="709">
      <c r="A709" s="225"/>
      <c r="B709" s="213"/>
      <c r="C709" s="356"/>
      <c r="D709" s="330"/>
      <c r="E709" s="157"/>
      <c r="F709" s="12"/>
    </row>
    <row r="710">
      <c r="A710" s="225"/>
      <c r="B710" s="213"/>
      <c r="C710" s="356"/>
      <c r="D710" s="330"/>
      <c r="E710" s="157"/>
      <c r="F710" s="12"/>
    </row>
    <row r="711">
      <c r="A711" s="225"/>
      <c r="B711" s="213"/>
      <c r="C711" s="356"/>
      <c r="D711" s="330"/>
      <c r="E711" s="157"/>
      <c r="F711" s="12"/>
    </row>
    <row r="712">
      <c r="A712" s="225"/>
      <c r="B712" s="213"/>
      <c r="C712" s="356"/>
      <c r="D712" s="330"/>
      <c r="E712" s="157"/>
      <c r="F712" s="12"/>
    </row>
    <row r="713">
      <c r="A713" s="225"/>
      <c r="B713" s="213"/>
      <c r="C713" s="356"/>
      <c r="D713" s="330"/>
      <c r="E713" s="157"/>
      <c r="F713" s="12"/>
    </row>
    <row r="714">
      <c r="A714" s="225"/>
      <c r="B714" s="213"/>
      <c r="C714" s="356"/>
      <c r="D714" s="330"/>
      <c r="E714" s="157"/>
      <c r="F714" s="12"/>
    </row>
    <row r="715">
      <c r="A715" s="225"/>
      <c r="B715" s="213"/>
      <c r="C715" s="356"/>
      <c r="D715" s="330"/>
      <c r="E715" s="157"/>
      <c r="F715" s="12"/>
    </row>
    <row r="716">
      <c r="A716" s="225"/>
      <c r="B716" s="213"/>
      <c r="C716" s="356"/>
      <c r="D716" s="330"/>
      <c r="E716" s="157"/>
      <c r="F716" s="12"/>
    </row>
    <row r="717">
      <c r="A717" s="225"/>
      <c r="B717" s="213"/>
      <c r="C717" s="356"/>
      <c r="D717" s="330"/>
      <c r="E717" s="157"/>
      <c r="F717" s="12"/>
    </row>
    <row r="718">
      <c r="A718" s="225"/>
      <c r="B718" s="213"/>
      <c r="C718" s="356"/>
      <c r="D718" s="330"/>
      <c r="E718" s="157"/>
      <c r="F718" s="12"/>
    </row>
    <row r="719">
      <c r="A719" s="225"/>
      <c r="B719" s="213"/>
      <c r="C719" s="356"/>
      <c r="D719" s="330"/>
      <c r="E719" s="157"/>
      <c r="F719" s="12"/>
    </row>
    <row r="720">
      <c r="A720" s="225"/>
      <c r="B720" s="213"/>
      <c r="C720" s="356"/>
      <c r="D720" s="330"/>
      <c r="E720" s="157"/>
      <c r="F720" s="12"/>
    </row>
    <row r="721">
      <c r="A721" s="225"/>
      <c r="B721" s="213"/>
      <c r="C721" s="356"/>
      <c r="D721" s="330"/>
      <c r="E721" s="157"/>
      <c r="F721" s="12"/>
    </row>
    <row r="722">
      <c r="A722" s="225"/>
      <c r="B722" s="213"/>
      <c r="C722" s="356"/>
      <c r="D722" s="330"/>
      <c r="E722" s="157"/>
      <c r="F722" s="12"/>
    </row>
    <row r="723">
      <c r="A723" s="225"/>
      <c r="B723" s="213"/>
      <c r="C723" s="356"/>
      <c r="D723" s="330"/>
      <c r="E723" s="157"/>
      <c r="F723" s="12"/>
    </row>
    <row r="724">
      <c r="A724" s="225"/>
      <c r="B724" s="213"/>
      <c r="C724" s="356"/>
      <c r="D724" s="330"/>
      <c r="E724" s="157"/>
      <c r="F724" s="12"/>
    </row>
    <row r="725">
      <c r="A725" s="225"/>
      <c r="B725" s="213"/>
      <c r="C725" s="356"/>
      <c r="D725" s="330"/>
      <c r="E725" s="157"/>
      <c r="F725" s="12"/>
    </row>
    <row r="726">
      <c r="A726" s="225"/>
      <c r="B726" s="213"/>
      <c r="C726" s="356"/>
      <c r="D726" s="330"/>
      <c r="E726" s="157"/>
      <c r="F726" s="12"/>
    </row>
    <row r="727">
      <c r="A727" s="225"/>
      <c r="B727" s="213"/>
      <c r="C727" s="356"/>
      <c r="D727" s="330"/>
      <c r="E727" s="157"/>
      <c r="F727" s="12"/>
    </row>
    <row r="728">
      <c r="A728" s="225"/>
      <c r="B728" s="213"/>
      <c r="C728" s="356"/>
      <c r="D728" s="330"/>
      <c r="E728" s="157"/>
      <c r="F728" s="12"/>
    </row>
    <row r="729">
      <c r="A729" s="225"/>
      <c r="B729" s="213"/>
      <c r="C729" s="356"/>
      <c r="D729" s="330"/>
      <c r="E729" s="157"/>
      <c r="F729" s="12"/>
    </row>
    <row r="730">
      <c r="A730" s="225"/>
      <c r="B730" s="213"/>
      <c r="C730" s="356"/>
      <c r="D730" s="330"/>
      <c r="E730" s="157"/>
      <c r="F730" s="12"/>
    </row>
    <row r="731">
      <c r="A731" s="225"/>
      <c r="B731" s="213"/>
      <c r="C731" s="356"/>
      <c r="D731" s="330"/>
      <c r="E731" s="157"/>
      <c r="F731" s="12"/>
    </row>
    <row r="732">
      <c r="A732" s="225"/>
      <c r="B732" s="213"/>
      <c r="C732" s="356"/>
      <c r="D732" s="330"/>
      <c r="E732" s="157"/>
      <c r="F732" s="12"/>
    </row>
    <row r="733">
      <c r="A733" s="225"/>
      <c r="B733" s="213"/>
      <c r="C733" s="356"/>
      <c r="D733" s="330"/>
      <c r="E733" s="157"/>
      <c r="F733" s="12"/>
    </row>
    <row r="734">
      <c r="A734" s="225"/>
      <c r="B734" s="213"/>
      <c r="C734" s="356"/>
      <c r="D734" s="330"/>
      <c r="E734" s="157"/>
      <c r="F734" s="12"/>
    </row>
    <row r="735">
      <c r="A735" s="225"/>
      <c r="B735" s="213"/>
      <c r="C735" s="356"/>
      <c r="D735" s="330"/>
      <c r="E735" s="157"/>
      <c r="F735" s="12"/>
    </row>
    <row r="736">
      <c r="A736" s="225"/>
      <c r="B736" s="213"/>
      <c r="C736" s="356"/>
      <c r="D736" s="330"/>
      <c r="E736" s="157"/>
      <c r="F736" s="12"/>
    </row>
    <row r="737">
      <c r="A737" s="225"/>
      <c r="B737" s="213"/>
      <c r="C737" s="356"/>
      <c r="D737" s="330"/>
      <c r="E737" s="157"/>
      <c r="F737" s="12"/>
    </row>
    <row r="738">
      <c r="A738" s="225"/>
      <c r="B738" s="213"/>
      <c r="C738" s="356"/>
      <c r="D738" s="330"/>
      <c r="E738" s="157"/>
      <c r="F738" s="12"/>
    </row>
    <row r="739">
      <c r="A739" s="225"/>
      <c r="B739" s="213"/>
      <c r="C739" s="356"/>
      <c r="D739" s="330"/>
      <c r="E739" s="157"/>
      <c r="F739" s="12"/>
    </row>
    <row r="740">
      <c r="A740" s="225"/>
      <c r="B740" s="213"/>
      <c r="C740" s="356"/>
      <c r="D740" s="330"/>
      <c r="E740" s="157"/>
      <c r="F740" s="12"/>
    </row>
    <row r="741">
      <c r="A741" s="225"/>
      <c r="B741" s="213"/>
      <c r="C741" s="356"/>
      <c r="D741" s="330"/>
      <c r="E741" s="157"/>
      <c r="F741" s="12"/>
    </row>
    <row r="742">
      <c r="A742" s="225"/>
      <c r="B742" s="213"/>
      <c r="C742" s="356"/>
      <c r="D742" s="330"/>
      <c r="E742" s="157"/>
      <c r="F742" s="12"/>
    </row>
    <row r="743">
      <c r="A743" s="225"/>
      <c r="B743" s="213"/>
      <c r="C743" s="356"/>
      <c r="D743" s="330"/>
      <c r="E743" s="157"/>
      <c r="F743" s="12"/>
    </row>
    <row r="744">
      <c r="A744" s="225"/>
      <c r="B744" s="213"/>
      <c r="C744" s="356"/>
      <c r="D744" s="330"/>
      <c r="E744" s="157"/>
      <c r="F744" s="12"/>
    </row>
    <row r="745">
      <c r="A745" s="225"/>
      <c r="B745" s="213"/>
      <c r="C745" s="356"/>
      <c r="D745" s="330"/>
      <c r="E745" s="157"/>
      <c r="F745" s="12"/>
    </row>
    <row r="746">
      <c r="A746" s="225"/>
      <c r="B746" s="213"/>
      <c r="C746" s="356"/>
      <c r="D746" s="330"/>
      <c r="E746" s="157"/>
      <c r="F746" s="12"/>
    </row>
    <row r="747">
      <c r="A747" s="225"/>
      <c r="B747" s="213"/>
      <c r="C747" s="356"/>
      <c r="D747" s="330"/>
      <c r="E747" s="157"/>
      <c r="F747" s="12"/>
    </row>
    <row r="748">
      <c r="A748" s="225"/>
      <c r="B748" s="213"/>
      <c r="C748" s="356"/>
      <c r="D748" s="330"/>
      <c r="E748" s="157"/>
      <c r="F748" s="12"/>
    </row>
    <row r="749">
      <c r="A749" s="225"/>
      <c r="B749" s="213"/>
      <c r="C749" s="356"/>
      <c r="D749" s="330"/>
      <c r="E749" s="157"/>
      <c r="F749" s="12"/>
    </row>
    <row r="750">
      <c r="A750" s="225"/>
      <c r="B750" s="213"/>
      <c r="C750" s="356"/>
      <c r="D750" s="330"/>
      <c r="E750" s="157"/>
      <c r="F750" s="12"/>
    </row>
    <row r="751">
      <c r="A751" s="225"/>
      <c r="B751" s="213"/>
      <c r="C751" s="356"/>
      <c r="D751" s="330"/>
      <c r="E751" s="157"/>
      <c r="F751" s="12"/>
    </row>
    <row r="752">
      <c r="A752" s="225"/>
      <c r="B752" s="213"/>
      <c r="C752" s="356"/>
      <c r="D752" s="330"/>
      <c r="E752" s="157"/>
      <c r="F752" s="12"/>
    </row>
    <row r="753">
      <c r="A753" s="225"/>
      <c r="B753" s="213"/>
      <c r="C753" s="356"/>
      <c r="D753" s="330"/>
      <c r="E753" s="157"/>
      <c r="F753" s="12"/>
    </row>
    <row r="754">
      <c r="A754" s="225"/>
      <c r="B754" s="213"/>
      <c r="C754" s="356"/>
      <c r="D754" s="330"/>
      <c r="E754" s="157"/>
      <c r="F754" s="12"/>
    </row>
    <row r="755">
      <c r="A755" s="225"/>
      <c r="B755" s="213"/>
      <c r="C755" s="356"/>
      <c r="D755" s="330"/>
      <c r="E755" s="157"/>
      <c r="F755" s="12"/>
    </row>
    <row r="756">
      <c r="A756" s="225"/>
      <c r="B756" s="213"/>
      <c r="C756" s="356"/>
      <c r="D756" s="330"/>
      <c r="E756" s="157"/>
      <c r="F756" s="12"/>
    </row>
    <row r="757">
      <c r="A757" s="225"/>
      <c r="B757" s="213"/>
      <c r="C757" s="356"/>
      <c r="D757" s="330"/>
      <c r="E757" s="157"/>
      <c r="F757" s="12"/>
    </row>
    <row r="758">
      <c r="A758" s="225"/>
      <c r="B758" s="213"/>
      <c r="C758" s="356"/>
      <c r="D758" s="330"/>
      <c r="E758" s="157"/>
      <c r="F758" s="12"/>
    </row>
    <row r="759">
      <c r="A759" s="225"/>
      <c r="B759" s="213"/>
      <c r="C759" s="356"/>
      <c r="D759" s="330"/>
      <c r="E759" s="157"/>
      <c r="F759" s="12"/>
    </row>
    <row r="760">
      <c r="A760" s="225"/>
      <c r="B760" s="213"/>
      <c r="C760" s="356"/>
      <c r="D760" s="330"/>
      <c r="E760" s="157"/>
      <c r="F760" s="12"/>
    </row>
    <row r="761">
      <c r="A761" s="225"/>
      <c r="B761" s="213"/>
      <c r="C761" s="356"/>
      <c r="D761" s="330"/>
      <c r="E761" s="157"/>
      <c r="F761" s="12"/>
    </row>
    <row r="762">
      <c r="A762" s="225"/>
      <c r="B762" s="213"/>
      <c r="C762" s="356"/>
      <c r="D762" s="330"/>
      <c r="E762" s="157"/>
      <c r="F762" s="12"/>
    </row>
    <row r="763">
      <c r="A763" s="225"/>
      <c r="B763" s="213"/>
      <c r="C763" s="356"/>
      <c r="D763" s="330"/>
      <c r="E763" s="157"/>
      <c r="F763" s="12"/>
    </row>
    <row r="764">
      <c r="A764" s="225"/>
      <c r="B764" s="213"/>
      <c r="C764" s="356"/>
      <c r="D764" s="330"/>
      <c r="E764" s="157"/>
      <c r="F764" s="12"/>
    </row>
    <row r="765">
      <c r="A765" s="225"/>
      <c r="B765" s="213"/>
      <c r="C765" s="356"/>
      <c r="D765" s="330"/>
      <c r="E765" s="157"/>
      <c r="F765" s="12"/>
    </row>
    <row r="766">
      <c r="A766" s="225"/>
      <c r="B766" s="213"/>
      <c r="C766" s="356"/>
      <c r="D766" s="330"/>
      <c r="E766" s="157"/>
      <c r="F766" s="12"/>
    </row>
    <row r="767">
      <c r="A767" s="225"/>
      <c r="B767" s="213"/>
      <c r="C767" s="356"/>
      <c r="D767" s="330"/>
      <c r="E767" s="157"/>
      <c r="F767" s="12"/>
    </row>
    <row r="768">
      <c r="A768" s="225"/>
      <c r="B768" s="213"/>
      <c r="C768" s="356"/>
      <c r="D768" s="330"/>
      <c r="E768" s="157"/>
      <c r="F768" s="12"/>
    </row>
    <row r="769">
      <c r="A769" s="225"/>
      <c r="B769" s="213"/>
      <c r="C769" s="356"/>
      <c r="D769" s="330"/>
      <c r="E769" s="157"/>
      <c r="F769" s="12"/>
    </row>
    <row r="770">
      <c r="A770" s="225"/>
      <c r="B770" s="213"/>
      <c r="C770" s="356"/>
      <c r="D770" s="330"/>
      <c r="E770" s="157"/>
      <c r="F770" s="12"/>
    </row>
    <row r="771">
      <c r="A771" s="225"/>
      <c r="B771" s="213"/>
      <c r="C771" s="356"/>
      <c r="D771" s="330"/>
      <c r="E771" s="157"/>
      <c r="F771" s="12"/>
    </row>
    <row r="772">
      <c r="A772" s="225"/>
      <c r="B772" s="213"/>
      <c r="C772" s="356"/>
      <c r="D772" s="330"/>
      <c r="E772" s="157"/>
      <c r="F772" s="12"/>
    </row>
    <row r="773">
      <c r="A773" s="225"/>
      <c r="B773" s="213"/>
      <c r="C773" s="356"/>
      <c r="D773" s="330"/>
      <c r="E773" s="157"/>
      <c r="F773" s="12"/>
    </row>
    <row r="774">
      <c r="A774" s="225"/>
      <c r="B774" s="213"/>
      <c r="C774" s="356"/>
      <c r="D774" s="330"/>
      <c r="E774" s="157"/>
      <c r="F774" s="12"/>
    </row>
    <row r="775">
      <c r="A775" s="225"/>
      <c r="B775" s="213"/>
      <c r="C775" s="356"/>
      <c r="D775" s="330"/>
      <c r="E775" s="157"/>
      <c r="F775" s="12"/>
    </row>
    <row r="776">
      <c r="A776" s="225"/>
      <c r="B776" s="213"/>
      <c r="C776" s="356"/>
      <c r="D776" s="330"/>
      <c r="E776" s="157"/>
      <c r="F776" s="12"/>
    </row>
    <row r="777">
      <c r="A777" s="225"/>
      <c r="B777" s="213"/>
      <c r="C777" s="356"/>
      <c r="D777" s="330"/>
      <c r="E777" s="157"/>
      <c r="F777" s="12"/>
    </row>
    <row r="778">
      <c r="A778" s="225"/>
      <c r="B778" s="213"/>
      <c r="C778" s="356"/>
      <c r="D778" s="330"/>
      <c r="E778" s="157"/>
      <c r="F778" s="12"/>
    </row>
    <row r="779">
      <c r="A779" s="225"/>
      <c r="B779" s="213"/>
      <c r="C779" s="356"/>
      <c r="D779" s="330"/>
      <c r="E779" s="157"/>
      <c r="F779" s="12"/>
    </row>
    <row r="780">
      <c r="A780" s="225"/>
      <c r="B780" s="213"/>
      <c r="C780" s="356"/>
      <c r="D780" s="330"/>
      <c r="E780" s="157"/>
      <c r="F780" s="12"/>
    </row>
    <row r="781">
      <c r="A781" s="225"/>
      <c r="B781" s="213"/>
      <c r="C781" s="356"/>
      <c r="D781" s="330"/>
      <c r="E781" s="157"/>
      <c r="F781" s="12"/>
    </row>
    <row r="782">
      <c r="A782" s="225"/>
      <c r="B782" s="213"/>
      <c r="C782" s="356"/>
      <c r="D782" s="330"/>
      <c r="E782" s="157"/>
      <c r="F782" s="12"/>
    </row>
    <row r="783">
      <c r="A783" s="225"/>
      <c r="B783" s="213"/>
      <c r="C783" s="356"/>
      <c r="D783" s="330"/>
      <c r="E783" s="157"/>
      <c r="F783" s="12"/>
    </row>
    <row r="784">
      <c r="A784" s="225"/>
      <c r="B784" s="213"/>
      <c r="C784" s="356"/>
      <c r="D784" s="330"/>
      <c r="E784" s="157"/>
      <c r="F784" s="12"/>
    </row>
    <row r="785">
      <c r="A785" s="225"/>
      <c r="B785" s="213"/>
      <c r="C785" s="356"/>
      <c r="D785" s="330"/>
      <c r="E785" s="157"/>
      <c r="F785" s="12"/>
    </row>
    <row r="786">
      <c r="A786" s="225"/>
      <c r="B786" s="213"/>
      <c r="C786" s="356"/>
      <c r="D786" s="330"/>
      <c r="E786" s="157"/>
      <c r="F786" s="12"/>
    </row>
    <row r="787">
      <c r="A787" s="225"/>
      <c r="B787" s="213"/>
      <c r="C787" s="356"/>
      <c r="D787" s="330"/>
      <c r="E787" s="157"/>
      <c r="F787" s="12"/>
    </row>
    <row r="788">
      <c r="A788" s="225"/>
      <c r="B788" s="213"/>
      <c r="C788" s="356"/>
      <c r="D788" s="330"/>
      <c r="E788" s="157"/>
      <c r="F788" s="12"/>
    </row>
    <row r="789">
      <c r="A789" s="225"/>
      <c r="B789" s="213"/>
      <c r="C789" s="356"/>
      <c r="D789" s="330"/>
      <c r="E789" s="157"/>
      <c r="F789" s="12"/>
    </row>
    <row r="790">
      <c r="A790" s="225"/>
      <c r="B790" s="213"/>
      <c r="C790" s="356"/>
      <c r="D790" s="330"/>
      <c r="E790" s="157"/>
      <c r="F790" s="12"/>
    </row>
    <row r="791">
      <c r="A791" s="225"/>
      <c r="B791" s="213"/>
      <c r="C791" s="356"/>
      <c r="D791" s="330"/>
      <c r="E791" s="157"/>
      <c r="F791" s="12"/>
    </row>
    <row r="792">
      <c r="A792" s="225"/>
      <c r="B792" s="213"/>
      <c r="C792" s="356"/>
      <c r="D792" s="330"/>
      <c r="E792" s="157"/>
      <c r="F792" s="12"/>
    </row>
    <row r="793">
      <c r="A793" s="225"/>
      <c r="B793" s="213"/>
      <c r="C793" s="356"/>
      <c r="D793" s="330"/>
      <c r="E793" s="157"/>
      <c r="F793" s="12"/>
    </row>
    <row r="794">
      <c r="A794" s="225"/>
      <c r="B794" s="213"/>
      <c r="C794" s="356"/>
      <c r="D794" s="330"/>
      <c r="E794" s="157"/>
      <c r="F794" s="12"/>
    </row>
    <row r="795">
      <c r="A795" s="225"/>
      <c r="B795" s="213"/>
      <c r="C795" s="356"/>
      <c r="D795" s="330"/>
      <c r="E795" s="157"/>
      <c r="F795" s="12"/>
    </row>
    <row r="796">
      <c r="A796" s="225"/>
      <c r="B796" s="213"/>
      <c r="C796" s="356"/>
      <c r="D796" s="330"/>
      <c r="E796" s="157"/>
      <c r="F796" s="12"/>
    </row>
    <row r="797">
      <c r="A797" s="225"/>
      <c r="B797" s="213"/>
      <c r="C797" s="356"/>
      <c r="D797" s="330"/>
      <c r="E797" s="157"/>
      <c r="F797" s="12"/>
    </row>
    <row r="798">
      <c r="A798" s="225"/>
      <c r="B798" s="213"/>
      <c r="C798" s="356"/>
      <c r="D798" s="330"/>
      <c r="E798" s="157"/>
      <c r="F798" s="12"/>
    </row>
    <row r="799">
      <c r="A799" s="225"/>
      <c r="B799" s="213"/>
      <c r="C799" s="356"/>
      <c r="D799" s="330"/>
      <c r="E799" s="157"/>
      <c r="F799" s="12"/>
    </row>
    <row r="800">
      <c r="A800" s="225"/>
      <c r="B800" s="213"/>
      <c r="C800" s="356"/>
      <c r="D800" s="330"/>
      <c r="E800" s="157"/>
      <c r="F800" s="12"/>
    </row>
    <row r="801">
      <c r="A801" s="225"/>
      <c r="B801" s="213"/>
      <c r="C801" s="356"/>
      <c r="D801" s="330"/>
      <c r="E801" s="157"/>
      <c r="F801" s="12"/>
    </row>
    <row r="802">
      <c r="A802" s="225"/>
      <c r="B802" s="213"/>
      <c r="C802" s="356"/>
      <c r="D802" s="330"/>
      <c r="E802" s="157"/>
      <c r="F802" s="12"/>
    </row>
    <row r="803">
      <c r="A803" s="225"/>
      <c r="B803" s="213"/>
      <c r="C803" s="356"/>
      <c r="D803" s="330"/>
      <c r="E803" s="157"/>
      <c r="F803" s="12"/>
    </row>
    <row r="804">
      <c r="A804" s="225"/>
      <c r="B804" s="213"/>
      <c r="C804" s="356"/>
      <c r="D804" s="330"/>
      <c r="E804" s="157"/>
      <c r="F804" s="12"/>
    </row>
    <row r="805">
      <c r="A805" s="225"/>
      <c r="B805" s="213"/>
      <c r="C805" s="356"/>
      <c r="D805" s="330"/>
      <c r="E805" s="157"/>
      <c r="F805" s="12"/>
    </row>
    <row r="806">
      <c r="A806" s="225"/>
      <c r="B806" s="213"/>
      <c r="C806" s="356"/>
      <c r="D806" s="330"/>
      <c r="E806" s="157"/>
      <c r="F806" s="12"/>
    </row>
    <row r="807">
      <c r="A807" s="225"/>
      <c r="B807" s="213"/>
      <c r="C807" s="356"/>
      <c r="D807" s="330"/>
      <c r="E807" s="157"/>
      <c r="F807" s="12"/>
    </row>
    <row r="808">
      <c r="A808" s="225"/>
      <c r="B808" s="213"/>
      <c r="C808" s="356"/>
      <c r="D808" s="330"/>
      <c r="E808" s="157"/>
      <c r="F808" s="12"/>
    </row>
    <row r="809">
      <c r="A809" s="225"/>
      <c r="B809" s="213"/>
      <c r="C809" s="356"/>
      <c r="D809" s="330"/>
      <c r="E809" s="157"/>
      <c r="F809" s="12"/>
    </row>
    <row r="810">
      <c r="A810" s="225"/>
      <c r="B810" s="213"/>
      <c r="C810" s="356"/>
      <c r="D810" s="330"/>
      <c r="E810" s="157"/>
      <c r="F810" s="12"/>
    </row>
    <row r="811">
      <c r="A811" s="225"/>
      <c r="B811" s="213"/>
      <c r="C811" s="356"/>
      <c r="D811" s="330"/>
      <c r="E811" s="157"/>
      <c r="F811" s="12"/>
    </row>
    <row r="812">
      <c r="A812" s="225"/>
      <c r="B812" s="213"/>
      <c r="C812" s="356"/>
      <c r="D812" s="330"/>
      <c r="E812" s="157"/>
      <c r="F812" s="12"/>
    </row>
    <row r="813">
      <c r="A813" s="225"/>
      <c r="B813" s="213"/>
      <c r="C813" s="356"/>
      <c r="D813" s="330"/>
      <c r="E813" s="157"/>
      <c r="F813" s="12"/>
    </row>
    <row r="814">
      <c r="A814" s="225"/>
      <c r="B814" s="213"/>
      <c r="C814" s="356"/>
      <c r="D814" s="330"/>
      <c r="E814" s="157"/>
      <c r="F814" s="12"/>
    </row>
    <row r="815">
      <c r="A815" s="225"/>
      <c r="B815" s="213"/>
      <c r="C815" s="356"/>
      <c r="D815" s="330"/>
      <c r="E815" s="157"/>
      <c r="F815" s="12"/>
    </row>
    <row r="816">
      <c r="A816" s="225"/>
      <c r="B816" s="213"/>
      <c r="C816" s="356"/>
      <c r="D816" s="330"/>
      <c r="E816" s="157"/>
      <c r="F816" s="12"/>
    </row>
    <row r="817">
      <c r="A817" s="225"/>
      <c r="B817" s="213"/>
      <c r="C817" s="356"/>
      <c r="D817" s="330"/>
      <c r="E817" s="157"/>
      <c r="F817" s="12"/>
    </row>
    <row r="818">
      <c r="A818" s="225"/>
      <c r="B818" s="213"/>
      <c r="C818" s="356"/>
      <c r="D818" s="330"/>
      <c r="E818" s="157"/>
      <c r="F818" s="12"/>
    </row>
    <row r="819">
      <c r="A819" s="225"/>
      <c r="B819" s="213"/>
      <c r="C819" s="356"/>
      <c r="D819" s="330"/>
      <c r="E819" s="157"/>
      <c r="F819" s="12"/>
    </row>
    <row r="820">
      <c r="A820" s="225"/>
      <c r="B820" s="213"/>
      <c r="C820" s="356"/>
      <c r="D820" s="330"/>
      <c r="E820" s="157"/>
      <c r="F820" s="12"/>
    </row>
    <row r="821">
      <c r="A821" s="225"/>
      <c r="B821" s="213"/>
      <c r="C821" s="356"/>
      <c r="D821" s="330"/>
      <c r="E821" s="157"/>
      <c r="F821" s="12"/>
    </row>
    <row r="822">
      <c r="A822" s="225"/>
      <c r="B822" s="213"/>
      <c r="C822" s="356"/>
      <c r="D822" s="330"/>
      <c r="E822" s="157"/>
      <c r="F822" s="12"/>
    </row>
    <row r="823">
      <c r="A823" s="225"/>
      <c r="B823" s="213"/>
      <c r="C823" s="356"/>
      <c r="D823" s="330"/>
      <c r="E823" s="157"/>
      <c r="F823" s="12"/>
    </row>
    <row r="824">
      <c r="A824" s="225"/>
      <c r="B824" s="213"/>
      <c r="C824" s="356"/>
      <c r="D824" s="330"/>
      <c r="E824" s="157"/>
      <c r="F824" s="12"/>
    </row>
    <row r="825">
      <c r="A825" s="225"/>
      <c r="B825" s="213"/>
      <c r="C825" s="356"/>
      <c r="D825" s="330"/>
      <c r="E825" s="157"/>
      <c r="F825" s="12"/>
    </row>
    <row r="826">
      <c r="A826" s="225"/>
      <c r="B826" s="213"/>
      <c r="C826" s="356"/>
      <c r="D826" s="330"/>
      <c r="E826" s="157"/>
      <c r="F826" s="12"/>
    </row>
    <row r="827">
      <c r="A827" s="225"/>
      <c r="B827" s="213"/>
      <c r="C827" s="356"/>
      <c r="D827" s="330"/>
      <c r="E827" s="157"/>
      <c r="F827" s="12"/>
    </row>
    <row r="828">
      <c r="A828" s="225"/>
      <c r="B828" s="213"/>
      <c r="C828" s="356"/>
      <c r="D828" s="330"/>
      <c r="E828" s="157"/>
      <c r="F828" s="12"/>
    </row>
    <row r="829">
      <c r="A829" s="225"/>
      <c r="B829" s="213"/>
      <c r="C829" s="356"/>
      <c r="D829" s="330"/>
      <c r="E829" s="157"/>
      <c r="F829" s="12"/>
    </row>
    <row r="830">
      <c r="A830" s="225"/>
      <c r="B830" s="213"/>
      <c r="C830" s="356"/>
      <c r="D830" s="330"/>
      <c r="E830" s="157"/>
      <c r="F830" s="12"/>
    </row>
    <row r="831">
      <c r="A831" s="225"/>
      <c r="B831" s="213"/>
      <c r="C831" s="356"/>
      <c r="D831" s="330"/>
      <c r="E831" s="157"/>
      <c r="F831" s="12"/>
    </row>
    <row r="832">
      <c r="A832" s="225"/>
      <c r="B832" s="213"/>
      <c r="C832" s="356"/>
      <c r="D832" s="330"/>
      <c r="E832" s="157"/>
      <c r="F832" s="12"/>
    </row>
    <row r="833">
      <c r="A833" s="225"/>
      <c r="B833" s="213"/>
      <c r="C833" s="356"/>
      <c r="D833" s="330"/>
      <c r="E833" s="157"/>
      <c r="F833" s="12"/>
    </row>
    <row r="834">
      <c r="A834" s="225"/>
      <c r="B834" s="213"/>
      <c r="C834" s="356"/>
      <c r="D834" s="330"/>
      <c r="E834" s="157"/>
      <c r="F834" s="12"/>
    </row>
    <row r="835">
      <c r="A835" s="225"/>
      <c r="B835" s="213"/>
      <c r="C835" s="356"/>
      <c r="D835" s="330"/>
      <c r="E835" s="157"/>
      <c r="F835" s="12"/>
    </row>
    <row r="836">
      <c r="A836" s="225"/>
      <c r="B836" s="213"/>
      <c r="C836" s="356"/>
      <c r="D836" s="330"/>
      <c r="E836" s="157"/>
      <c r="F836" s="12"/>
    </row>
    <row r="837">
      <c r="A837" s="225"/>
      <c r="B837" s="213"/>
      <c r="C837" s="356"/>
      <c r="D837" s="330"/>
      <c r="E837" s="157"/>
      <c r="F837" s="12"/>
    </row>
    <row r="838">
      <c r="A838" s="225"/>
      <c r="B838" s="213"/>
      <c r="C838" s="356"/>
      <c r="D838" s="330"/>
      <c r="E838" s="157"/>
      <c r="F838" s="12"/>
    </row>
    <row r="839">
      <c r="A839" s="225"/>
      <c r="B839" s="213"/>
      <c r="C839" s="356"/>
      <c r="D839" s="330"/>
      <c r="E839" s="157"/>
      <c r="F839" s="12"/>
    </row>
    <row r="840">
      <c r="A840" s="225"/>
      <c r="B840" s="213"/>
      <c r="C840" s="356"/>
      <c r="D840" s="330"/>
      <c r="E840" s="157"/>
      <c r="F840" s="12"/>
    </row>
    <row r="841">
      <c r="A841" s="225"/>
      <c r="B841" s="213"/>
      <c r="C841" s="356"/>
      <c r="D841" s="330"/>
      <c r="E841" s="157"/>
      <c r="F841" s="12"/>
    </row>
    <row r="842">
      <c r="A842" s="225"/>
      <c r="B842" s="213"/>
      <c r="C842" s="356"/>
      <c r="D842" s="330"/>
      <c r="E842" s="157"/>
      <c r="F842" s="12"/>
    </row>
    <row r="843">
      <c r="A843" s="225"/>
      <c r="B843" s="213"/>
      <c r="C843" s="356"/>
      <c r="D843" s="330"/>
      <c r="E843" s="157"/>
      <c r="F843" s="12"/>
    </row>
    <row r="844">
      <c r="A844" s="225"/>
      <c r="B844" s="213"/>
      <c r="C844" s="356"/>
      <c r="D844" s="330"/>
      <c r="E844" s="157"/>
      <c r="F844" s="12"/>
    </row>
    <row r="845">
      <c r="A845" s="225"/>
      <c r="B845" s="213"/>
      <c r="C845" s="356"/>
      <c r="D845" s="330"/>
      <c r="E845" s="157"/>
      <c r="F845" s="12"/>
    </row>
    <row r="846">
      <c r="A846" s="225"/>
      <c r="B846" s="213"/>
      <c r="C846" s="356"/>
      <c r="D846" s="330"/>
      <c r="E846" s="157"/>
      <c r="F846" s="12"/>
    </row>
    <row r="847">
      <c r="A847" s="225"/>
      <c r="B847" s="213"/>
      <c r="C847" s="356"/>
      <c r="D847" s="330"/>
      <c r="E847" s="157"/>
      <c r="F847" s="12"/>
    </row>
    <row r="848">
      <c r="A848" s="225"/>
      <c r="B848" s="213"/>
      <c r="C848" s="356"/>
      <c r="D848" s="330"/>
      <c r="E848" s="157"/>
      <c r="F848" s="12"/>
    </row>
    <row r="849">
      <c r="A849" s="225"/>
      <c r="B849" s="213"/>
      <c r="C849" s="356"/>
      <c r="D849" s="330"/>
      <c r="E849" s="157"/>
      <c r="F849" s="12"/>
    </row>
    <row r="850">
      <c r="A850" s="225"/>
      <c r="B850" s="213"/>
      <c r="C850" s="356"/>
      <c r="D850" s="330"/>
      <c r="E850" s="157"/>
      <c r="F850" s="12"/>
    </row>
    <row r="851">
      <c r="A851" s="225"/>
      <c r="B851" s="213"/>
      <c r="C851" s="356"/>
      <c r="D851" s="330"/>
      <c r="E851" s="157"/>
      <c r="F851" s="12"/>
    </row>
    <row r="852">
      <c r="A852" s="225"/>
      <c r="B852" s="213"/>
      <c r="C852" s="356"/>
      <c r="D852" s="330"/>
      <c r="E852" s="157"/>
      <c r="F852" s="12"/>
    </row>
    <row r="853">
      <c r="A853" s="225"/>
      <c r="B853" s="213"/>
      <c r="C853" s="356"/>
      <c r="D853" s="330"/>
      <c r="E853" s="157"/>
      <c r="F853" s="12"/>
    </row>
    <row r="854">
      <c r="A854" s="225"/>
      <c r="B854" s="213"/>
      <c r="C854" s="356"/>
      <c r="D854" s="330"/>
      <c r="E854" s="157"/>
      <c r="F854" s="12"/>
    </row>
    <row r="855">
      <c r="A855" s="225"/>
      <c r="B855" s="213"/>
      <c r="C855" s="356"/>
      <c r="D855" s="330"/>
      <c r="E855" s="157"/>
      <c r="F855" s="12"/>
    </row>
    <row r="856">
      <c r="A856" s="225"/>
      <c r="B856" s="213"/>
      <c r="C856" s="356"/>
      <c r="D856" s="330"/>
      <c r="E856" s="157"/>
      <c r="F856" s="12"/>
    </row>
    <row r="857">
      <c r="A857" s="225"/>
      <c r="B857" s="213"/>
      <c r="C857" s="356"/>
      <c r="D857" s="330"/>
      <c r="E857" s="157"/>
      <c r="F857" s="12"/>
    </row>
    <row r="858">
      <c r="A858" s="225"/>
      <c r="B858" s="213"/>
      <c r="C858" s="356"/>
      <c r="D858" s="330"/>
      <c r="E858" s="157"/>
      <c r="F858" s="12"/>
    </row>
    <row r="859">
      <c r="A859" s="225"/>
      <c r="B859" s="213"/>
      <c r="C859" s="356"/>
      <c r="D859" s="330"/>
      <c r="E859" s="157"/>
      <c r="F859" s="12"/>
    </row>
    <row r="860">
      <c r="A860" s="225"/>
      <c r="B860" s="213"/>
      <c r="C860" s="356"/>
      <c r="D860" s="330"/>
      <c r="E860" s="157"/>
      <c r="F860" s="12"/>
    </row>
    <row r="861">
      <c r="A861" s="225"/>
      <c r="B861" s="213"/>
      <c r="C861" s="356"/>
      <c r="D861" s="330"/>
      <c r="E861" s="157"/>
      <c r="F861" s="12"/>
    </row>
    <row r="862">
      <c r="A862" s="225"/>
      <c r="B862" s="213"/>
      <c r="C862" s="356"/>
      <c r="D862" s="330"/>
      <c r="E862" s="157"/>
      <c r="F862" s="12"/>
    </row>
    <row r="863">
      <c r="A863" s="225"/>
      <c r="B863" s="213"/>
      <c r="C863" s="356"/>
      <c r="D863" s="330"/>
      <c r="E863" s="157"/>
      <c r="F863" s="12"/>
    </row>
    <row r="864">
      <c r="A864" s="225"/>
      <c r="B864" s="213"/>
      <c r="C864" s="356"/>
      <c r="D864" s="330"/>
      <c r="E864" s="157"/>
      <c r="F864" s="12"/>
    </row>
    <row r="865">
      <c r="A865" s="225"/>
      <c r="B865" s="213"/>
      <c r="C865" s="356"/>
      <c r="D865" s="330"/>
      <c r="E865" s="157"/>
      <c r="F865" s="12"/>
    </row>
    <row r="866">
      <c r="A866" s="225"/>
      <c r="B866" s="213"/>
      <c r="C866" s="356"/>
      <c r="D866" s="330"/>
      <c r="E866" s="157"/>
      <c r="F866" s="12"/>
    </row>
    <row r="867">
      <c r="A867" s="225"/>
      <c r="B867" s="213"/>
      <c r="C867" s="356"/>
      <c r="D867" s="330"/>
      <c r="E867" s="157"/>
      <c r="F867" s="12"/>
    </row>
    <row r="868">
      <c r="A868" s="225"/>
      <c r="B868" s="213"/>
      <c r="C868" s="356"/>
      <c r="D868" s="330"/>
      <c r="E868" s="157"/>
      <c r="F868" s="12"/>
    </row>
    <row r="869">
      <c r="A869" s="225"/>
      <c r="B869" s="213"/>
      <c r="C869" s="356"/>
      <c r="D869" s="330"/>
      <c r="E869" s="157"/>
      <c r="F869" s="12"/>
    </row>
    <row r="870">
      <c r="A870" s="225"/>
      <c r="B870" s="213"/>
      <c r="C870" s="356"/>
      <c r="D870" s="330"/>
      <c r="E870" s="157"/>
      <c r="F870" s="12"/>
    </row>
    <row r="871">
      <c r="A871" s="225"/>
      <c r="B871" s="213"/>
      <c r="C871" s="356"/>
      <c r="D871" s="330"/>
      <c r="E871" s="157"/>
      <c r="F871" s="12"/>
    </row>
    <row r="872">
      <c r="A872" s="225"/>
      <c r="B872" s="213"/>
      <c r="C872" s="356"/>
      <c r="D872" s="330"/>
      <c r="E872" s="157"/>
      <c r="F872" s="12"/>
    </row>
    <row r="873">
      <c r="A873" s="225"/>
      <c r="B873" s="213"/>
      <c r="C873" s="356"/>
      <c r="D873" s="330"/>
      <c r="E873" s="157"/>
      <c r="F873" s="12"/>
    </row>
    <row r="874">
      <c r="A874" s="225"/>
      <c r="B874" s="213"/>
      <c r="C874" s="356"/>
      <c r="D874" s="330"/>
      <c r="E874" s="157"/>
      <c r="F874" s="12"/>
    </row>
    <row r="875">
      <c r="A875" s="225"/>
      <c r="B875" s="213"/>
      <c r="C875" s="356"/>
      <c r="D875" s="330"/>
      <c r="E875" s="157"/>
      <c r="F875" s="12"/>
    </row>
    <row r="876">
      <c r="A876" s="225"/>
      <c r="B876" s="213"/>
      <c r="C876" s="356"/>
      <c r="D876" s="330"/>
      <c r="E876" s="157"/>
      <c r="F876" s="12"/>
    </row>
    <row r="877">
      <c r="A877" s="225"/>
      <c r="B877" s="213"/>
      <c r="C877" s="356"/>
      <c r="D877" s="330"/>
      <c r="E877" s="157"/>
      <c r="F877" s="12"/>
    </row>
    <row r="878">
      <c r="A878" s="225"/>
      <c r="B878" s="213"/>
      <c r="C878" s="356"/>
      <c r="D878" s="330"/>
      <c r="E878" s="157"/>
      <c r="F878" s="12"/>
    </row>
    <row r="879">
      <c r="A879" s="225"/>
      <c r="B879" s="213"/>
      <c r="C879" s="356"/>
      <c r="D879" s="330"/>
      <c r="E879" s="157"/>
      <c r="F879" s="12"/>
    </row>
    <row r="880">
      <c r="A880" s="225"/>
      <c r="B880" s="213"/>
      <c r="C880" s="356"/>
      <c r="D880" s="330"/>
      <c r="E880" s="157"/>
      <c r="F880" s="12"/>
    </row>
    <row r="881">
      <c r="A881" s="225"/>
      <c r="B881" s="213"/>
      <c r="C881" s="356"/>
      <c r="D881" s="330"/>
      <c r="E881" s="157"/>
      <c r="F881" s="12"/>
    </row>
    <row r="882">
      <c r="A882" s="225"/>
      <c r="B882" s="213"/>
      <c r="C882" s="356"/>
      <c r="D882" s="330"/>
      <c r="E882" s="157"/>
      <c r="F882" s="12"/>
    </row>
    <row r="883">
      <c r="A883" s="225"/>
      <c r="B883" s="213"/>
      <c r="C883" s="356"/>
      <c r="D883" s="330"/>
      <c r="E883" s="157"/>
      <c r="F883" s="12"/>
    </row>
    <row r="884">
      <c r="A884" s="225"/>
      <c r="B884" s="213"/>
      <c r="C884" s="356"/>
      <c r="D884" s="330"/>
      <c r="E884" s="157"/>
      <c r="F884" s="12"/>
    </row>
    <row r="885">
      <c r="A885" s="225"/>
      <c r="B885" s="213"/>
      <c r="C885" s="356"/>
      <c r="D885" s="330"/>
      <c r="E885" s="157"/>
      <c r="F885" s="12"/>
    </row>
    <row r="886">
      <c r="A886" s="225"/>
      <c r="B886" s="213"/>
      <c r="C886" s="356"/>
      <c r="D886" s="330"/>
      <c r="E886" s="157"/>
      <c r="F886" s="12"/>
    </row>
    <row r="887">
      <c r="A887" s="225"/>
      <c r="B887" s="213"/>
      <c r="C887" s="356"/>
      <c r="D887" s="330"/>
      <c r="E887" s="157"/>
      <c r="F887" s="12"/>
    </row>
    <row r="888">
      <c r="A888" s="225"/>
      <c r="B888" s="213"/>
      <c r="C888" s="356"/>
      <c r="D888" s="330"/>
      <c r="E888" s="157"/>
      <c r="F888" s="12"/>
    </row>
    <row r="889">
      <c r="A889" s="225"/>
      <c r="B889" s="213"/>
      <c r="C889" s="356"/>
      <c r="D889" s="330"/>
      <c r="E889" s="157"/>
      <c r="F889" s="12"/>
    </row>
    <row r="890">
      <c r="A890" s="225"/>
      <c r="B890" s="213"/>
      <c r="C890" s="356"/>
      <c r="D890" s="330"/>
      <c r="E890" s="157"/>
      <c r="F890" s="12"/>
    </row>
    <row r="891">
      <c r="A891" s="225"/>
      <c r="B891" s="213"/>
      <c r="C891" s="356"/>
      <c r="D891" s="330"/>
      <c r="E891" s="157"/>
      <c r="F891" s="12"/>
    </row>
    <row r="892">
      <c r="A892" s="225"/>
      <c r="B892" s="213"/>
      <c r="C892" s="356"/>
      <c r="D892" s="330"/>
      <c r="E892" s="157"/>
      <c r="F892" s="12"/>
    </row>
    <row r="893">
      <c r="A893" s="225"/>
      <c r="B893" s="213"/>
      <c r="C893" s="356"/>
      <c r="D893" s="330"/>
      <c r="E893" s="157"/>
      <c r="F893" s="12"/>
    </row>
    <row r="894">
      <c r="A894" s="225"/>
      <c r="B894" s="213"/>
      <c r="C894" s="356"/>
      <c r="D894" s="330"/>
      <c r="E894" s="157"/>
      <c r="F894" s="12"/>
    </row>
    <row r="895">
      <c r="A895" s="225"/>
      <c r="B895" s="213"/>
      <c r="C895" s="356"/>
      <c r="D895" s="330"/>
      <c r="E895" s="157"/>
      <c r="F895" s="12"/>
    </row>
    <row r="896">
      <c r="A896" s="225"/>
      <c r="B896" s="213"/>
      <c r="C896" s="356"/>
      <c r="D896" s="330"/>
      <c r="E896" s="157"/>
      <c r="F896" s="12"/>
    </row>
    <row r="897">
      <c r="A897" s="225"/>
      <c r="B897" s="213"/>
      <c r="C897" s="356"/>
      <c r="D897" s="330"/>
      <c r="E897" s="157"/>
      <c r="F897" s="12"/>
    </row>
    <row r="898">
      <c r="A898" s="225"/>
      <c r="B898" s="213"/>
      <c r="C898" s="356"/>
      <c r="D898" s="330"/>
      <c r="E898" s="157"/>
      <c r="F898" s="12"/>
    </row>
    <row r="899">
      <c r="A899" s="225"/>
      <c r="B899" s="213"/>
      <c r="C899" s="356"/>
      <c r="D899" s="330"/>
      <c r="E899" s="157"/>
      <c r="F899" s="12"/>
    </row>
    <row r="900">
      <c r="A900" s="225"/>
      <c r="B900" s="213"/>
      <c r="C900" s="356"/>
      <c r="D900" s="330"/>
      <c r="E900" s="157"/>
      <c r="F900" s="12"/>
    </row>
    <row r="901">
      <c r="A901" s="225"/>
      <c r="B901" s="213"/>
      <c r="C901" s="356"/>
      <c r="D901" s="330"/>
      <c r="E901" s="157"/>
      <c r="F901" s="12"/>
    </row>
    <row r="902">
      <c r="A902" s="225"/>
      <c r="B902" s="213"/>
      <c r="C902" s="356"/>
      <c r="D902" s="330"/>
      <c r="E902" s="157"/>
      <c r="F902" s="12"/>
    </row>
    <row r="903">
      <c r="A903" s="225"/>
      <c r="B903" s="213"/>
      <c r="C903" s="356"/>
      <c r="D903" s="330"/>
      <c r="E903" s="157"/>
      <c r="F903" s="12"/>
    </row>
    <row r="904">
      <c r="A904" s="225"/>
      <c r="B904" s="213"/>
      <c r="C904" s="356"/>
      <c r="D904" s="330"/>
      <c r="E904" s="157"/>
      <c r="F904" s="12"/>
    </row>
    <row r="905">
      <c r="A905" s="225"/>
      <c r="B905" s="213"/>
      <c r="C905" s="356"/>
      <c r="D905" s="330"/>
      <c r="E905" s="157"/>
      <c r="F905" s="12"/>
    </row>
    <row r="906">
      <c r="A906" s="225"/>
      <c r="B906" s="213"/>
      <c r="C906" s="356"/>
      <c r="D906" s="330"/>
      <c r="E906" s="157"/>
      <c r="F906" s="12"/>
    </row>
    <row r="907">
      <c r="A907" s="225"/>
      <c r="B907" s="213"/>
      <c r="C907" s="356"/>
      <c r="D907" s="330"/>
      <c r="E907" s="157"/>
      <c r="F907" s="12"/>
    </row>
    <row r="908">
      <c r="A908" s="225"/>
      <c r="B908" s="213"/>
      <c r="C908" s="356"/>
      <c r="D908" s="330"/>
      <c r="E908" s="157"/>
      <c r="F908" s="12"/>
    </row>
    <row r="909">
      <c r="A909" s="225"/>
      <c r="B909" s="213"/>
      <c r="C909" s="356"/>
      <c r="D909" s="330"/>
      <c r="E909" s="157"/>
      <c r="F909" s="12"/>
    </row>
    <row r="910">
      <c r="A910" s="225"/>
      <c r="B910" s="213"/>
      <c r="C910" s="356"/>
      <c r="D910" s="330"/>
      <c r="E910" s="157"/>
      <c r="F910" s="12"/>
    </row>
    <row r="911">
      <c r="A911" s="225"/>
      <c r="B911" s="213"/>
      <c r="C911" s="356"/>
      <c r="D911" s="330"/>
      <c r="E911" s="157"/>
      <c r="F911" s="12"/>
    </row>
    <row r="912">
      <c r="A912" s="225"/>
      <c r="B912" s="213"/>
      <c r="C912" s="356"/>
      <c r="D912" s="330"/>
      <c r="E912" s="157"/>
      <c r="F912" s="12"/>
    </row>
    <row r="913">
      <c r="A913" s="225"/>
      <c r="B913" s="213"/>
      <c r="C913" s="356"/>
      <c r="D913" s="330"/>
      <c r="E913" s="157"/>
      <c r="F913" s="12"/>
    </row>
    <row r="914">
      <c r="A914" s="225"/>
      <c r="B914" s="213"/>
      <c r="C914" s="356"/>
      <c r="D914" s="330"/>
      <c r="E914" s="157"/>
      <c r="F914" s="12"/>
    </row>
    <row r="915">
      <c r="A915" s="225"/>
      <c r="B915" s="213"/>
      <c r="C915" s="356"/>
      <c r="D915" s="330"/>
      <c r="E915" s="157"/>
      <c r="F915" s="12"/>
    </row>
    <row r="916">
      <c r="A916" s="225"/>
      <c r="B916" s="213"/>
      <c r="C916" s="356"/>
      <c r="D916" s="330"/>
      <c r="E916" s="157"/>
      <c r="F916" s="12"/>
    </row>
    <row r="917">
      <c r="A917" s="225"/>
      <c r="B917" s="213"/>
      <c r="C917" s="356"/>
      <c r="D917" s="330"/>
      <c r="E917" s="157"/>
      <c r="F917" s="12"/>
    </row>
    <row r="918">
      <c r="A918" s="225"/>
      <c r="B918" s="213"/>
      <c r="C918" s="356"/>
      <c r="D918" s="330"/>
      <c r="E918" s="157"/>
      <c r="F918" s="12"/>
    </row>
    <row r="919">
      <c r="A919" s="225"/>
      <c r="B919" s="213"/>
      <c r="C919" s="356"/>
      <c r="D919" s="330"/>
      <c r="E919" s="157"/>
      <c r="F919" s="12"/>
    </row>
    <row r="920">
      <c r="A920" s="225"/>
      <c r="B920" s="213"/>
      <c r="C920" s="356"/>
      <c r="D920" s="330"/>
      <c r="E920" s="157"/>
      <c r="F920" s="12"/>
    </row>
    <row r="921">
      <c r="A921" s="225"/>
      <c r="B921" s="213"/>
      <c r="C921" s="356"/>
      <c r="D921" s="330"/>
      <c r="E921" s="157"/>
      <c r="F921" s="12"/>
    </row>
    <row r="922">
      <c r="A922" s="225"/>
      <c r="B922" s="213"/>
      <c r="C922" s="356"/>
      <c r="D922" s="330"/>
      <c r="E922" s="157"/>
      <c r="F922" s="12"/>
    </row>
    <row r="923">
      <c r="A923" s="225"/>
      <c r="B923" s="213"/>
      <c r="C923" s="356"/>
      <c r="D923" s="330"/>
      <c r="E923" s="157"/>
      <c r="F923" s="12"/>
    </row>
    <row r="924">
      <c r="A924" s="225"/>
      <c r="B924" s="213"/>
      <c r="C924" s="356"/>
      <c r="D924" s="330"/>
      <c r="E924" s="157"/>
      <c r="F924" s="12"/>
    </row>
    <row r="925">
      <c r="A925" s="225"/>
      <c r="B925" s="213"/>
      <c r="C925" s="356"/>
      <c r="D925" s="330"/>
      <c r="E925" s="157"/>
      <c r="F925" s="12"/>
    </row>
    <row r="926">
      <c r="A926" s="225"/>
      <c r="B926" s="213"/>
      <c r="C926" s="356"/>
      <c r="D926" s="330"/>
      <c r="E926" s="157"/>
      <c r="F926" s="12"/>
    </row>
    <row r="927">
      <c r="A927" s="225"/>
      <c r="B927" s="213"/>
      <c r="C927" s="356"/>
      <c r="D927" s="330"/>
      <c r="E927" s="157"/>
      <c r="F927" s="12"/>
    </row>
    <row r="928">
      <c r="A928" s="225"/>
      <c r="B928" s="213"/>
      <c r="C928" s="356"/>
      <c r="D928" s="330"/>
      <c r="E928" s="157"/>
      <c r="F928" s="12"/>
    </row>
    <row r="929">
      <c r="A929" s="225"/>
      <c r="B929" s="213"/>
      <c r="C929" s="356"/>
      <c r="D929" s="330"/>
      <c r="E929" s="157"/>
      <c r="F929" s="12"/>
    </row>
    <row r="930">
      <c r="A930" s="225"/>
      <c r="B930" s="213"/>
      <c r="C930" s="356"/>
      <c r="D930" s="330"/>
      <c r="E930" s="157"/>
      <c r="F930" s="12"/>
    </row>
    <row r="931">
      <c r="A931" s="225"/>
      <c r="B931" s="213"/>
      <c r="C931" s="356"/>
      <c r="D931" s="330"/>
      <c r="E931" s="157"/>
      <c r="F931" s="12"/>
    </row>
    <row r="932">
      <c r="A932" s="225"/>
      <c r="B932" s="213"/>
      <c r="C932" s="356"/>
      <c r="D932" s="330"/>
      <c r="E932" s="157"/>
      <c r="F932" s="12"/>
    </row>
    <row r="933">
      <c r="A933" s="225"/>
      <c r="B933" s="213"/>
      <c r="C933" s="356"/>
      <c r="D933" s="330"/>
      <c r="E933" s="157"/>
      <c r="F933" s="12"/>
    </row>
    <row r="934">
      <c r="A934" s="225"/>
      <c r="B934" s="213"/>
      <c r="C934" s="356"/>
      <c r="D934" s="330"/>
      <c r="E934" s="157"/>
      <c r="F934" s="12"/>
    </row>
    <row r="935">
      <c r="A935" s="225"/>
      <c r="B935" s="213"/>
      <c r="C935" s="356"/>
      <c r="D935" s="330"/>
      <c r="E935" s="157"/>
      <c r="F935" s="12"/>
    </row>
    <row r="936">
      <c r="A936" s="225"/>
      <c r="B936" s="213"/>
      <c r="C936" s="356"/>
      <c r="D936" s="330"/>
      <c r="E936" s="157"/>
      <c r="F936" s="12"/>
    </row>
    <row r="937">
      <c r="A937" s="225"/>
      <c r="B937" s="213"/>
      <c r="C937" s="356"/>
      <c r="D937" s="330"/>
      <c r="E937" s="157"/>
      <c r="F937" s="12"/>
    </row>
    <row r="938">
      <c r="A938" s="225"/>
      <c r="B938" s="213"/>
      <c r="C938" s="356"/>
      <c r="D938" s="330"/>
      <c r="E938" s="157"/>
      <c r="F938" s="12"/>
    </row>
    <row r="939">
      <c r="A939" s="225"/>
      <c r="B939" s="213"/>
      <c r="C939" s="356"/>
      <c r="D939" s="330"/>
      <c r="E939" s="157"/>
      <c r="F939" s="12"/>
    </row>
    <row r="940">
      <c r="A940" s="225"/>
      <c r="B940" s="213"/>
      <c r="C940" s="356"/>
      <c r="D940" s="330"/>
      <c r="E940" s="157"/>
      <c r="F940" s="12"/>
    </row>
    <row r="941">
      <c r="A941" s="225"/>
      <c r="B941" s="213"/>
      <c r="C941" s="356"/>
      <c r="D941" s="330"/>
      <c r="E941" s="157"/>
      <c r="F941" s="12"/>
    </row>
    <row r="942">
      <c r="A942" s="225"/>
      <c r="B942" s="213"/>
      <c r="C942" s="356"/>
      <c r="D942" s="330"/>
      <c r="E942" s="157"/>
      <c r="F942" s="12"/>
    </row>
    <row r="943">
      <c r="A943" s="225"/>
      <c r="B943" s="213"/>
      <c r="C943" s="356"/>
      <c r="D943" s="330"/>
      <c r="E943" s="157"/>
      <c r="F943" s="12"/>
    </row>
    <row r="944">
      <c r="A944" s="225"/>
      <c r="B944" s="213"/>
      <c r="C944" s="356"/>
      <c r="D944" s="330"/>
      <c r="E944" s="157"/>
      <c r="F944" s="12"/>
    </row>
    <row r="945">
      <c r="A945" s="225"/>
      <c r="B945" s="213"/>
      <c r="C945" s="356"/>
      <c r="D945" s="330"/>
      <c r="E945" s="157"/>
      <c r="F945" s="12"/>
    </row>
    <row r="946">
      <c r="A946" s="225"/>
      <c r="B946" s="213"/>
      <c r="C946" s="356"/>
      <c r="D946" s="330"/>
      <c r="E946" s="157"/>
      <c r="F946" s="12"/>
    </row>
    <row r="947">
      <c r="A947" s="225"/>
      <c r="B947" s="213"/>
      <c r="C947" s="356"/>
      <c r="D947" s="330"/>
      <c r="E947" s="157"/>
      <c r="F947" s="12"/>
    </row>
    <row r="948">
      <c r="A948" s="225"/>
      <c r="B948" s="213"/>
      <c r="C948" s="356"/>
      <c r="D948" s="330"/>
      <c r="E948" s="157"/>
      <c r="F948" s="12"/>
    </row>
    <row r="949">
      <c r="A949" s="225"/>
      <c r="B949" s="213"/>
      <c r="C949" s="356"/>
      <c r="D949" s="330"/>
      <c r="E949" s="157"/>
      <c r="F949" s="12"/>
    </row>
    <row r="950">
      <c r="A950" s="225"/>
      <c r="B950" s="213"/>
      <c r="C950" s="356"/>
      <c r="D950" s="330"/>
      <c r="E950" s="157"/>
      <c r="F950" s="12"/>
    </row>
    <row r="951">
      <c r="A951" s="225"/>
      <c r="B951" s="213"/>
      <c r="C951" s="356"/>
      <c r="D951" s="330"/>
      <c r="E951" s="157"/>
      <c r="F951" s="12"/>
    </row>
    <row r="952">
      <c r="A952" s="225"/>
      <c r="B952" s="213"/>
      <c r="C952" s="356"/>
      <c r="D952" s="330"/>
      <c r="E952" s="157"/>
      <c r="F952" s="12"/>
    </row>
    <row r="953">
      <c r="A953" s="225"/>
      <c r="B953" s="213"/>
      <c r="C953" s="356"/>
      <c r="D953" s="330"/>
      <c r="E953" s="157"/>
      <c r="F953" s="12"/>
    </row>
    <row r="954">
      <c r="A954" s="225"/>
      <c r="B954" s="213"/>
      <c r="C954" s="356"/>
      <c r="D954" s="330"/>
      <c r="E954" s="157"/>
      <c r="F954" s="12"/>
    </row>
    <row r="955">
      <c r="A955" s="225"/>
      <c r="B955" s="213"/>
      <c r="C955" s="356"/>
      <c r="D955" s="330"/>
      <c r="E955" s="157"/>
      <c r="F955" s="12"/>
    </row>
    <row r="956">
      <c r="A956" s="225"/>
      <c r="B956" s="213"/>
      <c r="C956" s="356"/>
      <c r="D956" s="330"/>
      <c r="E956" s="157"/>
      <c r="F956" s="12"/>
    </row>
    <row r="957">
      <c r="A957" s="225"/>
      <c r="B957" s="213"/>
      <c r="C957" s="356"/>
      <c r="D957" s="330"/>
      <c r="E957" s="157"/>
      <c r="F957" s="12"/>
    </row>
    <row r="958">
      <c r="A958" s="225"/>
      <c r="B958" s="213"/>
      <c r="C958" s="356"/>
      <c r="D958" s="330"/>
      <c r="E958" s="157"/>
      <c r="F958" s="12"/>
    </row>
    <row r="959">
      <c r="A959" s="225"/>
      <c r="B959" s="213"/>
      <c r="C959" s="356"/>
      <c r="D959" s="330"/>
      <c r="E959" s="157"/>
      <c r="F959" s="12"/>
    </row>
    <row r="960">
      <c r="A960" s="225"/>
      <c r="B960" s="213"/>
      <c r="C960" s="356"/>
      <c r="D960" s="330"/>
      <c r="E960" s="157"/>
      <c r="F960" s="12"/>
    </row>
    <row r="961">
      <c r="A961" s="225"/>
      <c r="B961" s="213"/>
      <c r="C961" s="356"/>
      <c r="D961" s="330"/>
      <c r="E961" s="157"/>
      <c r="F961" s="12"/>
    </row>
    <row r="962">
      <c r="A962" s="225"/>
      <c r="B962" s="213"/>
      <c r="C962" s="356"/>
      <c r="D962" s="330"/>
      <c r="E962" s="157"/>
      <c r="F962" s="12"/>
    </row>
    <row r="963">
      <c r="A963" s="225"/>
      <c r="B963" s="213"/>
      <c r="C963" s="356"/>
      <c r="D963" s="330"/>
      <c r="E963" s="157"/>
      <c r="F963" s="12"/>
    </row>
    <row r="964">
      <c r="A964" s="225"/>
      <c r="B964" s="213"/>
      <c r="C964" s="356"/>
      <c r="D964" s="330"/>
      <c r="E964" s="157"/>
      <c r="F964" s="12"/>
    </row>
    <row r="965">
      <c r="A965" s="225"/>
      <c r="B965" s="213"/>
      <c r="C965" s="356"/>
      <c r="D965" s="330"/>
      <c r="E965" s="157"/>
      <c r="F965" s="12"/>
    </row>
    <row r="966">
      <c r="A966" s="225"/>
      <c r="B966" s="213"/>
      <c r="C966" s="356"/>
      <c r="D966" s="330"/>
      <c r="E966" s="157"/>
      <c r="F966" s="12"/>
    </row>
    <row r="967">
      <c r="A967" s="225"/>
      <c r="B967" s="213"/>
      <c r="C967" s="356"/>
      <c r="D967" s="330"/>
      <c r="E967" s="157"/>
      <c r="F967" s="12"/>
    </row>
    <row r="968">
      <c r="A968" s="225"/>
      <c r="B968" s="213"/>
      <c r="C968" s="356"/>
      <c r="D968" s="330"/>
      <c r="E968" s="157"/>
      <c r="F968" s="12"/>
    </row>
    <row r="969">
      <c r="A969" s="225"/>
      <c r="B969" s="213"/>
      <c r="C969" s="356"/>
      <c r="D969" s="330"/>
      <c r="E969" s="157"/>
      <c r="F969" s="12"/>
    </row>
    <row r="970">
      <c r="A970" s="225"/>
      <c r="B970" s="213"/>
      <c r="C970" s="356"/>
      <c r="D970" s="330"/>
      <c r="E970" s="157"/>
      <c r="F970" s="12"/>
    </row>
    <row r="971">
      <c r="A971" s="225"/>
      <c r="B971" s="213"/>
      <c r="C971" s="356"/>
      <c r="D971" s="330"/>
      <c r="E971" s="157"/>
      <c r="F971" s="12"/>
    </row>
    <row r="972">
      <c r="A972" s="225"/>
      <c r="B972" s="213"/>
      <c r="C972" s="356"/>
      <c r="D972" s="330"/>
      <c r="E972" s="157"/>
      <c r="F972" s="12"/>
    </row>
    <row r="973">
      <c r="A973" s="225"/>
      <c r="B973" s="213"/>
      <c r="C973" s="356"/>
      <c r="D973" s="330"/>
      <c r="E973" s="157"/>
      <c r="F973" s="12"/>
    </row>
    <row r="974">
      <c r="A974" s="225"/>
      <c r="B974" s="213"/>
      <c r="C974" s="356"/>
      <c r="D974" s="330"/>
      <c r="E974" s="157"/>
      <c r="F974" s="12"/>
    </row>
    <row r="975">
      <c r="A975" s="225"/>
      <c r="B975" s="213"/>
      <c r="C975" s="356"/>
      <c r="D975" s="330"/>
      <c r="E975" s="157"/>
      <c r="F975" s="12"/>
    </row>
    <row r="976">
      <c r="A976" s="225"/>
      <c r="B976" s="213"/>
      <c r="C976" s="356"/>
      <c r="D976" s="330"/>
      <c r="E976" s="157"/>
      <c r="F976" s="12"/>
    </row>
    <row r="977">
      <c r="A977" s="225"/>
      <c r="B977" s="213"/>
      <c r="C977" s="356"/>
      <c r="D977" s="330"/>
      <c r="E977" s="157"/>
      <c r="F977" s="12"/>
    </row>
    <row r="978">
      <c r="A978" s="225"/>
      <c r="B978" s="213"/>
      <c r="C978" s="356"/>
      <c r="D978" s="330"/>
      <c r="E978" s="157"/>
      <c r="F978" s="12"/>
    </row>
    <row r="979">
      <c r="A979" s="225"/>
      <c r="B979" s="213"/>
      <c r="C979" s="356"/>
      <c r="D979" s="330"/>
      <c r="E979" s="157"/>
      <c r="F979" s="12"/>
    </row>
    <row r="980">
      <c r="A980" s="225"/>
      <c r="B980" s="213"/>
      <c r="C980" s="356"/>
      <c r="D980" s="330"/>
      <c r="E980" s="157"/>
      <c r="F980" s="12"/>
    </row>
    <row r="981">
      <c r="A981" s="225"/>
      <c r="B981" s="213"/>
      <c r="C981" s="356"/>
      <c r="D981" s="330"/>
      <c r="E981" s="157"/>
      <c r="F981" s="12"/>
    </row>
    <row r="982">
      <c r="A982" s="225"/>
      <c r="B982" s="213"/>
      <c r="C982" s="356"/>
      <c r="D982" s="330"/>
      <c r="E982" s="157"/>
      <c r="F982" s="12"/>
    </row>
    <row r="983">
      <c r="A983" s="225"/>
      <c r="B983" s="213"/>
      <c r="C983" s="356"/>
      <c r="D983" s="330"/>
      <c r="E983" s="157"/>
      <c r="F983" s="12"/>
    </row>
    <row r="984">
      <c r="A984" s="225"/>
      <c r="B984" s="213"/>
      <c r="C984" s="356"/>
      <c r="D984" s="330"/>
      <c r="E984" s="157"/>
      <c r="F984" s="12"/>
    </row>
    <row r="985">
      <c r="A985" s="225"/>
      <c r="B985" s="213"/>
      <c r="C985" s="356"/>
      <c r="D985" s="330"/>
      <c r="E985" s="157"/>
      <c r="F985" s="12"/>
    </row>
    <row r="986">
      <c r="A986" s="225"/>
      <c r="B986" s="213"/>
      <c r="C986" s="356"/>
      <c r="D986" s="330"/>
      <c r="E986" s="157"/>
      <c r="F986" s="12"/>
    </row>
    <row r="987">
      <c r="A987" s="225"/>
      <c r="B987" s="213"/>
      <c r="C987" s="356"/>
      <c r="D987" s="330"/>
      <c r="E987" s="157"/>
      <c r="F987" s="12"/>
    </row>
    <row r="988">
      <c r="A988" s="225"/>
      <c r="B988" s="213"/>
      <c r="C988" s="356"/>
      <c r="D988" s="330"/>
      <c r="E988" s="157"/>
      <c r="F988" s="12"/>
    </row>
    <row r="989">
      <c r="A989" s="225"/>
      <c r="B989" s="213"/>
      <c r="C989" s="356"/>
      <c r="D989" s="330"/>
      <c r="E989" s="157"/>
      <c r="F989" s="12"/>
    </row>
    <row r="990">
      <c r="A990" s="225"/>
      <c r="B990" s="213"/>
      <c r="C990" s="356"/>
      <c r="D990" s="330"/>
      <c r="E990" s="157"/>
      <c r="F990" s="12"/>
    </row>
    <row r="991">
      <c r="A991" s="225"/>
      <c r="B991" s="213"/>
      <c r="C991" s="356"/>
      <c r="D991" s="330"/>
      <c r="E991" s="157"/>
      <c r="F991" s="12"/>
    </row>
    <row r="992">
      <c r="A992" s="225"/>
      <c r="B992" s="213"/>
      <c r="C992" s="356"/>
      <c r="D992" s="330"/>
      <c r="E992" s="157"/>
      <c r="F992" s="12"/>
    </row>
    <row r="993">
      <c r="A993" s="225"/>
      <c r="B993" s="213"/>
      <c r="C993" s="356"/>
      <c r="D993" s="330"/>
      <c r="E993" s="157"/>
      <c r="F993" s="12"/>
    </row>
    <row r="994">
      <c r="A994" s="225"/>
      <c r="B994" s="213"/>
      <c r="C994" s="356"/>
      <c r="D994" s="330"/>
      <c r="E994" s="157"/>
      <c r="F994" s="12"/>
    </row>
    <row r="995">
      <c r="A995" s="225"/>
      <c r="B995" s="213"/>
      <c r="C995" s="356"/>
      <c r="D995" s="330"/>
      <c r="E995" s="157"/>
      <c r="F995" s="12"/>
    </row>
    <row r="996">
      <c r="A996" s="225"/>
      <c r="B996" s="213"/>
      <c r="C996" s="356"/>
      <c r="D996" s="330"/>
      <c r="E996" s="157"/>
      <c r="F996" s="12"/>
    </row>
    <row r="997">
      <c r="A997" s="225"/>
      <c r="B997" s="213"/>
      <c r="C997" s="356"/>
      <c r="D997" s="330"/>
      <c r="E997" s="157"/>
      <c r="F997" s="12"/>
    </row>
    <row r="998">
      <c r="A998" s="225"/>
      <c r="B998" s="213"/>
      <c r="C998" s="356"/>
      <c r="D998" s="330"/>
      <c r="E998" s="157"/>
      <c r="F998" s="12"/>
    </row>
    <row r="999">
      <c r="A999" s="225"/>
      <c r="B999" s="213"/>
      <c r="C999" s="356"/>
      <c r="D999" s="330"/>
      <c r="E999" s="157"/>
      <c r="F999" s="12"/>
    </row>
    <row r="1000">
      <c r="A1000" s="225"/>
      <c r="B1000" s="213"/>
      <c r="C1000" s="356"/>
      <c r="D1000" s="330"/>
      <c r="E1000" s="157"/>
      <c r="F1000" s="12"/>
    </row>
    <row r="1001">
      <c r="A1001" s="225"/>
      <c r="B1001" s="213"/>
      <c r="C1001" s="356"/>
      <c r="D1001" s="330"/>
      <c r="E1001" s="157"/>
      <c r="F1001" s="12"/>
    </row>
    <row r="1002">
      <c r="A1002" s="225"/>
      <c r="B1002" s="213"/>
      <c r="C1002" s="356"/>
      <c r="D1002" s="330"/>
      <c r="E1002" s="157"/>
      <c r="F1002" s="12"/>
    </row>
    <row r="1003">
      <c r="A1003" s="225"/>
      <c r="B1003" s="213"/>
      <c r="C1003" s="356"/>
      <c r="D1003" s="330"/>
      <c r="E1003" s="157"/>
      <c r="F1003" s="12"/>
    </row>
    <row r="1004">
      <c r="A1004" s="225"/>
      <c r="B1004" s="213"/>
      <c r="C1004" s="356"/>
      <c r="D1004" s="330"/>
      <c r="E1004" s="157"/>
      <c r="F1004" s="12"/>
    </row>
    <row r="1005">
      <c r="A1005" s="225"/>
      <c r="B1005" s="213"/>
      <c r="C1005" s="356"/>
      <c r="D1005" s="330"/>
      <c r="E1005" s="157"/>
      <c r="F1005" s="12"/>
    </row>
    <row r="1006">
      <c r="A1006" s="225"/>
      <c r="B1006" s="213"/>
      <c r="C1006" s="356"/>
      <c r="D1006" s="330"/>
      <c r="E1006" s="157"/>
      <c r="F1006" s="12"/>
    </row>
    <row r="1007">
      <c r="A1007" s="225"/>
      <c r="B1007" s="213"/>
      <c r="C1007" s="356"/>
      <c r="D1007" s="330"/>
      <c r="E1007" s="157"/>
      <c r="F1007" s="12"/>
    </row>
    <row r="1008">
      <c r="A1008" s="225"/>
      <c r="B1008" s="213"/>
      <c r="C1008" s="356"/>
      <c r="D1008" s="330"/>
      <c r="E1008" s="157"/>
      <c r="F1008" s="12"/>
    </row>
  </sheetData>
  <mergeCells count="42">
    <mergeCell ref="A28:D28"/>
    <mergeCell ref="A29:D29"/>
    <mergeCell ref="A30:D30"/>
    <mergeCell ref="I11:I12"/>
    <mergeCell ref="I14:I16"/>
    <mergeCell ref="I18:I19"/>
    <mergeCell ref="I20:I23"/>
    <mergeCell ref="I24:I26"/>
    <mergeCell ref="I28:I29"/>
    <mergeCell ref="I30:I32"/>
    <mergeCell ref="A27:D27"/>
    <mergeCell ref="A31:D31"/>
    <mergeCell ref="A32:D32"/>
    <mergeCell ref="A33:D33"/>
    <mergeCell ref="A34:D34"/>
    <mergeCell ref="A35:D35"/>
    <mergeCell ref="A36:D36"/>
    <mergeCell ref="A37:D37"/>
    <mergeCell ref="A38:D38"/>
    <mergeCell ref="A39:D39"/>
    <mergeCell ref="A40:D40"/>
    <mergeCell ref="A41:D41"/>
    <mergeCell ref="A42:D42"/>
    <mergeCell ref="A43:D43"/>
    <mergeCell ref="A44:D44"/>
    <mergeCell ref="A45:D45"/>
    <mergeCell ref="A46:D46"/>
    <mergeCell ref="A47:D47"/>
    <mergeCell ref="A48:D48"/>
    <mergeCell ref="A49:D49"/>
    <mergeCell ref="A50:D50"/>
    <mergeCell ref="A58:D58"/>
    <mergeCell ref="A59:D59"/>
    <mergeCell ref="A60:D60"/>
    <mergeCell ref="A61:D61"/>
    <mergeCell ref="A51:D51"/>
    <mergeCell ref="A52:D52"/>
    <mergeCell ref="A53:D53"/>
    <mergeCell ref="A54:D54"/>
    <mergeCell ref="A55:D55"/>
    <mergeCell ref="A56:D56"/>
    <mergeCell ref="A57:D57"/>
  </mergeCells>
  <conditionalFormatting sqref="B9:D24">
    <cfRule type="expression" dxfId="13" priority="1">
      <formula>$A9="Yes!"</formula>
    </cfRule>
  </conditionalFormatting>
  <conditionalFormatting sqref="A9:A24">
    <cfRule type="containsText" dxfId="15" priority="2" operator="containsText" text="Yes">
      <formula>NOT(ISERROR(SEARCH(("Yes"),(A9))))</formula>
    </cfRule>
  </conditionalFormatting>
  <conditionalFormatting sqref="A9:A24">
    <cfRule type="containsText" dxfId="14" priority="3" operator="containsText" text="No">
      <formula>NOT(ISERROR(SEARCH(("No"),(A9))))</formula>
    </cfRule>
  </conditionalFormatting>
  <drawing r:id="rId4"/>
  <legacyDrawing r:id="rId5"/>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21.38"/>
    <col customWidth="1" min="2" max="2" width="15.13"/>
    <col customWidth="1" min="3" max="3" width="68.75"/>
    <col customWidth="1" min="4" max="4" width="9.0"/>
    <col customWidth="1" min="10" max="10" width="11.0"/>
  </cols>
  <sheetData>
    <row r="1">
      <c r="A1" s="347" t="str">
        <f>IFERROR(__xludf.DUMMYFUNCTION("IMPORTRANGE(""https://docs.google.com/spreadsheets/d/1PPFix0KE5FV0_ekB8X93l4fBTTlhI3_4FnP7klgfg_Y/edit?gid=0#gid=0"", ""P'loa!a1:f100"")"),"P'LOA")</f>
        <v>P'LOA</v>
      </c>
      <c r="B1" s="348"/>
      <c r="C1" s="349" t="str">
        <f>IFERROR(__xludf.DUMMYFUNCTION("""COMPUTED_VALUE"""),"Polo (Steve Spodaryk)")</f>
        <v>Polo (Steve Spodaryk)</v>
      </c>
      <c r="D1" s="350"/>
      <c r="E1" s="350"/>
      <c r="F1" s="353"/>
      <c r="G1" s="353"/>
      <c r="H1" s="353"/>
      <c r="I1" s="353"/>
      <c r="J1" s="353"/>
      <c r="K1" s="350"/>
      <c r="L1" s="350"/>
      <c r="M1" s="350"/>
      <c r="N1" s="350"/>
      <c r="O1" s="350"/>
      <c r="P1" s="350"/>
      <c r="Q1" s="350"/>
      <c r="R1" s="350"/>
      <c r="S1" s="350"/>
      <c r="T1" s="350"/>
      <c r="U1" s="350"/>
      <c r="V1" s="350"/>
      <c r="W1" s="350"/>
      <c r="X1" s="350"/>
      <c r="Y1" s="350"/>
    </row>
    <row r="2">
      <c r="A2" s="214"/>
      <c r="B2" s="12"/>
      <c r="C2" s="137"/>
      <c r="D2" s="214"/>
      <c r="E2" s="260" t="str">
        <f>IFERROR(__xludf.DUMMYFUNCTION("""COMPUTED_VALUE"""),"Caster")</f>
        <v>Caster</v>
      </c>
      <c r="F2" s="214" t="str">
        <f>IFERROR(__xludf.DUMMYFUNCTION("""COMPUTED_VALUE"""),"Libby")</f>
        <v>Libby</v>
      </c>
    </row>
    <row r="3">
      <c r="A3" s="262" t="str">
        <f>IFERROR(__xludf.DUMMYFUNCTION("""COMPUTED_VALUE"""),"PARTY PATH")</f>
        <v>PARTY PATH</v>
      </c>
      <c r="B3" s="12"/>
      <c r="C3" s="137"/>
      <c r="D3" s="214"/>
      <c r="E3" s="260" t="str">
        <f>IFERROR(__xludf.DUMMYFUNCTION("""COMPUTED_VALUE"""),"Keeper")</f>
        <v>Keeper</v>
      </c>
      <c r="F3" s="214" t="str">
        <f>IFERROR(__xludf.DUMMYFUNCTION("""COMPUTED_VALUE"""),"Hector")</f>
        <v>Hector</v>
      </c>
    </row>
    <row r="4">
      <c r="A4" s="8" t="str">
        <f>IFERROR(__xludf.DUMMYFUNCTION("""COMPUTED_VALUE"""),"Character")</f>
        <v>Character</v>
      </c>
      <c r="B4" s="86" t="str">
        <f>IFERROR(__xludf.DUMMYFUNCTION("""COMPUTED_VALUE"""),"Gave Item/Info")</f>
        <v>Gave Item/Info</v>
      </c>
      <c r="C4" s="263" t="str">
        <f>IFERROR(__xludf.DUMMYFUNCTION("""COMPUTED_VALUE"""),"Notes")</f>
        <v>Notes</v>
      </c>
      <c r="D4" s="214"/>
      <c r="E4" s="260" t="str">
        <f>IFERROR(__xludf.DUMMYFUNCTION("""COMPUTED_VALUE"""),"Maker")</f>
        <v>Maker</v>
      </c>
      <c r="F4" s="214" t="str">
        <f>IFERROR(__xludf.DUMMYFUNCTION("""COMPUTED_VALUE"""),"Stu")</f>
        <v>Stu</v>
      </c>
    </row>
    <row r="5">
      <c r="A5" s="32" t="str">
        <f>IFERROR(__xludf.DUMMYFUNCTION("""COMPUTED_VALUE"""),"Koreos")</f>
        <v>Koreos</v>
      </c>
      <c r="B5" s="48" t="b">
        <f>IFERROR(__xludf.DUMMYFUNCTION("""COMPUTED_VALUE"""),TRUE)</f>
        <v>1</v>
      </c>
      <c r="C5" s="138"/>
      <c r="D5" s="214"/>
      <c r="E5" s="260" t="str">
        <f>IFERROR(__xludf.DUMMYFUNCTION("""COMPUTED_VALUE"""),"Ranger")</f>
        <v>Ranger</v>
      </c>
      <c r="F5" s="214" t="str">
        <f>IFERROR(__xludf.DUMMYFUNCTION("""COMPUTED_VALUE"""),"Verotix")</f>
        <v>Verotix</v>
      </c>
    </row>
    <row r="6">
      <c r="A6" s="32" t="str">
        <f>IFERROR(__xludf.DUMMYFUNCTION("""COMPUTED_VALUE"""),"Obsidian")</f>
        <v>Obsidian</v>
      </c>
      <c r="B6" s="48" t="b">
        <f>IFERROR(__xludf.DUMMYFUNCTION("""COMPUTED_VALUE"""),TRUE)</f>
        <v>1</v>
      </c>
      <c r="C6" s="222"/>
      <c r="D6" s="214"/>
      <c r="E6" s="260" t="str">
        <f>IFERROR(__xludf.DUMMYFUNCTION("""COMPUTED_VALUE"""),"Seeker")</f>
        <v>Seeker</v>
      </c>
      <c r="F6" s="214" t="str">
        <f>IFERROR(__xludf.DUMMYFUNCTION("""COMPUTED_VALUE"""),"Haythem")</f>
        <v>Haythem</v>
      </c>
    </row>
    <row r="7">
      <c r="A7" s="32" t="str">
        <f>IFERROR(__xludf.DUMMYFUNCTION("""COMPUTED_VALUE"""),"Stevie Peacock")</f>
        <v>Stevie Peacock</v>
      </c>
      <c r="B7" s="12" t="b">
        <f>IFERROR(__xludf.DUMMYFUNCTION("""COMPUTED_VALUE"""),TRUE)</f>
        <v>1</v>
      </c>
      <c r="C7" s="138"/>
      <c r="D7" s="214"/>
      <c r="E7" s="260" t="str">
        <f>IFERROR(__xludf.DUMMYFUNCTION("""COMPUTED_VALUE"""),"Traveler")</f>
        <v>Traveler</v>
      </c>
      <c r="F7" s="214" t="str">
        <f>IFERROR(__xludf.DUMMYFUNCTION("""COMPUTED_VALUE"""),"Maui")</f>
        <v>Maui</v>
      </c>
    </row>
    <row r="8">
      <c r="A8" s="32" t="str">
        <f>IFERROR(__xludf.DUMMYFUNCTION("""COMPUTED_VALUE"""),"Joni Peacock")</f>
        <v>Joni Peacock</v>
      </c>
      <c r="B8" s="48" t="b">
        <f>IFERROR(__xludf.DUMMYFUNCTION("""COMPUTED_VALUE"""),TRUE)</f>
        <v>1</v>
      </c>
      <c r="C8" s="138"/>
      <c r="D8" s="214"/>
      <c r="E8" s="214"/>
      <c r="F8" s="214"/>
    </row>
    <row r="9">
      <c r="A9" s="32" t="str">
        <f>IFERROR(__xludf.DUMMYFUNCTION("""COMPUTED_VALUE"""),"Vernon Gill")</f>
        <v>Vernon Gill</v>
      </c>
      <c r="B9" s="48" t="b">
        <f>IFERROR(__xludf.DUMMYFUNCTION("""COMPUTED_VALUE"""),TRUE)</f>
        <v>1</v>
      </c>
      <c r="C9" s="222" t="str">
        <f>IFERROR(__xludf.DUMMYFUNCTION("""COMPUTED_VALUE"""),"10am-Sat-took 2 tries but got whole message. Plan to go for furthest items &amp; work back inwards.lore-drop wayshrines, soul-speaking,upcoming events")</f>
        <v>10am-Sat-took 2 tries but got whole message. Plan to go for furthest items &amp; work back inwards.lore-drop wayshrines, soul-speaking,upcoming events</v>
      </c>
      <c r="D9" s="214"/>
      <c r="E9" s="214"/>
      <c r="F9" s="214"/>
    </row>
    <row r="10">
      <c r="A10" s="32" t="str">
        <f>IFERROR(__xludf.DUMMYFUNCTION("""COMPUTED_VALUE"""),"Ned Crochett (Don't Give Item)")</f>
        <v>Ned Crochett (Don't Give Item)</v>
      </c>
      <c r="B10" s="48" t="b">
        <f>IFERROR(__xludf.DUMMYFUNCTION("""COMPUTED_VALUE"""),TRUE)</f>
        <v>1</v>
      </c>
      <c r="C10" s="138"/>
      <c r="D10" s="214"/>
      <c r="E10" s="214"/>
      <c r="F10" s="214"/>
    </row>
    <row r="11">
      <c r="A11" s="32" t="str">
        <f>IFERROR(__xludf.DUMMYFUNCTION("""COMPUTED_VALUE"""),"Nix Valerius")</f>
        <v>Nix Valerius</v>
      </c>
      <c r="B11" s="48" t="b">
        <f>IFERROR(__xludf.DUMMYFUNCTION("""COMPUTED_VALUE"""),TRUE)</f>
        <v>1</v>
      </c>
      <c r="C11" s="138"/>
      <c r="D11" s="214"/>
      <c r="E11" s="214"/>
      <c r="F11" s="214"/>
    </row>
    <row r="12">
      <c r="A12" s="214" t="str">
        <f>IFERROR(__xludf.DUMMYFUNCTION("""COMPUTED_VALUE"""),"Kira")</f>
        <v>Kira</v>
      </c>
      <c r="B12" s="48" t="b">
        <f>IFERROR(__xludf.DUMMYFUNCTION("""COMPUTED_VALUE"""),TRUE)</f>
        <v>1</v>
      </c>
      <c r="C12" s="138"/>
      <c r="D12" s="214"/>
      <c r="E12" s="214"/>
      <c r="F12" s="214"/>
    </row>
    <row r="13">
      <c r="A13" s="214" t="str">
        <f>IFERROR(__xludf.DUMMYFUNCTION("""COMPUTED_VALUE"""),"Quinoa")</f>
        <v>Quinoa</v>
      </c>
      <c r="B13" s="12" t="b">
        <f>IFERROR(__xludf.DUMMYFUNCTION("""COMPUTED_VALUE"""),TRUE)</f>
        <v>1</v>
      </c>
      <c r="C13" s="138"/>
      <c r="D13" s="214"/>
      <c r="E13" s="214"/>
      <c r="F13" s="214"/>
    </row>
    <row r="14">
      <c r="A14" s="214" t="str">
        <f>IFERROR(__xludf.DUMMYFUNCTION("""COMPUTED_VALUE"""),"Irena Montalvo")</f>
        <v>Irena Montalvo</v>
      </c>
      <c r="B14" s="12" t="b">
        <f>IFERROR(__xludf.DUMMYFUNCTION("""COMPUTED_VALUE"""),TRUE)</f>
        <v>1</v>
      </c>
      <c r="C14" s="138" t="str">
        <f>IFERROR(__xludf.DUMMYFUNCTION("""COMPUTED_VALUE"""),"Lots of fun - got to talk about all my chystals and were attentive and very appreciative for the flourite.  Very sympathetic about my situation with Al.")</f>
        <v>Lots of fun - got to talk about all my chystals and were attentive and very appreciative for the flourite.  Very sympathetic about my situation with Al.</v>
      </c>
      <c r="D14" s="214"/>
      <c r="E14" s="214"/>
      <c r="F14" s="214"/>
    </row>
    <row r="15">
      <c r="A15" s="32" t="str">
        <f>IFERROR(__xludf.DUMMYFUNCTION("""COMPUTED_VALUE"""),"Angelica Sprink")</f>
        <v>Angelica Sprink</v>
      </c>
      <c r="B15" s="12" t="b">
        <f>IFERROR(__xludf.DUMMYFUNCTION("""COMPUTED_VALUE"""),TRUE)</f>
        <v>1</v>
      </c>
      <c r="C15" s="138" t="str">
        <f>IFERROR(__xludf.DUMMYFUNCTION("""COMPUTED_VALUE"""),"They were very distracted and it took a long time to get them to care about the comb, and for them to work together to surprise me. ")</f>
        <v>They were very distracted and it took a long time to get them to care about the comb, and for them to work together to surprise me. </v>
      </c>
      <c r="D15" s="214"/>
      <c r="E15" s="214"/>
      <c r="F15" s="214"/>
    </row>
    <row r="16">
      <c r="A16" s="214" t="str">
        <f>IFERROR(__xludf.DUMMYFUNCTION("""COMPUTED_VALUE"""),"Lincroft Spence")</f>
        <v>Lincroft Spence</v>
      </c>
      <c r="B16" s="12" t="b">
        <f>IFERROR(__xludf.DUMMYFUNCTION("""COMPUTED_VALUE"""),TRUE)</f>
        <v>1</v>
      </c>
      <c r="C16" s="137" t="str">
        <f>IFERROR(__xludf.DUMMYFUNCTION("""COMPUTED_VALUE"""),"They'd forgotten they needed to talk to me, even after i told them my name--companion had to prompt them")</f>
        <v>They'd forgotten they needed to talk to me, even after i told them my name--companion had to prompt them</v>
      </c>
      <c r="D16" s="214"/>
      <c r="E16" s="214"/>
      <c r="F16" s="214"/>
    </row>
    <row r="17">
      <c r="A17" s="216" t="str">
        <f>IFERROR(__xludf.DUMMYFUNCTION("""COMPUTED_VALUE"""),"Court of Mirrors")</f>
        <v>Court of Mirrors</v>
      </c>
      <c r="B17" s="216" t="b">
        <f>IFERROR(__xludf.DUMMYFUNCTION("""COMPUTED_VALUE"""),TRUE)</f>
        <v>1</v>
      </c>
      <c r="C17" s="137"/>
      <c r="D17" s="214"/>
      <c r="E17" s="214"/>
      <c r="F17" s="214"/>
    </row>
    <row r="18">
      <c r="A18" s="216" t="str">
        <f>IFERROR(__xludf.DUMMYFUNCTION("""COMPUTED_VALUE"""),"Ned Crochett (Sunday)")</f>
        <v>Ned Crochett (Sunday)</v>
      </c>
      <c r="B18" s="232" t="b">
        <f>IFERROR(__xludf.DUMMYFUNCTION("""COMPUTED_VALUE"""),FALSE)</f>
        <v>0</v>
      </c>
      <c r="C18" s="263"/>
      <c r="D18" s="86"/>
      <c r="E18" s="214"/>
      <c r="F18" s="214"/>
    </row>
    <row r="19">
      <c r="A19" s="32" t="str">
        <f>IFERROR(__xludf.DUMMYFUNCTION("""COMPUTED_VALUE"""),"Elani Edgewater")</f>
        <v>Elani Edgewater</v>
      </c>
      <c r="B19" s="48" t="b">
        <f>IFERROR(__xludf.DUMMYFUNCTION("""COMPUTED_VALUE"""),FALSE)</f>
        <v>0</v>
      </c>
      <c r="C19" s="138"/>
      <c r="D19" s="12"/>
      <c r="E19" s="214"/>
      <c r="F19" s="214"/>
    </row>
    <row r="20">
      <c r="A20" s="32"/>
      <c r="B20" s="48"/>
      <c r="C20" s="138"/>
      <c r="D20" s="12"/>
      <c r="E20" s="214"/>
      <c r="F20" s="214"/>
    </row>
    <row r="21">
      <c r="A21" s="32"/>
      <c r="B21" s="48"/>
      <c r="C21" s="222"/>
      <c r="D21" s="12"/>
      <c r="E21" s="214"/>
      <c r="F21" s="214"/>
    </row>
    <row r="22">
      <c r="A22" s="32" t="str">
        <f>IFERROR(__xludf.DUMMYFUNCTION("""COMPUTED_VALUE"""),"CHARGE INFO")</f>
        <v>CHARGE INFO</v>
      </c>
      <c r="B22" s="48" t="str">
        <f>IFERROR(__xludf.DUMMYFUNCTION("""COMPUTED_VALUE"""),"(Solomon Stillwater)")</f>
        <v>(Solomon Stillwater)</v>
      </c>
      <c r="C22" s="138"/>
      <c r="D22" s="12"/>
      <c r="E22" s="214"/>
      <c r="F22" s="214"/>
    </row>
    <row r="23">
      <c r="A23" s="32" t="str">
        <f>IFERROR(__xludf.DUMMYFUNCTION("""COMPUTED_VALUE"""),"Character")</f>
        <v>Character</v>
      </c>
      <c r="B23" s="48" t="str">
        <f>IFERROR(__xludf.DUMMYFUNCTION("""COMPUTED_VALUE"""),"Gave Info")</f>
        <v>Gave Info</v>
      </c>
      <c r="C23" s="222" t="str">
        <f>IFERROR(__xludf.DUMMYFUNCTION("""COMPUTED_VALUE"""),"Notes")</f>
        <v>Notes</v>
      </c>
      <c r="D23" s="12"/>
      <c r="E23" s="214"/>
      <c r="F23" s="214"/>
    </row>
    <row r="24">
      <c r="A24" s="32" t="str">
        <f>IFERROR(__xludf.DUMMYFUNCTION("""COMPUTED_VALUE"""),"Joni Peacock")</f>
        <v>Joni Peacock</v>
      </c>
      <c r="B24" s="48" t="b">
        <f>IFERROR(__xludf.DUMMYFUNCTION("""COMPUTED_VALUE"""),TRUE)</f>
        <v>1</v>
      </c>
      <c r="C24" s="138" t="str">
        <f>IFERROR(__xludf.DUMMYFUNCTION("""COMPUTED_VALUE"""),"They read the charge aloud together, and immediately asked me whether Bonnie had ever said anything about Scarlett, the previous owner.")</f>
        <v>They read the charge aloud together, and immediately asked me whether Bonnie had ever said anything about Scarlett, the previous owner.</v>
      </c>
      <c r="D24" s="12"/>
      <c r="E24" s="214"/>
      <c r="F24" s="214"/>
    </row>
    <row r="25">
      <c r="A25" s="32" t="str">
        <f>IFERROR(__xludf.DUMMYFUNCTION("""COMPUTED_VALUE"""),"Geneva Sprink")</f>
        <v>Geneva Sprink</v>
      </c>
      <c r="B25" s="48" t="b">
        <f>IFERROR(__xludf.DUMMYFUNCTION("""COMPUTED_VALUE"""),TRUE)</f>
        <v>1</v>
      </c>
      <c r="C25" s="138" t="str">
        <f>IFERROR(__xludf.DUMMYFUNCTION("""COMPUTED_VALUE"""),"Bartleby showed them letter, asked them to break the news to Geneva later - KK; They broke the news to Geneva at Saturday dinner - she was distraught RF")</f>
        <v>Bartleby showed them letter, asked them to break the news to Geneva later - KK; They broke the news to Geneva at Saturday dinner - she was distraught RF</v>
      </c>
      <c r="D25" s="12"/>
      <c r="E25" s="214"/>
      <c r="F25" s="214"/>
    </row>
    <row r="26">
      <c r="A26" s="32" t="str">
        <f>IFERROR(__xludf.DUMMYFUNCTION("""COMPUTED_VALUE"""),"Shaun Peacock")</f>
        <v>Shaun Peacock</v>
      </c>
      <c r="B26" s="48" t="b">
        <f>IFERROR(__xludf.DUMMYFUNCTION("""COMPUTED_VALUE"""),FALSE)</f>
        <v>0</v>
      </c>
      <c r="C26" s="138"/>
      <c r="D26" s="12"/>
      <c r="E26" s="214"/>
      <c r="F26" s="214"/>
    </row>
    <row r="27">
      <c r="A27" s="32" t="str">
        <f>IFERROR(__xludf.DUMMYFUNCTION("""COMPUTED_VALUE"""),"Diesel")</f>
        <v>Diesel</v>
      </c>
      <c r="B27" s="48" t="b">
        <f>IFERROR(__xludf.DUMMYFUNCTION("""COMPUTED_VALUE"""),FALSE)</f>
        <v>0</v>
      </c>
      <c r="C27" s="138"/>
      <c r="D27" s="12"/>
      <c r="E27" s="214"/>
      <c r="F27" s="214"/>
    </row>
    <row r="28">
      <c r="A28" s="32" t="str">
        <f>IFERROR(__xludf.DUMMYFUNCTION("""COMPUTED_VALUE"""),"Ned Crotchett")</f>
        <v>Ned Crotchett</v>
      </c>
      <c r="B28" s="48" t="b">
        <f>IFERROR(__xludf.DUMMYFUNCTION("""COMPUTED_VALUE"""),FALSE)</f>
        <v>0</v>
      </c>
      <c r="C28" s="222"/>
      <c r="D28" s="12"/>
      <c r="E28" s="214"/>
      <c r="F28" s="214"/>
    </row>
    <row r="29">
      <c r="A29" s="32" t="str">
        <f>IFERROR(__xludf.DUMMYFUNCTION("""COMPUTED_VALUE"""),"Valentina")</f>
        <v>Valentina</v>
      </c>
      <c r="B29" s="48" t="b">
        <f>IFERROR(__xludf.DUMMYFUNCTION("""COMPUTED_VALUE"""),FALSE)</f>
        <v>0</v>
      </c>
      <c r="C29" s="138"/>
      <c r="D29" s="12"/>
      <c r="E29" s="214"/>
      <c r="F29" s="214"/>
    </row>
    <row r="30">
      <c r="A30" s="32" t="str">
        <f>IFERROR(__xludf.DUMMYFUNCTION("""COMPUTED_VALUE"""),"Sylvie Valerius")</f>
        <v>Sylvie Valerius</v>
      </c>
      <c r="B30" s="48" t="b">
        <f>IFERROR(__xludf.DUMMYFUNCTION("""COMPUTED_VALUE"""),FALSE)</f>
        <v>0</v>
      </c>
      <c r="C30" s="138" t="str">
        <f>IFERROR(__xludf.DUMMYFUNCTION("""COMPUTED_VALUE"""),"HELP!!! Never interacted at the house, couldn't catch them ")</f>
        <v>HELP!!! Never interacted at the house, couldn't catch them </v>
      </c>
      <c r="D30" s="12" t="str">
        <f>IFERROR(__xludf.DUMMYFUNCTION("""COMPUTED_VALUE"""),"need to share Solomon/Scarlett/Tavern backstory, won't be Sylvie again until noon Sunday ")</f>
        <v>need to share Solomon/Scarlett/Tavern backstory, won't be Sylvie again until noon Sunday </v>
      </c>
      <c r="E30" s="214"/>
      <c r="F30" s="214"/>
    </row>
    <row r="31">
      <c r="A31" s="32" t="str">
        <f>IFERROR(__xludf.DUMMYFUNCTION("""COMPUTED_VALUE"""),"Kulinos")</f>
        <v>Kulinos</v>
      </c>
      <c r="B31" s="48" t="b">
        <f>IFERROR(__xludf.DUMMYFUNCTION("""COMPUTED_VALUE"""),TRUE)</f>
        <v>1</v>
      </c>
      <c r="C31" s="138"/>
      <c r="D31" s="12"/>
      <c r="E31" s="214"/>
      <c r="F31" s="214"/>
    </row>
    <row r="32">
      <c r="A32" s="32" t="str">
        <f>IFERROR(__xludf.DUMMYFUNCTION("""COMPUTED_VALUE"""),"Solomon Stillwater")</f>
        <v>Solomon Stillwater</v>
      </c>
      <c r="B32" s="48" t="b">
        <f>IFERROR(__xludf.DUMMYFUNCTION("""COMPUTED_VALUE"""),TRUE)</f>
        <v>1</v>
      </c>
      <c r="C32" s="138" t="str">
        <f>IFERROR(__xludf.DUMMYFUNCTION("""COMPUTED_VALUE"""),"Nadav: spoke to 2-3 participants (and poor Steve) about my recent trip to Keer. They showed minor interest")</f>
        <v>Nadav: spoke to 2-3 participants (and poor Steve) about my recent trip to Keer. They showed minor interest</v>
      </c>
      <c r="D32" s="12"/>
      <c r="E32" s="214"/>
      <c r="F32" s="214"/>
    </row>
    <row r="33">
      <c r="A33" s="32" t="str">
        <f>IFERROR(__xludf.DUMMYFUNCTION("""COMPUTED_VALUE"""),"Charlie Peacock")</f>
        <v>Charlie Peacock</v>
      </c>
      <c r="B33" s="48" t="b">
        <f>IFERROR(__xludf.DUMMYFUNCTION("""COMPUTED_VALUE"""),FALSE)</f>
        <v>0</v>
      </c>
      <c r="C33" s="138"/>
      <c r="D33" s="12"/>
      <c r="E33" s="214"/>
      <c r="F33" s="214"/>
    </row>
    <row r="34">
      <c r="A34" s="32" t="str">
        <f>IFERROR(__xludf.DUMMYFUNCTION("""COMPUTED_VALUE"""),"Al Bishop")</f>
        <v>Al Bishop</v>
      </c>
      <c r="B34" s="48" t="b">
        <f>IFERROR(__xludf.DUMMYFUNCTION("""COMPUTED_VALUE"""),TRUE)</f>
        <v>1</v>
      </c>
      <c r="C34" s="138" t="str">
        <f>IFERROR(__xludf.DUMMYFUNCTION("""COMPUTED_VALUE"""),"Told them what a great guy Solomon is.")</f>
        <v>Told them what a great guy Solomon is.</v>
      </c>
      <c r="D34" s="12"/>
      <c r="E34" s="214"/>
      <c r="F34" s="214"/>
    </row>
    <row r="35">
      <c r="A35" s="32" t="str">
        <f>IFERROR(__xludf.DUMMYFUNCTION("""COMPUTED_VALUE"""),"Jpeg")</f>
        <v>Jpeg</v>
      </c>
      <c r="B35" s="48" t="b">
        <f>IFERROR(__xludf.DUMMYFUNCTION("""COMPUTED_VALUE"""),TRUE)</f>
        <v>1</v>
      </c>
      <c r="C35" s="138"/>
      <c r="D35" s="12"/>
      <c r="E35" s="214"/>
      <c r="F35" s="214"/>
    </row>
    <row r="36">
      <c r="A36" s="32" t="str">
        <f>IFERROR(__xludf.DUMMYFUNCTION("""COMPUTED_VALUE"""),"Katherine Carmichael")</f>
        <v>Katherine Carmichael</v>
      </c>
      <c r="B36" s="48" t="b">
        <f>IFERROR(__xludf.DUMMYFUNCTION("""COMPUTED_VALUE"""),TRUE)</f>
        <v>1</v>
      </c>
      <c r="C36" s="138" t="str">
        <f>IFERROR(__xludf.DUMMYFUNCTION("""COMPUTED_VALUE"""),"told them about strangers calling the picture of Solomon scurvy jack - MS")</f>
        <v>told them about strangers calling the picture of Solomon scurvy jack - MS</v>
      </c>
      <c r="D36" s="12"/>
      <c r="E36" s="214"/>
      <c r="F36" s="214"/>
    </row>
    <row r="37">
      <c r="A37" s="32" t="str">
        <f>IFERROR(__xludf.DUMMYFUNCTION("""COMPUTED_VALUE"""),"Bane")</f>
        <v>Bane</v>
      </c>
      <c r="B37" s="48" t="b">
        <f>IFERROR(__xludf.DUMMYFUNCTION("""COMPUTED_VALUE"""),TRUE)</f>
        <v>1</v>
      </c>
      <c r="C37" s="138" t="str">
        <f>IFERROR(__xludf.DUMMYFUNCTION("""COMPUTED_VALUE"""),"Told them the story about stramngers coming and calling the painting Scurvy Jack -Deo")</f>
        <v>Told them the story about stramngers coming and calling the painting Scurvy Jack -Deo</v>
      </c>
      <c r="D37" s="12"/>
      <c r="E37" s="214"/>
      <c r="F37" s="214"/>
    </row>
    <row r="38">
      <c r="A38" s="32" t="str">
        <f>IFERROR(__xludf.DUMMYFUNCTION("""COMPUTED_VALUE"""),"Tanya Peacock")</f>
        <v>Tanya Peacock</v>
      </c>
      <c r="B38" s="48" t="b">
        <f>IFERROR(__xludf.DUMMYFUNCTION("""COMPUTED_VALUE"""),TRUE)</f>
        <v>1</v>
      </c>
      <c r="C38" s="138" t="str">
        <f>IFERROR(__xludf.DUMMYFUNCTION("""COMPUTED_VALUE"""),"Told Hector at lunch - Dana")</f>
        <v>Told Hector at lunch - Dana</v>
      </c>
      <c r="D38" s="12"/>
      <c r="E38" s="214"/>
      <c r="F38" s="214"/>
    </row>
    <row r="39">
      <c r="A39" s="32" t="str">
        <f>IFERROR(__xludf.DUMMYFUNCTION("""COMPUTED_VALUE"""),"Aesthetika")</f>
        <v>Aesthetika</v>
      </c>
      <c r="B39" s="48" t="b">
        <f>IFERROR(__xludf.DUMMYFUNCTION("""COMPUTED_VALUE"""),TRUE)</f>
        <v>1</v>
      </c>
      <c r="C39" s="138" t="str">
        <f>IFERROR(__xludf.DUMMYFUNCTION("""COMPUTED_VALUE"""),"I told one very, very distracted person on the way to lunch.  Then 2 people during lunch.  --TO'")</f>
        <v>I told one very, very distracted person on the way to lunch.  Then 2 people during lunch.  --TO'</v>
      </c>
      <c r="D39" s="12"/>
      <c r="E39" s="214"/>
      <c r="F39" s="214"/>
    </row>
    <row r="40">
      <c r="A40" s="32" t="str">
        <f>IFERROR(__xludf.DUMMYFUNCTION("""COMPUTED_VALUE"""),"Mick Peacock")</f>
        <v>Mick Peacock</v>
      </c>
      <c r="B40" s="48" t="b">
        <f>IFERROR(__xludf.DUMMYFUNCTION("""COMPUTED_VALUE"""),TRUE)</f>
        <v>1</v>
      </c>
      <c r="C40" s="138"/>
      <c r="D40" s="12"/>
      <c r="E40" s="214"/>
      <c r="F40" s="214"/>
    </row>
    <row r="41">
      <c r="A41" s="32" t="str">
        <f>IFERROR(__xludf.DUMMYFUNCTION("""COMPUTED_VALUE"""),"Pansy Golden")</f>
        <v>Pansy Golden</v>
      </c>
      <c r="B41" s="48" t="b">
        <f>IFERROR(__xludf.DUMMYFUNCTION("""COMPUTED_VALUE"""),FALSE)</f>
        <v>0</v>
      </c>
      <c r="C41" s="138"/>
      <c r="D41" s="12"/>
      <c r="E41" s="214"/>
      <c r="F41" s="214"/>
    </row>
    <row r="42">
      <c r="A42" s="32" t="str">
        <f>IFERROR(__xludf.DUMMYFUNCTION("""COMPUTED_VALUE"""),"Bonnie Stillwater")</f>
        <v>Bonnie Stillwater</v>
      </c>
      <c r="B42" s="48" t="b">
        <f>IFERROR(__xludf.DUMMYFUNCTION("""COMPUTED_VALUE"""),TRUE)</f>
        <v>1</v>
      </c>
      <c r="C42" s="138" t="str">
        <f>IFERROR(__xludf.DUMMYFUNCTION("""COMPUTED_VALUE"""),"Piggy-backed with Mick about the dawn star, the traveler immediately identified the pendant jag")</f>
        <v>Piggy-backed with Mick about the dawn star, the traveler immediately identified the pendant jag</v>
      </c>
      <c r="D42" s="12"/>
      <c r="E42" s="214"/>
      <c r="F42" s="214"/>
    </row>
    <row r="43">
      <c r="A43" s="32" t="str">
        <f>IFERROR(__xludf.DUMMYFUNCTION("""COMPUTED_VALUE"""),"Danny Donovan")</f>
        <v>Danny Donovan</v>
      </c>
      <c r="B43" s="48" t="b">
        <f>IFERROR(__xludf.DUMMYFUNCTION("""COMPUTED_VALUE"""),FALSE)</f>
        <v>0</v>
      </c>
      <c r="C43" s="138"/>
      <c r="D43" s="12"/>
      <c r="E43" s="214"/>
      <c r="F43" s="214"/>
    </row>
    <row r="44">
      <c r="A44" s="32" t="str">
        <f>IFERROR(__xludf.DUMMYFUNCTION("""COMPUTED_VALUE"""),"Nina Bliss")</f>
        <v>Nina Bliss</v>
      </c>
      <c r="B44" s="48" t="b">
        <f>IFERROR(__xludf.DUMMYFUNCTION("""COMPUTED_VALUE"""),FALSE)</f>
        <v>0</v>
      </c>
      <c r="C44" s="138"/>
      <c r="D44" s="12"/>
      <c r="E44" s="214"/>
      <c r="F44" s="214"/>
    </row>
    <row r="45">
      <c r="A45" s="32" t="str">
        <f>IFERROR(__xludf.DUMMYFUNCTION("""COMPUTED_VALUE"""),"Kable Worldwatcher")</f>
        <v>Kable Worldwatcher</v>
      </c>
      <c r="B45" s="48" t="b">
        <f>IFERROR(__xludf.DUMMYFUNCTION("""COMPUTED_VALUE"""),TRUE)</f>
        <v>1</v>
      </c>
      <c r="C45" s="138" t="str">
        <f>IFERROR(__xludf.DUMMYFUNCTION("""COMPUTED_VALUE"""),"just before lunch. they had heard the rumor already. Their cup of insight swhares were mostly superficial: Haythem mostly stayed in 'character'.")</f>
        <v>just before lunch. they had heard the rumor already. Their cup of insight swhares were mostly superficial: Haythem mostly stayed in 'character'.</v>
      </c>
      <c r="D45" s="12"/>
      <c r="E45" s="214"/>
      <c r="F45" s="214"/>
    </row>
    <row r="46">
      <c r="A46" s="32" t="str">
        <f>IFERROR(__xludf.DUMMYFUNCTION("""COMPUTED_VALUE"""),"Tinker Bill")</f>
        <v>Tinker Bill</v>
      </c>
      <c r="B46" s="48" t="b">
        <f>IFERROR(__xludf.DUMMYFUNCTION("""COMPUTED_VALUE"""),TRUE)</f>
        <v>1</v>
      </c>
      <c r="C46" s="138" t="str">
        <f>IFERROR(__xludf.DUMMYFUNCTION("""COMPUTED_VALUE"""),"Fullsome chat about JuneBug and the silliness of some people these days.  ")</f>
        <v>Fullsome chat about JuneBug and the silliness of some people these days.  </v>
      </c>
      <c r="D46" s="12"/>
      <c r="E46" s="214"/>
      <c r="F46" s="214"/>
    </row>
    <row r="47">
      <c r="A47" s="214" t="str">
        <f>IFERROR(__xludf.DUMMYFUNCTION("""COMPUTED_VALUE"""),"Cary Montalvo")</f>
        <v>Cary Montalvo</v>
      </c>
      <c r="B47" s="12" t="b">
        <f>IFERROR(__xludf.DUMMYFUNCTION("""COMPUTED_VALUE"""),TRUE)</f>
        <v>1</v>
      </c>
      <c r="C47" s="137" t="str">
        <f>IFERROR(__xludf.DUMMYFUNCTION("""COMPUTED_VALUE"""),"Had a conversation about tattoos and whether Solomon regretted his. It was early in the day so they weren't keenly interested yet. But they heard it. - Rob D")</f>
        <v>Had a conversation about tattoos and whether Solomon regretted his. It was early in the day so they weren't keenly interested yet. But they heard it. - Rob D</v>
      </c>
      <c r="D47" s="214"/>
      <c r="E47" s="214"/>
      <c r="F47" s="214"/>
    </row>
    <row r="48">
      <c r="A48" s="214" t="str">
        <f>IFERROR(__xludf.DUMMYFUNCTION("""COMPUTED_VALUE"""),"Bonnie Stillwater")</f>
        <v>Bonnie Stillwater</v>
      </c>
      <c r="B48" s="12" t="b">
        <f>IFERROR(__xludf.DUMMYFUNCTION("""COMPUTED_VALUE"""),FALSE)</f>
        <v>0</v>
      </c>
      <c r="C48" s="137"/>
      <c r="D48" s="214"/>
      <c r="E48" s="214"/>
      <c r="F48" s="214"/>
    </row>
    <row r="49">
      <c r="A49" s="214" t="str">
        <f>IFERROR(__xludf.DUMMYFUNCTION("""COMPUTED_VALUE"""),"Solomon Stillwater")</f>
        <v>Solomon Stillwater</v>
      </c>
      <c r="B49" s="12" t="b">
        <f>IFERROR(__xludf.DUMMYFUNCTION("""COMPUTED_VALUE"""),TRUE)</f>
        <v>1</v>
      </c>
      <c r="C49" s="137"/>
      <c r="D49" s="214"/>
      <c r="E49" s="214"/>
      <c r="F49" s="214"/>
    </row>
    <row r="50">
      <c r="A50" s="214" t="str">
        <f>IFERROR(__xludf.DUMMYFUNCTION("""COMPUTED_VALUE"""),"Fenwick Michaels")</f>
        <v>Fenwick Michaels</v>
      </c>
      <c r="B50" s="12" t="b">
        <f>IFERROR(__xludf.DUMMYFUNCTION("""COMPUTED_VALUE"""),TRUE)</f>
        <v>1</v>
      </c>
      <c r="C50" s="137"/>
      <c r="D50" s="214"/>
      <c r="E50" s="214"/>
      <c r="F50" s="214"/>
    </row>
    <row r="51">
      <c r="A51" s="214" t="str">
        <f>IFERROR(__xludf.DUMMYFUNCTION("""COMPUTED_VALUE"""),"Dimitri")</f>
        <v>Dimitri</v>
      </c>
      <c r="B51" s="12" t="b">
        <f>IFERROR(__xludf.DUMMYFUNCTION("""COMPUTED_VALUE"""),TRUE)</f>
        <v>1</v>
      </c>
      <c r="C51" s="137" t="str">
        <f>IFERROR(__xludf.DUMMYFUNCTION("""COMPUTED_VALUE"""),"Mentioned Solomon's combination of welcoming host and command at breakfast on Saturday, after noticing how they (Maui and Hector) seemed quite chill but carried swords. ")</f>
        <v>Mentioned Solomon's combination of welcoming host and command at breakfast on Saturday, after noticing how they (Maui and Hector) seemed quite chill but carried swords. </v>
      </c>
      <c r="D51" s="214"/>
      <c r="E51" s="214"/>
      <c r="F51" s="214"/>
    </row>
    <row r="52">
      <c r="A52" s="214" t="str">
        <f>IFERROR(__xludf.DUMMYFUNCTION("""COMPUTED_VALUE"""),"Cal Coleman")</f>
        <v>Cal Coleman</v>
      </c>
      <c r="B52" s="12" t="b">
        <f>IFERROR(__xludf.DUMMYFUNCTION("""COMPUTED_VALUE"""),TRUE)</f>
        <v>1</v>
      </c>
      <c r="C52" s="137" t="str">
        <f>IFERROR(__xludf.DUMMYFUNCTION("""COMPUTED_VALUE"""),"They are completely on to Cal.  Friendly to face, but know the guy is not a good person.")</f>
        <v>They are completely on to Cal.  Friendly to face, but know the guy is not a good person.</v>
      </c>
      <c r="D52" s="214"/>
      <c r="E52" s="214"/>
      <c r="F52" s="214"/>
    </row>
    <row r="53">
      <c r="A53" s="214" t="str">
        <f>IFERROR(__xludf.DUMMYFUNCTION("""COMPUTED_VALUE"""),"Scarlet Billows")</f>
        <v>Scarlet Billows</v>
      </c>
      <c r="B53" s="12" t="b">
        <f>IFERROR(__xludf.DUMMYFUNCTION("""COMPUTED_VALUE"""),FALSE)</f>
        <v>0</v>
      </c>
      <c r="C53" s="137"/>
      <c r="D53" s="214"/>
      <c r="E53" s="214"/>
      <c r="F53" s="214"/>
    </row>
    <row r="54">
      <c r="A54" s="214" t="str">
        <f>IFERROR(__xludf.DUMMYFUNCTION("""COMPUTED_VALUE"""),"T-Bone And Jersey Pete")</f>
        <v>T-Bone And Jersey Pete</v>
      </c>
      <c r="B54" s="12" t="b">
        <f>IFERROR(__xludf.DUMMYFUNCTION("""COMPUTED_VALUE"""),TRUE)</f>
        <v>1</v>
      </c>
      <c r="C54" s="137" t="str">
        <f>IFERROR(__xludf.DUMMYFUNCTION("""COMPUTED_VALUE"""),"Gave them the information and might have just been that they were tired but really did not give any reaction at all to any of the stuff that we told them")</f>
        <v>Gave them the information and might have just been that they were tired but really did not give any reaction at all to any of the stuff that we told them</v>
      </c>
      <c r="D54" s="214"/>
      <c r="E54" s="214"/>
      <c r="F54" s="214"/>
    </row>
    <row r="55">
      <c r="A55" s="214" t="str">
        <f>IFERROR(__xludf.DUMMYFUNCTION("""COMPUTED_VALUE"""),"Samuelson")</f>
        <v>Samuelson</v>
      </c>
      <c r="B55" s="12" t="b">
        <f>IFERROR(__xludf.DUMMYFUNCTION("""COMPUTED_VALUE"""),FALSE)</f>
        <v>0</v>
      </c>
      <c r="C55" s="137"/>
      <c r="D55" s="214"/>
      <c r="E55" s="214"/>
      <c r="F55" s="214"/>
    </row>
    <row r="56">
      <c r="A56" s="214" t="str">
        <f>IFERROR(__xludf.DUMMYFUNCTION("""COMPUTED_VALUE"""),"Revelations")</f>
        <v>Revelations</v>
      </c>
      <c r="B56" s="12"/>
      <c r="C56" s="137"/>
      <c r="D56" s="214"/>
      <c r="E56" s="214"/>
      <c r="F56" s="214"/>
    </row>
    <row r="57">
      <c r="A57" s="214" t="str">
        <f>IFERROR(__xludf.DUMMYFUNCTION("""COMPUTED_VALUE"""),"Ned Crotchett")</f>
        <v>Ned Crotchett</v>
      </c>
      <c r="B57" s="12" t="b">
        <f>IFERROR(__xludf.DUMMYFUNCTION("""COMPUTED_VALUE"""),FALSE)</f>
        <v>0</v>
      </c>
      <c r="C57" s="137"/>
      <c r="D57" s="214"/>
      <c r="E57" s="214"/>
      <c r="F57" s="214"/>
    </row>
    <row r="58">
      <c r="A58" s="214" t="str">
        <f>IFERROR(__xludf.DUMMYFUNCTION("""COMPUTED_VALUE"""),"Jack Brigham &amp; Scarlet Billows")</f>
        <v>Jack Brigham &amp; Scarlet Billows</v>
      </c>
      <c r="B58" s="12" t="b">
        <f>IFERROR(__xludf.DUMMYFUNCTION("""COMPUTED_VALUE"""),FALSE)</f>
        <v>0</v>
      </c>
      <c r="C58" s="137"/>
      <c r="D58" s="214"/>
      <c r="E58" s="214"/>
      <c r="F58" s="214"/>
    </row>
    <row r="59">
      <c r="A59" s="214" t="str">
        <f>IFERROR(__xludf.DUMMYFUNCTION("""COMPUTED_VALUE"""),"Natasha")</f>
        <v>Natasha</v>
      </c>
      <c r="B59" s="12" t="b">
        <f>IFERROR(__xludf.DUMMYFUNCTION("""COMPUTED_VALUE"""),FALSE)</f>
        <v>0</v>
      </c>
      <c r="C59" s="137"/>
      <c r="D59" s="214"/>
      <c r="E59" s="214"/>
      <c r="F59" s="214"/>
    </row>
    <row r="60">
      <c r="A60" s="214"/>
      <c r="B60" s="12"/>
      <c r="C60" s="137"/>
      <c r="D60" s="214"/>
      <c r="E60" s="214"/>
      <c r="F60" s="214"/>
    </row>
    <row r="61">
      <c r="A61" s="214" t="str">
        <f>IFERROR(__xludf.DUMMYFUNCTION("""COMPUTED_VALUE"""),"GENERAL NOTES")</f>
        <v>GENERAL NOTES</v>
      </c>
      <c r="B61" s="12"/>
      <c r="C61" s="137"/>
      <c r="D61" s="214"/>
      <c r="E61" s="214"/>
      <c r="F61" s="214"/>
    </row>
    <row r="62">
      <c r="A62" s="214" t="str">
        <f>IFERROR(__xludf.DUMMYFUNCTION("""COMPUTED_VALUE"""),"Walked past chitters Noctara had just killed.  Tried to search us despite not having fought - Peggy Saturday 8-10")</f>
        <v>Walked past chitters Noctara had just killed.  Tried to search us despite not having fought - Peggy Saturday 8-10</v>
      </c>
      <c r="B62" s="12"/>
      <c r="C62" s="137"/>
      <c r="D62" s="214"/>
      <c r="E62" s="214"/>
      <c r="F62" s="214"/>
    </row>
    <row r="63">
      <c r="A63" s="214" t="str">
        <f>IFERROR(__xludf.DUMMYFUNCTION("""COMPUTED_VALUE"""),"party photo taken -Mirin")</f>
        <v>party photo taken -Mirin</v>
      </c>
      <c r="B63" s="12"/>
      <c r="C63" s="137"/>
      <c r="D63" s="214"/>
      <c r="E63" s="214"/>
      <c r="F63" s="214"/>
    </row>
    <row r="64">
      <c r="A64" s="214" t="str">
        <f>IFERROR(__xludf.DUMMYFUNCTION("""COMPUTED_VALUE"""),"Got to watcha fun 230PM warlong combat.  Good planning.  Callled effective hold, resovled it themselves. ""THis was the highlight of my weekend!  Can't top it"" said one of the part members post combat. Did the TB story challenge with them as well, but th"&amp;"ey were fairly low engagement on making a story.  -DN/TB")</f>
        <v>Got to watcha fun 230PM warlong combat.  Good planning.  Callled effective hold, resovled it themselves. "THis was the highlight of my weekend!  Can't top it" said one of the part members post combat. Did the TB story challenge with them as well, but they were fairly low engagement on making a story.  -DN/TB</v>
      </c>
      <c r="B64" s="12"/>
      <c r="C64" s="137"/>
      <c r="D64" s="214"/>
      <c r="E64" s="214"/>
      <c r="F64" s="214"/>
    </row>
    <row r="65">
      <c r="A65" s="214" t="str">
        <f>IFERROR(__xludf.DUMMYFUNCTION("""COMPUTED_VALUE"""),"Saw wolves party with Gaspar had just been killed by the party. Brought Gaspar's special items back to basement @3:45 —-TSR")</f>
        <v>Saw wolves party with Gaspar had just been killed by the party. Brought Gaspar's special items back to basement @3:45 —-TSR</v>
      </c>
      <c r="B65" s="12"/>
      <c r="C65" s="137"/>
      <c r="D65" s="214"/>
      <c r="E65" s="214"/>
      <c r="F65" s="214"/>
    </row>
    <row r="66">
      <c r="A66" s="214"/>
      <c r="B66" s="12"/>
      <c r="C66" s="137"/>
      <c r="D66" s="214"/>
      <c r="E66" s="214"/>
      <c r="F66" s="214"/>
    </row>
    <row r="67">
      <c r="A67" s="214"/>
      <c r="B67" s="12"/>
      <c r="C67" s="137"/>
      <c r="D67" s="214"/>
      <c r="E67" s="214"/>
      <c r="F67" s="214"/>
    </row>
    <row r="68">
      <c r="A68" s="214"/>
      <c r="B68" s="12"/>
      <c r="C68" s="137"/>
      <c r="D68" s="214"/>
      <c r="E68" s="214"/>
      <c r="F68" s="214"/>
    </row>
    <row r="69">
      <c r="A69" s="214"/>
      <c r="B69" s="12"/>
      <c r="C69" s="137"/>
      <c r="D69" s="214"/>
      <c r="E69" s="214"/>
      <c r="F69" s="214"/>
    </row>
    <row r="70">
      <c r="A70" s="214"/>
      <c r="B70" s="12"/>
      <c r="C70" s="137"/>
      <c r="D70" s="214"/>
      <c r="E70" s="214"/>
      <c r="F70" s="214"/>
    </row>
    <row r="71">
      <c r="A71" s="214"/>
      <c r="B71" s="12"/>
      <c r="C71" s="137"/>
      <c r="D71" s="214"/>
      <c r="E71" s="214"/>
      <c r="F71" s="214"/>
    </row>
    <row r="72">
      <c r="A72" s="214"/>
      <c r="B72" s="12"/>
      <c r="C72" s="137"/>
      <c r="D72" s="214"/>
      <c r="E72" s="214"/>
      <c r="F72" s="214"/>
    </row>
    <row r="73">
      <c r="A73" s="214"/>
      <c r="B73" s="12"/>
      <c r="C73" s="137"/>
      <c r="D73" s="214"/>
      <c r="E73" s="214"/>
      <c r="F73" s="214"/>
    </row>
    <row r="74">
      <c r="A74" s="214"/>
      <c r="B74" s="12"/>
      <c r="C74" s="137"/>
      <c r="D74" s="214"/>
      <c r="E74" s="214"/>
      <c r="F74" s="214"/>
    </row>
    <row r="75">
      <c r="A75" s="214"/>
      <c r="B75" s="12"/>
      <c r="C75" s="137"/>
      <c r="D75" s="214"/>
      <c r="E75" s="214"/>
      <c r="F75" s="214"/>
    </row>
    <row r="76">
      <c r="A76" s="214"/>
      <c r="B76" s="12"/>
      <c r="C76" s="137"/>
      <c r="D76" s="214"/>
      <c r="E76" s="214"/>
      <c r="F76" s="214"/>
    </row>
    <row r="77">
      <c r="A77" s="214"/>
      <c r="B77" s="12"/>
      <c r="C77" s="137"/>
      <c r="D77" s="214"/>
      <c r="E77" s="214"/>
      <c r="F77" s="214"/>
    </row>
    <row r="78">
      <c r="A78" s="214"/>
      <c r="B78" s="12"/>
      <c r="C78" s="137"/>
      <c r="D78" s="214"/>
      <c r="E78" s="214"/>
      <c r="F78" s="214"/>
    </row>
    <row r="79">
      <c r="A79" s="214"/>
      <c r="B79" s="12"/>
      <c r="C79" s="137"/>
      <c r="D79" s="214"/>
      <c r="E79" s="214"/>
      <c r="F79" s="214"/>
    </row>
    <row r="80">
      <c r="A80" s="214"/>
      <c r="B80" s="12"/>
      <c r="C80" s="137"/>
      <c r="D80" s="214"/>
      <c r="E80" s="214"/>
      <c r="F80" s="214"/>
    </row>
    <row r="81">
      <c r="A81" s="214"/>
      <c r="B81" s="12"/>
      <c r="C81" s="137"/>
      <c r="D81" s="214"/>
      <c r="E81" s="214"/>
      <c r="F81" s="214"/>
    </row>
    <row r="82">
      <c r="A82" s="214"/>
      <c r="B82" s="12"/>
      <c r="C82" s="137"/>
      <c r="D82" s="214"/>
      <c r="E82" s="214"/>
      <c r="F82" s="214"/>
    </row>
    <row r="83">
      <c r="A83" s="214"/>
      <c r="B83" s="12"/>
      <c r="C83" s="137"/>
      <c r="D83" s="214"/>
      <c r="E83" s="214"/>
      <c r="F83" s="214"/>
    </row>
    <row r="84">
      <c r="A84" s="214"/>
      <c r="B84" s="12"/>
      <c r="C84" s="137"/>
      <c r="D84" s="214"/>
      <c r="E84" s="214"/>
      <c r="F84" s="214"/>
    </row>
    <row r="85">
      <c r="A85" s="214"/>
      <c r="B85" s="12"/>
      <c r="C85" s="137"/>
      <c r="D85" s="214"/>
      <c r="E85" s="214"/>
      <c r="F85" s="214"/>
    </row>
    <row r="86">
      <c r="A86" s="214"/>
      <c r="B86" s="12"/>
      <c r="C86" s="137"/>
      <c r="D86" s="214"/>
      <c r="E86" s="214"/>
      <c r="F86" s="214"/>
    </row>
    <row r="87">
      <c r="B87" s="12"/>
      <c r="C87" s="137"/>
    </row>
    <row r="88">
      <c r="B88" s="12"/>
      <c r="C88" s="137"/>
    </row>
    <row r="89">
      <c r="B89" s="12"/>
      <c r="C89" s="137"/>
    </row>
    <row r="90">
      <c r="B90" s="12"/>
      <c r="C90" s="137"/>
    </row>
    <row r="91">
      <c r="B91" s="12"/>
      <c r="C91" s="137"/>
    </row>
    <row r="92">
      <c r="B92" s="12"/>
      <c r="C92" s="137"/>
    </row>
    <row r="93">
      <c r="B93" s="12"/>
      <c r="C93" s="137"/>
    </row>
    <row r="94">
      <c r="B94" s="12"/>
      <c r="C94" s="137"/>
    </row>
    <row r="95">
      <c r="B95" s="12"/>
      <c r="C95" s="137"/>
    </row>
    <row r="96">
      <c r="B96" s="12"/>
      <c r="C96" s="137"/>
    </row>
    <row r="97">
      <c r="B97" s="12"/>
      <c r="C97" s="137"/>
    </row>
    <row r="98">
      <c r="B98" s="12"/>
      <c r="C98" s="137"/>
    </row>
    <row r="99">
      <c r="B99" s="12"/>
      <c r="C99" s="137"/>
    </row>
    <row r="100">
      <c r="B100" s="12"/>
      <c r="C100" s="137"/>
    </row>
    <row r="101">
      <c r="B101" s="12"/>
      <c r="C101" s="137"/>
    </row>
    <row r="102">
      <c r="B102" s="12"/>
      <c r="C102" s="137"/>
    </row>
    <row r="103">
      <c r="B103" s="12"/>
      <c r="C103" s="137"/>
    </row>
    <row r="104">
      <c r="B104" s="12"/>
      <c r="C104" s="137"/>
    </row>
    <row r="105">
      <c r="B105" s="12"/>
      <c r="C105" s="137"/>
    </row>
    <row r="106">
      <c r="B106" s="12"/>
      <c r="C106" s="137"/>
    </row>
    <row r="107">
      <c r="B107" s="12"/>
      <c r="C107" s="137"/>
    </row>
    <row r="108">
      <c r="B108" s="12"/>
      <c r="C108" s="137"/>
    </row>
    <row r="109">
      <c r="B109" s="12"/>
      <c r="C109" s="137"/>
    </row>
    <row r="110">
      <c r="B110" s="12"/>
      <c r="C110" s="137"/>
    </row>
    <row r="111">
      <c r="B111" s="12"/>
      <c r="C111" s="137"/>
    </row>
    <row r="112">
      <c r="B112" s="12"/>
      <c r="C112" s="137"/>
    </row>
    <row r="113">
      <c r="B113" s="12"/>
      <c r="C113" s="137"/>
    </row>
    <row r="114">
      <c r="B114" s="12"/>
      <c r="C114" s="137"/>
    </row>
    <row r="115">
      <c r="B115" s="12"/>
      <c r="C115" s="137"/>
    </row>
    <row r="116">
      <c r="B116" s="12"/>
      <c r="C116" s="137"/>
    </row>
    <row r="117">
      <c r="B117" s="12"/>
      <c r="C117" s="137"/>
    </row>
    <row r="118">
      <c r="B118" s="12"/>
      <c r="C118" s="137"/>
    </row>
    <row r="119">
      <c r="B119" s="12"/>
      <c r="C119" s="137"/>
    </row>
    <row r="120">
      <c r="B120" s="12"/>
      <c r="C120" s="137"/>
    </row>
    <row r="121">
      <c r="B121" s="12"/>
      <c r="C121" s="137"/>
    </row>
    <row r="122">
      <c r="B122" s="12"/>
      <c r="C122" s="137"/>
    </row>
    <row r="123">
      <c r="B123" s="12"/>
      <c r="C123" s="137"/>
    </row>
    <row r="124">
      <c r="B124" s="12"/>
      <c r="C124" s="137"/>
    </row>
    <row r="125">
      <c r="B125" s="12"/>
      <c r="C125" s="137"/>
    </row>
    <row r="126">
      <c r="B126" s="12"/>
      <c r="C126" s="137"/>
    </row>
    <row r="127">
      <c r="B127" s="12"/>
      <c r="C127" s="137"/>
    </row>
    <row r="128">
      <c r="B128" s="12"/>
      <c r="C128" s="137"/>
    </row>
    <row r="129">
      <c r="B129" s="12"/>
      <c r="C129" s="137"/>
    </row>
    <row r="130">
      <c r="B130" s="12"/>
      <c r="C130" s="137"/>
    </row>
    <row r="131">
      <c r="B131" s="12"/>
      <c r="C131" s="137"/>
    </row>
    <row r="132">
      <c r="B132" s="12"/>
      <c r="C132" s="137"/>
    </row>
    <row r="133">
      <c r="B133" s="12"/>
      <c r="C133" s="137"/>
    </row>
    <row r="134">
      <c r="B134" s="12"/>
      <c r="C134" s="137"/>
    </row>
    <row r="135">
      <c r="B135" s="12"/>
      <c r="C135" s="137"/>
    </row>
    <row r="136">
      <c r="B136" s="12"/>
      <c r="C136" s="137"/>
    </row>
    <row r="137">
      <c r="B137" s="12"/>
      <c r="C137" s="137"/>
    </row>
    <row r="138">
      <c r="B138" s="12"/>
      <c r="C138" s="137"/>
    </row>
    <row r="139">
      <c r="B139" s="12"/>
      <c r="C139" s="137"/>
    </row>
    <row r="140">
      <c r="B140" s="12"/>
      <c r="C140" s="137"/>
    </row>
    <row r="141">
      <c r="B141" s="12"/>
      <c r="C141" s="137"/>
    </row>
    <row r="142">
      <c r="B142" s="12"/>
      <c r="C142" s="137"/>
    </row>
    <row r="143">
      <c r="B143" s="12"/>
      <c r="C143" s="137"/>
    </row>
    <row r="144">
      <c r="B144" s="12"/>
      <c r="C144" s="137"/>
    </row>
    <row r="145">
      <c r="B145" s="12"/>
      <c r="C145" s="137"/>
    </row>
    <row r="146">
      <c r="B146" s="12"/>
      <c r="C146" s="137"/>
    </row>
    <row r="147">
      <c r="B147" s="12"/>
      <c r="C147" s="137"/>
    </row>
    <row r="148">
      <c r="B148" s="12"/>
      <c r="C148" s="137"/>
    </row>
    <row r="149">
      <c r="B149" s="12"/>
      <c r="C149" s="137"/>
    </row>
    <row r="150">
      <c r="B150" s="12"/>
      <c r="C150" s="137"/>
    </row>
    <row r="151">
      <c r="B151" s="12"/>
      <c r="C151" s="137"/>
    </row>
    <row r="152">
      <c r="B152" s="12"/>
      <c r="C152" s="137"/>
    </row>
    <row r="153">
      <c r="B153" s="12"/>
      <c r="C153" s="137"/>
    </row>
    <row r="154">
      <c r="B154" s="12"/>
      <c r="C154" s="137"/>
    </row>
    <row r="155">
      <c r="B155" s="12"/>
      <c r="C155" s="137"/>
    </row>
    <row r="156">
      <c r="B156" s="12"/>
      <c r="C156" s="137"/>
    </row>
    <row r="157">
      <c r="B157" s="12"/>
      <c r="C157" s="137"/>
    </row>
    <row r="158">
      <c r="B158" s="12"/>
      <c r="C158" s="137"/>
    </row>
    <row r="159">
      <c r="B159" s="12"/>
      <c r="C159" s="137"/>
    </row>
    <row r="160">
      <c r="B160" s="12"/>
      <c r="C160" s="137"/>
    </row>
    <row r="161">
      <c r="B161" s="12"/>
      <c r="C161" s="137"/>
    </row>
    <row r="162">
      <c r="B162" s="12"/>
      <c r="C162" s="137"/>
    </row>
    <row r="163">
      <c r="B163" s="12"/>
      <c r="C163" s="137"/>
    </row>
    <row r="164">
      <c r="B164" s="12"/>
      <c r="C164" s="137"/>
    </row>
    <row r="165">
      <c r="B165" s="12"/>
      <c r="C165" s="137"/>
    </row>
    <row r="166">
      <c r="B166" s="12"/>
      <c r="C166" s="137"/>
    </row>
    <row r="167">
      <c r="B167" s="12"/>
      <c r="C167" s="137"/>
    </row>
    <row r="168">
      <c r="B168" s="12"/>
      <c r="C168" s="137"/>
    </row>
    <row r="169">
      <c r="B169" s="12"/>
      <c r="C169" s="137"/>
    </row>
    <row r="170">
      <c r="B170" s="12"/>
      <c r="C170" s="137"/>
    </row>
    <row r="171">
      <c r="B171" s="12"/>
      <c r="C171" s="137"/>
    </row>
    <row r="172">
      <c r="B172" s="12"/>
      <c r="C172" s="137"/>
    </row>
    <row r="173">
      <c r="B173" s="12"/>
      <c r="C173" s="137"/>
    </row>
    <row r="174">
      <c r="B174" s="12"/>
      <c r="C174" s="137"/>
    </row>
    <row r="175">
      <c r="B175" s="12"/>
      <c r="C175" s="137"/>
    </row>
    <row r="176">
      <c r="B176" s="12"/>
      <c r="C176" s="137"/>
    </row>
    <row r="177">
      <c r="B177" s="12"/>
      <c r="C177" s="137"/>
    </row>
    <row r="178">
      <c r="B178" s="12"/>
      <c r="C178" s="137"/>
    </row>
    <row r="179">
      <c r="B179" s="12"/>
      <c r="C179" s="137"/>
    </row>
    <row r="180">
      <c r="B180" s="12"/>
      <c r="C180" s="137"/>
    </row>
    <row r="181">
      <c r="B181" s="12"/>
      <c r="C181" s="137"/>
    </row>
    <row r="182">
      <c r="B182" s="12"/>
      <c r="C182" s="137"/>
    </row>
    <row r="183">
      <c r="B183" s="12"/>
      <c r="C183" s="137"/>
    </row>
    <row r="184">
      <c r="B184" s="12"/>
      <c r="C184" s="137"/>
    </row>
    <row r="185">
      <c r="B185" s="12"/>
      <c r="C185" s="137"/>
    </row>
    <row r="186">
      <c r="B186" s="12"/>
      <c r="C186" s="137"/>
    </row>
    <row r="187">
      <c r="B187" s="12"/>
      <c r="C187" s="137"/>
    </row>
    <row r="188">
      <c r="B188" s="12"/>
      <c r="C188" s="137"/>
    </row>
    <row r="189">
      <c r="B189" s="12"/>
      <c r="C189" s="137"/>
    </row>
    <row r="190">
      <c r="B190" s="12"/>
      <c r="C190" s="137"/>
    </row>
    <row r="191">
      <c r="B191" s="12"/>
      <c r="C191" s="137"/>
    </row>
    <row r="192">
      <c r="B192" s="12"/>
      <c r="C192" s="137"/>
    </row>
    <row r="193">
      <c r="B193" s="12"/>
      <c r="C193" s="137"/>
    </row>
    <row r="194">
      <c r="B194" s="12"/>
      <c r="C194" s="137"/>
    </row>
    <row r="195">
      <c r="B195" s="12"/>
      <c r="C195" s="137"/>
    </row>
    <row r="196">
      <c r="B196" s="12"/>
      <c r="C196" s="137"/>
    </row>
    <row r="197">
      <c r="B197" s="12"/>
      <c r="C197" s="137"/>
    </row>
    <row r="198">
      <c r="B198" s="12"/>
      <c r="C198" s="137"/>
    </row>
    <row r="199">
      <c r="B199" s="12"/>
      <c r="C199" s="137"/>
    </row>
    <row r="200">
      <c r="B200" s="12"/>
      <c r="C200" s="137"/>
    </row>
    <row r="201">
      <c r="B201" s="12"/>
      <c r="C201" s="137"/>
    </row>
    <row r="202">
      <c r="B202" s="12"/>
      <c r="C202" s="137"/>
    </row>
    <row r="203">
      <c r="B203" s="12"/>
      <c r="C203" s="137"/>
    </row>
    <row r="204">
      <c r="B204" s="12"/>
      <c r="C204" s="137"/>
    </row>
    <row r="205">
      <c r="B205" s="12"/>
      <c r="C205" s="137"/>
    </row>
    <row r="206">
      <c r="B206" s="12"/>
      <c r="C206" s="137"/>
    </row>
    <row r="207">
      <c r="B207" s="12"/>
      <c r="C207" s="137"/>
    </row>
    <row r="208">
      <c r="B208" s="12"/>
      <c r="C208" s="137"/>
    </row>
    <row r="209">
      <c r="B209" s="12"/>
      <c r="C209" s="137"/>
    </row>
    <row r="210">
      <c r="B210" s="12"/>
      <c r="C210" s="137"/>
    </row>
    <row r="211">
      <c r="B211" s="12"/>
      <c r="C211" s="137"/>
    </row>
    <row r="212">
      <c r="B212" s="12"/>
      <c r="C212" s="137"/>
    </row>
    <row r="213">
      <c r="B213" s="12"/>
      <c r="C213" s="137"/>
    </row>
    <row r="214">
      <c r="B214" s="12"/>
      <c r="C214" s="137"/>
    </row>
    <row r="215">
      <c r="B215" s="12"/>
      <c r="C215" s="137"/>
    </row>
    <row r="216">
      <c r="B216" s="12"/>
      <c r="C216" s="137"/>
    </row>
    <row r="217">
      <c r="B217" s="12"/>
      <c r="C217" s="137"/>
    </row>
    <row r="218">
      <c r="B218" s="12"/>
      <c r="C218" s="137"/>
    </row>
    <row r="219">
      <c r="B219" s="12"/>
      <c r="C219" s="137"/>
    </row>
    <row r="220">
      <c r="B220" s="12"/>
      <c r="C220" s="137"/>
    </row>
    <row r="221">
      <c r="B221" s="12"/>
      <c r="C221" s="137"/>
    </row>
    <row r="222">
      <c r="B222" s="12"/>
      <c r="C222" s="137"/>
    </row>
    <row r="223">
      <c r="B223" s="12"/>
      <c r="C223" s="137"/>
    </row>
    <row r="224">
      <c r="B224" s="12"/>
      <c r="C224" s="137"/>
    </row>
    <row r="225">
      <c r="B225" s="12"/>
      <c r="C225" s="137"/>
    </row>
    <row r="226">
      <c r="B226" s="12"/>
      <c r="C226" s="137"/>
    </row>
    <row r="227">
      <c r="B227" s="12"/>
      <c r="C227" s="137"/>
    </row>
    <row r="228">
      <c r="B228" s="12"/>
      <c r="C228" s="137"/>
    </row>
    <row r="229">
      <c r="B229" s="12"/>
      <c r="C229" s="137"/>
    </row>
    <row r="230">
      <c r="B230" s="12"/>
      <c r="C230" s="137"/>
    </row>
    <row r="231">
      <c r="B231" s="12"/>
      <c r="C231" s="137"/>
    </row>
    <row r="232">
      <c r="B232" s="12"/>
      <c r="C232" s="137"/>
    </row>
    <row r="233">
      <c r="B233" s="12"/>
      <c r="C233" s="137"/>
    </row>
    <row r="234">
      <c r="B234" s="12"/>
      <c r="C234" s="137"/>
    </row>
    <row r="235">
      <c r="B235" s="12"/>
      <c r="C235" s="137"/>
    </row>
    <row r="236">
      <c r="B236" s="12"/>
      <c r="C236" s="137"/>
    </row>
    <row r="237">
      <c r="B237" s="12"/>
      <c r="C237" s="137"/>
    </row>
    <row r="238">
      <c r="B238" s="12"/>
      <c r="C238" s="137"/>
    </row>
    <row r="239">
      <c r="B239" s="12"/>
      <c r="C239" s="137"/>
    </row>
    <row r="240">
      <c r="B240" s="12"/>
      <c r="C240" s="137"/>
    </row>
    <row r="241">
      <c r="B241" s="12"/>
      <c r="C241" s="137"/>
    </row>
    <row r="242">
      <c r="B242" s="12"/>
      <c r="C242" s="137"/>
    </row>
    <row r="243">
      <c r="B243" s="12"/>
      <c r="C243" s="137"/>
    </row>
    <row r="244">
      <c r="B244" s="12"/>
      <c r="C244" s="137"/>
    </row>
    <row r="245">
      <c r="B245" s="12"/>
      <c r="C245" s="137"/>
    </row>
    <row r="246">
      <c r="B246" s="12"/>
      <c r="C246" s="137"/>
    </row>
    <row r="247">
      <c r="B247" s="12"/>
      <c r="C247" s="137"/>
    </row>
    <row r="248">
      <c r="B248" s="12"/>
      <c r="C248" s="137"/>
    </row>
    <row r="249">
      <c r="B249" s="12"/>
      <c r="C249" s="137"/>
    </row>
    <row r="250">
      <c r="B250" s="12"/>
      <c r="C250" s="137"/>
    </row>
    <row r="251">
      <c r="B251" s="12"/>
      <c r="C251" s="137"/>
    </row>
    <row r="252">
      <c r="B252" s="12"/>
      <c r="C252" s="137"/>
    </row>
    <row r="253">
      <c r="B253" s="12"/>
      <c r="C253" s="137"/>
    </row>
    <row r="254">
      <c r="B254" s="12"/>
      <c r="C254" s="137"/>
    </row>
    <row r="255">
      <c r="B255" s="12"/>
      <c r="C255" s="137"/>
    </row>
    <row r="256">
      <c r="B256" s="12"/>
      <c r="C256" s="137"/>
    </row>
    <row r="257">
      <c r="B257" s="12"/>
      <c r="C257" s="137"/>
    </row>
    <row r="258">
      <c r="B258" s="12"/>
      <c r="C258" s="137"/>
    </row>
    <row r="259">
      <c r="B259" s="12"/>
      <c r="C259" s="137"/>
    </row>
    <row r="260">
      <c r="B260" s="12"/>
      <c r="C260" s="137"/>
    </row>
    <row r="261">
      <c r="B261" s="12"/>
      <c r="C261" s="137"/>
    </row>
    <row r="262">
      <c r="B262" s="12"/>
      <c r="C262" s="137"/>
    </row>
    <row r="263">
      <c r="B263" s="12"/>
      <c r="C263" s="137"/>
    </row>
    <row r="264">
      <c r="B264" s="12"/>
      <c r="C264" s="137"/>
    </row>
    <row r="265">
      <c r="B265" s="12"/>
      <c r="C265" s="137"/>
    </row>
    <row r="266">
      <c r="B266" s="12"/>
      <c r="C266" s="137"/>
    </row>
    <row r="267">
      <c r="B267" s="12"/>
      <c r="C267" s="137"/>
    </row>
    <row r="268">
      <c r="B268" s="12"/>
      <c r="C268" s="137"/>
    </row>
    <row r="269">
      <c r="B269" s="12"/>
      <c r="C269" s="137"/>
    </row>
    <row r="270">
      <c r="B270" s="12"/>
      <c r="C270" s="137"/>
    </row>
    <row r="271">
      <c r="B271" s="12"/>
      <c r="C271" s="137"/>
    </row>
    <row r="272">
      <c r="B272" s="12"/>
      <c r="C272" s="137"/>
    </row>
    <row r="273">
      <c r="B273" s="12"/>
      <c r="C273" s="137"/>
    </row>
    <row r="274">
      <c r="B274" s="12"/>
      <c r="C274" s="137"/>
    </row>
    <row r="275">
      <c r="B275" s="12"/>
      <c r="C275" s="137"/>
    </row>
    <row r="276">
      <c r="B276" s="12"/>
      <c r="C276" s="137"/>
    </row>
    <row r="277">
      <c r="B277" s="12"/>
      <c r="C277" s="137"/>
    </row>
    <row r="278">
      <c r="B278" s="12"/>
      <c r="C278" s="137"/>
    </row>
    <row r="279">
      <c r="B279" s="12"/>
      <c r="C279" s="137"/>
    </row>
    <row r="280">
      <c r="B280" s="12"/>
      <c r="C280" s="137"/>
    </row>
    <row r="281">
      <c r="B281" s="12"/>
      <c r="C281" s="137"/>
    </row>
    <row r="282">
      <c r="B282" s="12"/>
      <c r="C282" s="137"/>
    </row>
    <row r="283">
      <c r="B283" s="12"/>
      <c r="C283" s="137"/>
    </row>
    <row r="284">
      <c r="B284" s="12"/>
      <c r="C284" s="137"/>
    </row>
    <row r="285">
      <c r="B285" s="12"/>
      <c r="C285" s="137"/>
    </row>
    <row r="286">
      <c r="B286" s="12"/>
      <c r="C286" s="137"/>
    </row>
    <row r="287">
      <c r="B287" s="12"/>
      <c r="C287" s="137"/>
    </row>
    <row r="288">
      <c r="B288" s="12"/>
      <c r="C288" s="137"/>
    </row>
    <row r="289">
      <c r="B289" s="12"/>
      <c r="C289" s="137"/>
    </row>
    <row r="290">
      <c r="B290" s="12"/>
      <c r="C290" s="137"/>
    </row>
    <row r="291">
      <c r="B291" s="12"/>
      <c r="C291" s="137"/>
    </row>
    <row r="292">
      <c r="B292" s="12"/>
      <c r="C292" s="137"/>
    </row>
    <row r="293">
      <c r="B293" s="12"/>
      <c r="C293" s="137"/>
    </row>
    <row r="294">
      <c r="B294" s="12"/>
      <c r="C294" s="137"/>
    </row>
    <row r="295">
      <c r="B295" s="12"/>
      <c r="C295" s="137"/>
    </row>
    <row r="296">
      <c r="B296" s="12"/>
      <c r="C296" s="137"/>
    </row>
    <row r="297">
      <c r="B297" s="12"/>
      <c r="C297" s="137"/>
    </row>
    <row r="298">
      <c r="B298" s="12"/>
      <c r="C298" s="137"/>
    </row>
    <row r="299">
      <c r="B299" s="12"/>
      <c r="C299" s="137"/>
    </row>
    <row r="300">
      <c r="B300" s="12"/>
      <c r="C300" s="137"/>
    </row>
    <row r="301">
      <c r="B301" s="12"/>
      <c r="C301" s="137"/>
    </row>
    <row r="302">
      <c r="B302" s="12"/>
      <c r="C302" s="137"/>
    </row>
    <row r="303">
      <c r="B303" s="12"/>
      <c r="C303" s="137"/>
    </row>
    <row r="304">
      <c r="B304" s="12"/>
      <c r="C304" s="137"/>
    </row>
    <row r="305">
      <c r="B305" s="12"/>
      <c r="C305" s="137"/>
    </row>
    <row r="306">
      <c r="B306" s="12"/>
      <c r="C306" s="137"/>
    </row>
    <row r="307">
      <c r="B307" s="12"/>
      <c r="C307" s="137"/>
    </row>
    <row r="308">
      <c r="B308" s="12"/>
      <c r="C308" s="137"/>
    </row>
    <row r="309">
      <c r="B309" s="12"/>
      <c r="C309" s="137"/>
    </row>
    <row r="310">
      <c r="B310" s="12"/>
      <c r="C310" s="137"/>
    </row>
    <row r="311">
      <c r="B311" s="12"/>
      <c r="C311" s="137"/>
    </row>
    <row r="312">
      <c r="B312" s="12"/>
      <c r="C312" s="137"/>
    </row>
    <row r="313">
      <c r="B313" s="12"/>
      <c r="C313" s="137"/>
    </row>
    <row r="314">
      <c r="B314" s="12"/>
      <c r="C314" s="137"/>
    </row>
    <row r="315">
      <c r="B315" s="12"/>
      <c r="C315" s="137"/>
    </row>
    <row r="316">
      <c r="B316" s="12"/>
      <c r="C316" s="137"/>
    </row>
    <row r="317">
      <c r="B317" s="12"/>
      <c r="C317" s="137"/>
    </row>
    <row r="318">
      <c r="B318" s="12"/>
      <c r="C318" s="137"/>
    </row>
    <row r="319">
      <c r="B319" s="12"/>
      <c r="C319" s="137"/>
    </row>
    <row r="320">
      <c r="B320" s="12"/>
      <c r="C320" s="137"/>
    </row>
    <row r="321">
      <c r="B321" s="12"/>
      <c r="C321" s="137"/>
    </row>
    <row r="322">
      <c r="B322" s="12"/>
      <c r="C322" s="137"/>
    </row>
    <row r="323">
      <c r="B323" s="12"/>
      <c r="C323" s="137"/>
    </row>
    <row r="324">
      <c r="B324" s="12"/>
      <c r="C324" s="137"/>
    </row>
    <row r="325">
      <c r="B325" s="12"/>
      <c r="C325" s="137"/>
    </row>
    <row r="326">
      <c r="B326" s="12"/>
      <c r="C326" s="137"/>
    </row>
    <row r="327">
      <c r="B327" s="12"/>
      <c r="C327" s="137"/>
    </row>
    <row r="328">
      <c r="B328" s="12"/>
      <c r="C328" s="137"/>
    </row>
    <row r="329">
      <c r="B329" s="12"/>
      <c r="C329" s="137"/>
    </row>
    <row r="330">
      <c r="B330" s="12"/>
      <c r="C330" s="137"/>
    </row>
    <row r="331">
      <c r="B331" s="12"/>
      <c r="C331" s="137"/>
    </row>
    <row r="332">
      <c r="B332" s="12"/>
      <c r="C332" s="137"/>
    </row>
    <row r="333">
      <c r="B333" s="12"/>
      <c r="C333" s="137"/>
    </row>
    <row r="334">
      <c r="B334" s="12"/>
      <c r="C334" s="137"/>
    </row>
    <row r="335">
      <c r="B335" s="12"/>
      <c r="C335" s="137"/>
    </row>
    <row r="336">
      <c r="B336" s="12"/>
      <c r="C336" s="137"/>
    </row>
    <row r="337">
      <c r="B337" s="12"/>
      <c r="C337" s="137"/>
    </row>
    <row r="338">
      <c r="B338" s="12"/>
      <c r="C338" s="137"/>
    </row>
    <row r="339">
      <c r="B339" s="12"/>
      <c r="C339" s="137"/>
    </row>
    <row r="340">
      <c r="B340" s="12"/>
      <c r="C340" s="137"/>
    </row>
    <row r="341">
      <c r="B341" s="12"/>
      <c r="C341" s="137"/>
    </row>
    <row r="342">
      <c r="B342" s="12"/>
      <c r="C342" s="137"/>
    </row>
    <row r="343">
      <c r="B343" s="12"/>
      <c r="C343" s="137"/>
    </row>
    <row r="344">
      <c r="B344" s="12"/>
      <c r="C344" s="137"/>
    </row>
    <row r="345">
      <c r="B345" s="12"/>
      <c r="C345" s="137"/>
    </row>
    <row r="346">
      <c r="B346" s="12"/>
      <c r="C346" s="137"/>
    </row>
    <row r="347">
      <c r="B347" s="12"/>
      <c r="C347" s="137"/>
    </row>
    <row r="348">
      <c r="B348" s="12"/>
      <c r="C348" s="137"/>
    </row>
    <row r="349">
      <c r="B349" s="12"/>
      <c r="C349" s="137"/>
    </row>
    <row r="350">
      <c r="B350" s="12"/>
      <c r="C350" s="137"/>
    </row>
    <row r="351">
      <c r="B351" s="12"/>
      <c r="C351" s="137"/>
    </row>
    <row r="352">
      <c r="B352" s="12"/>
      <c r="C352" s="137"/>
    </row>
    <row r="353">
      <c r="B353" s="12"/>
      <c r="C353" s="137"/>
    </row>
    <row r="354">
      <c r="B354" s="12"/>
      <c r="C354" s="137"/>
    </row>
    <row r="355">
      <c r="B355" s="12"/>
      <c r="C355" s="137"/>
    </row>
    <row r="356">
      <c r="B356" s="12"/>
      <c r="C356" s="137"/>
    </row>
    <row r="357">
      <c r="B357" s="12"/>
      <c r="C357" s="137"/>
    </row>
    <row r="358">
      <c r="B358" s="12"/>
      <c r="C358" s="137"/>
    </row>
    <row r="359">
      <c r="B359" s="12"/>
      <c r="C359" s="137"/>
    </row>
    <row r="360">
      <c r="B360" s="12"/>
      <c r="C360" s="137"/>
    </row>
    <row r="361">
      <c r="B361" s="12"/>
      <c r="C361" s="137"/>
    </row>
    <row r="362">
      <c r="B362" s="12"/>
      <c r="C362" s="137"/>
    </row>
    <row r="363">
      <c r="B363" s="12"/>
      <c r="C363" s="137"/>
    </row>
    <row r="364">
      <c r="B364" s="12"/>
      <c r="C364" s="137"/>
    </row>
    <row r="365">
      <c r="B365" s="12"/>
      <c r="C365" s="137"/>
    </row>
    <row r="366">
      <c r="B366" s="12"/>
      <c r="C366" s="137"/>
    </row>
    <row r="367">
      <c r="B367" s="12"/>
      <c r="C367" s="137"/>
    </row>
    <row r="368">
      <c r="B368" s="12"/>
      <c r="C368" s="137"/>
    </row>
    <row r="369">
      <c r="B369" s="12"/>
      <c r="C369" s="137"/>
    </row>
    <row r="370">
      <c r="B370" s="12"/>
      <c r="C370" s="137"/>
    </row>
    <row r="371">
      <c r="B371" s="12"/>
      <c r="C371" s="137"/>
    </row>
    <row r="372">
      <c r="B372" s="12"/>
      <c r="C372" s="137"/>
    </row>
    <row r="373">
      <c r="B373" s="12"/>
      <c r="C373" s="137"/>
    </row>
    <row r="374">
      <c r="B374" s="12"/>
      <c r="C374" s="137"/>
    </row>
    <row r="375">
      <c r="B375" s="12"/>
      <c r="C375" s="137"/>
    </row>
    <row r="376">
      <c r="B376" s="12"/>
      <c r="C376" s="137"/>
    </row>
    <row r="377">
      <c r="B377" s="12"/>
      <c r="C377" s="137"/>
    </row>
    <row r="378">
      <c r="B378" s="12"/>
      <c r="C378" s="137"/>
    </row>
    <row r="379">
      <c r="B379" s="12"/>
      <c r="C379" s="137"/>
    </row>
    <row r="380">
      <c r="B380" s="12"/>
      <c r="C380" s="137"/>
    </row>
    <row r="381">
      <c r="B381" s="12"/>
      <c r="C381" s="137"/>
    </row>
    <row r="382">
      <c r="B382" s="12"/>
      <c r="C382" s="137"/>
    </row>
    <row r="383">
      <c r="B383" s="12"/>
      <c r="C383" s="137"/>
    </row>
    <row r="384">
      <c r="B384" s="12"/>
      <c r="C384" s="137"/>
    </row>
    <row r="385">
      <c r="B385" s="12"/>
      <c r="C385" s="137"/>
    </row>
    <row r="386">
      <c r="B386" s="12"/>
      <c r="C386" s="137"/>
    </row>
    <row r="387">
      <c r="B387" s="12"/>
      <c r="C387" s="137"/>
    </row>
    <row r="388">
      <c r="B388" s="12"/>
      <c r="C388" s="137"/>
    </row>
    <row r="389">
      <c r="B389" s="12"/>
      <c r="C389" s="137"/>
    </row>
    <row r="390">
      <c r="B390" s="12"/>
      <c r="C390" s="137"/>
    </row>
    <row r="391">
      <c r="B391" s="12"/>
      <c r="C391" s="137"/>
    </row>
    <row r="392">
      <c r="B392" s="12"/>
      <c r="C392" s="137"/>
    </row>
    <row r="393">
      <c r="B393" s="12"/>
      <c r="C393" s="137"/>
    </row>
    <row r="394">
      <c r="B394" s="12"/>
      <c r="C394" s="137"/>
    </row>
    <row r="395">
      <c r="B395" s="12"/>
      <c r="C395" s="137"/>
    </row>
    <row r="396">
      <c r="B396" s="12"/>
      <c r="C396" s="137"/>
    </row>
    <row r="397">
      <c r="B397" s="12"/>
      <c r="C397" s="137"/>
    </row>
    <row r="398">
      <c r="B398" s="12"/>
      <c r="C398" s="137"/>
    </row>
    <row r="399">
      <c r="B399" s="12"/>
      <c r="C399" s="137"/>
    </row>
    <row r="400">
      <c r="B400" s="12"/>
      <c r="C400" s="137"/>
    </row>
    <row r="401">
      <c r="B401" s="12"/>
      <c r="C401" s="137"/>
    </row>
    <row r="402">
      <c r="B402" s="12"/>
      <c r="C402" s="137"/>
    </row>
    <row r="403">
      <c r="B403" s="12"/>
      <c r="C403" s="137"/>
    </row>
    <row r="404">
      <c r="B404" s="12"/>
      <c r="C404" s="137"/>
    </row>
    <row r="405">
      <c r="B405" s="12"/>
      <c r="C405" s="137"/>
    </row>
    <row r="406">
      <c r="B406" s="12"/>
      <c r="C406" s="137"/>
    </row>
    <row r="407">
      <c r="B407" s="12"/>
      <c r="C407" s="137"/>
    </row>
    <row r="408">
      <c r="B408" s="12"/>
      <c r="C408" s="137"/>
    </row>
    <row r="409">
      <c r="B409" s="12"/>
      <c r="C409" s="137"/>
    </row>
    <row r="410">
      <c r="B410" s="12"/>
      <c r="C410" s="137"/>
    </row>
    <row r="411">
      <c r="B411" s="12"/>
      <c r="C411" s="137"/>
    </row>
    <row r="412">
      <c r="B412" s="12"/>
      <c r="C412" s="137"/>
    </row>
    <row r="413">
      <c r="B413" s="12"/>
      <c r="C413" s="137"/>
    </row>
    <row r="414">
      <c r="B414" s="12"/>
      <c r="C414" s="137"/>
    </row>
    <row r="415">
      <c r="B415" s="12"/>
      <c r="C415" s="137"/>
    </row>
    <row r="416">
      <c r="B416" s="12"/>
      <c r="C416" s="137"/>
    </row>
    <row r="417">
      <c r="B417" s="12"/>
      <c r="C417" s="137"/>
    </row>
    <row r="418">
      <c r="B418" s="12"/>
      <c r="C418" s="137"/>
    </row>
    <row r="419">
      <c r="B419" s="12"/>
      <c r="C419" s="137"/>
    </row>
    <row r="420">
      <c r="B420" s="12"/>
      <c r="C420" s="137"/>
    </row>
    <row r="421">
      <c r="B421" s="12"/>
      <c r="C421" s="137"/>
    </row>
    <row r="422">
      <c r="B422" s="12"/>
      <c r="C422" s="137"/>
    </row>
    <row r="423">
      <c r="B423" s="12"/>
      <c r="C423" s="137"/>
    </row>
    <row r="424">
      <c r="B424" s="12"/>
      <c r="C424" s="137"/>
    </row>
    <row r="425">
      <c r="B425" s="12"/>
      <c r="C425" s="137"/>
    </row>
    <row r="426">
      <c r="B426" s="12"/>
      <c r="C426" s="137"/>
    </row>
    <row r="427">
      <c r="B427" s="12"/>
      <c r="C427" s="137"/>
    </row>
    <row r="428">
      <c r="B428" s="12"/>
      <c r="C428" s="137"/>
    </row>
    <row r="429">
      <c r="B429" s="12"/>
      <c r="C429" s="137"/>
    </row>
    <row r="430">
      <c r="B430" s="12"/>
      <c r="C430" s="137"/>
    </row>
    <row r="431">
      <c r="B431" s="12"/>
      <c r="C431" s="137"/>
    </row>
    <row r="432">
      <c r="B432" s="12"/>
      <c r="C432" s="137"/>
    </row>
    <row r="433">
      <c r="B433" s="12"/>
      <c r="C433" s="137"/>
    </row>
    <row r="434">
      <c r="B434" s="12"/>
      <c r="C434" s="137"/>
    </row>
    <row r="435">
      <c r="B435" s="12"/>
      <c r="C435" s="137"/>
    </row>
    <row r="436">
      <c r="B436" s="12"/>
      <c r="C436" s="137"/>
    </row>
    <row r="437">
      <c r="B437" s="12"/>
      <c r="C437" s="137"/>
    </row>
    <row r="438">
      <c r="B438" s="12"/>
      <c r="C438" s="137"/>
    </row>
    <row r="439">
      <c r="B439" s="12"/>
      <c r="C439" s="137"/>
    </row>
    <row r="440">
      <c r="B440" s="12"/>
      <c r="C440" s="137"/>
    </row>
    <row r="441">
      <c r="B441" s="12"/>
      <c r="C441" s="137"/>
    </row>
    <row r="442">
      <c r="B442" s="12"/>
      <c r="C442" s="137"/>
    </row>
    <row r="443">
      <c r="B443" s="12"/>
      <c r="C443" s="137"/>
    </row>
    <row r="444">
      <c r="B444" s="12"/>
      <c r="C444" s="137"/>
    </row>
    <row r="445">
      <c r="B445" s="12"/>
      <c r="C445" s="137"/>
    </row>
    <row r="446">
      <c r="B446" s="12"/>
      <c r="C446" s="137"/>
    </row>
    <row r="447">
      <c r="B447" s="12"/>
      <c r="C447" s="137"/>
    </row>
    <row r="448">
      <c r="B448" s="12"/>
      <c r="C448" s="137"/>
    </row>
    <row r="449">
      <c r="B449" s="12"/>
      <c r="C449" s="137"/>
    </row>
    <row r="450">
      <c r="B450" s="12"/>
      <c r="C450" s="137"/>
    </row>
    <row r="451">
      <c r="B451" s="12"/>
      <c r="C451" s="137"/>
    </row>
    <row r="452">
      <c r="B452" s="12"/>
      <c r="C452" s="137"/>
    </row>
    <row r="453">
      <c r="B453" s="12"/>
      <c r="C453" s="137"/>
    </row>
    <row r="454">
      <c r="B454" s="12"/>
      <c r="C454" s="137"/>
    </row>
    <row r="455">
      <c r="B455" s="12"/>
      <c r="C455" s="137"/>
    </row>
    <row r="456">
      <c r="B456" s="12"/>
      <c r="C456" s="137"/>
    </row>
    <row r="457">
      <c r="B457" s="12"/>
      <c r="C457" s="137"/>
    </row>
    <row r="458">
      <c r="B458" s="12"/>
      <c r="C458" s="137"/>
    </row>
    <row r="459">
      <c r="B459" s="12"/>
      <c r="C459" s="137"/>
    </row>
    <row r="460">
      <c r="B460" s="12"/>
      <c r="C460" s="137"/>
    </row>
    <row r="461">
      <c r="B461" s="12"/>
      <c r="C461" s="137"/>
    </row>
    <row r="462">
      <c r="B462" s="12"/>
      <c r="C462" s="137"/>
    </row>
    <row r="463">
      <c r="B463" s="12"/>
      <c r="C463" s="137"/>
    </row>
    <row r="464">
      <c r="B464" s="12"/>
      <c r="C464" s="137"/>
    </row>
    <row r="465">
      <c r="B465" s="12"/>
      <c r="C465" s="137"/>
    </row>
    <row r="466">
      <c r="B466" s="12"/>
      <c r="C466" s="137"/>
    </row>
    <row r="467">
      <c r="B467" s="12"/>
      <c r="C467" s="137"/>
    </row>
    <row r="468">
      <c r="B468" s="12"/>
      <c r="C468" s="137"/>
    </row>
    <row r="469">
      <c r="B469" s="12"/>
      <c r="C469" s="137"/>
    </row>
    <row r="470">
      <c r="B470" s="12"/>
      <c r="C470" s="137"/>
    </row>
    <row r="471">
      <c r="B471" s="12"/>
      <c r="C471" s="137"/>
    </row>
    <row r="472">
      <c r="B472" s="12"/>
      <c r="C472" s="137"/>
    </row>
    <row r="473">
      <c r="B473" s="12"/>
      <c r="C473" s="137"/>
    </row>
    <row r="474">
      <c r="B474" s="12"/>
      <c r="C474" s="137"/>
    </row>
    <row r="475">
      <c r="B475" s="12"/>
      <c r="C475" s="137"/>
    </row>
    <row r="476">
      <c r="B476" s="12"/>
      <c r="C476" s="137"/>
    </row>
    <row r="477">
      <c r="B477" s="12"/>
      <c r="C477" s="137"/>
    </row>
    <row r="478">
      <c r="B478" s="12"/>
      <c r="C478" s="137"/>
    </row>
    <row r="479">
      <c r="B479" s="12"/>
      <c r="C479" s="137"/>
    </row>
    <row r="480">
      <c r="B480" s="12"/>
      <c r="C480" s="137"/>
    </row>
    <row r="481">
      <c r="B481" s="12"/>
      <c r="C481" s="137"/>
    </row>
    <row r="482">
      <c r="B482" s="12"/>
      <c r="C482" s="137"/>
    </row>
    <row r="483">
      <c r="B483" s="12"/>
      <c r="C483" s="137"/>
    </row>
    <row r="484">
      <c r="B484" s="12"/>
      <c r="C484" s="137"/>
    </row>
    <row r="485">
      <c r="B485" s="12"/>
      <c r="C485" s="137"/>
    </row>
    <row r="486">
      <c r="B486" s="12"/>
      <c r="C486" s="137"/>
    </row>
    <row r="487">
      <c r="B487" s="12"/>
      <c r="C487" s="137"/>
    </row>
    <row r="488">
      <c r="B488" s="12"/>
      <c r="C488" s="137"/>
    </row>
    <row r="489">
      <c r="B489" s="12"/>
      <c r="C489" s="137"/>
    </row>
    <row r="490">
      <c r="B490" s="12"/>
      <c r="C490" s="137"/>
    </row>
    <row r="491">
      <c r="B491" s="12"/>
      <c r="C491" s="137"/>
    </row>
    <row r="492">
      <c r="B492" s="12"/>
      <c r="C492" s="137"/>
    </row>
    <row r="493">
      <c r="B493" s="12"/>
      <c r="C493" s="137"/>
    </row>
    <row r="494">
      <c r="B494" s="12"/>
      <c r="C494" s="137"/>
    </row>
    <row r="495">
      <c r="B495" s="12"/>
      <c r="C495" s="137"/>
    </row>
    <row r="496">
      <c r="B496" s="12"/>
      <c r="C496" s="137"/>
    </row>
    <row r="497">
      <c r="B497" s="12"/>
      <c r="C497" s="137"/>
    </row>
    <row r="498">
      <c r="B498" s="12"/>
      <c r="C498" s="137"/>
    </row>
    <row r="499">
      <c r="B499" s="12"/>
      <c r="C499" s="137"/>
    </row>
    <row r="500">
      <c r="B500" s="12"/>
      <c r="C500" s="137"/>
    </row>
    <row r="501">
      <c r="B501" s="12"/>
      <c r="C501" s="137"/>
    </row>
    <row r="502">
      <c r="B502" s="12"/>
      <c r="C502" s="137"/>
    </row>
    <row r="503">
      <c r="B503" s="12"/>
      <c r="C503" s="137"/>
    </row>
    <row r="504">
      <c r="B504" s="12"/>
      <c r="C504" s="137"/>
    </row>
    <row r="505">
      <c r="B505" s="12"/>
      <c r="C505" s="137"/>
    </row>
    <row r="506">
      <c r="B506" s="12"/>
      <c r="C506" s="137"/>
    </row>
    <row r="507">
      <c r="B507" s="12"/>
      <c r="C507" s="137"/>
    </row>
    <row r="508">
      <c r="B508" s="12"/>
      <c r="C508" s="137"/>
    </row>
    <row r="509">
      <c r="B509" s="12"/>
      <c r="C509" s="137"/>
    </row>
    <row r="510">
      <c r="B510" s="12"/>
      <c r="C510" s="137"/>
    </row>
    <row r="511">
      <c r="B511" s="12"/>
      <c r="C511" s="137"/>
    </row>
    <row r="512">
      <c r="B512" s="12"/>
      <c r="C512" s="137"/>
    </row>
    <row r="513">
      <c r="B513" s="12"/>
      <c r="C513" s="137"/>
    </row>
    <row r="514">
      <c r="B514" s="12"/>
      <c r="C514" s="137"/>
    </row>
    <row r="515">
      <c r="B515" s="12"/>
      <c r="C515" s="137"/>
    </row>
    <row r="516">
      <c r="B516" s="12"/>
      <c r="C516" s="137"/>
    </row>
    <row r="517">
      <c r="B517" s="12"/>
      <c r="C517" s="137"/>
    </row>
    <row r="518">
      <c r="B518" s="12"/>
      <c r="C518" s="137"/>
    </row>
    <row r="519">
      <c r="B519" s="12"/>
      <c r="C519" s="137"/>
    </row>
    <row r="520">
      <c r="B520" s="12"/>
      <c r="C520" s="137"/>
    </row>
    <row r="521">
      <c r="B521" s="12"/>
      <c r="C521" s="137"/>
    </row>
    <row r="522">
      <c r="B522" s="12"/>
      <c r="C522" s="137"/>
    </row>
    <row r="523">
      <c r="B523" s="12"/>
      <c r="C523" s="137"/>
    </row>
    <row r="524">
      <c r="B524" s="12"/>
      <c r="C524" s="137"/>
    </row>
    <row r="525">
      <c r="B525" s="12"/>
      <c r="C525" s="137"/>
    </row>
    <row r="526">
      <c r="B526" s="12"/>
      <c r="C526" s="137"/>
    </row>
    <row r="527">
      <c r="B527" s="12"/>
      <c r="C527" s="137"/>
    </row>
    <row r="528">
      <c r="B528" s="12"/>
      <c r="C528" s="137"/>
    </row>
    <row r="529">
      <c r="B529" s="12"/>
      <c r="C529" s="137"/>
    </row>
    <row r="530">
      <c r="B530" s="12"/>
      <c r="C530" s="137"/>
    </row>
    <row r="531">
      <c r="B531" s="12"/>
      <c r="C531" s="137"/>
    </row>
    <row r="532">
      <c r="B532" s="12"/>
      <c r="C532" s="137"/>
    </row>
    <row r="533">
      <c r="B533" s="12"/>
      <c r="C533" s="137"/>
    </row>
    <row r="534">
      <c r="B534" s="12"/>
      <c r="C534" s="137"/>
    </row>
    <row r="535">
      <c r="B535" s="12"/>
      <c r="C535" s="137"/>
    </row>
    <row r="536">
      <c r="B536" s="12"/>
      <c r="C536" s="137"/>
    </row>
    <row r="537">
      <c r="B537" s="12"/>
      <c r="C537" s="137"/>
    </row>
    <row r="538">
      <c r="B538" s="12"/>
      <c r="C538" s="137"/>
    </row>
    <row r="539">
      <c r="B539" s="12"/>
      <c r="C539" s="137"/>
    </row>
    <row r="540">
      <c r="B540" s="12"/>
      <c r="C540" s="137"/>
    </row>
    <row r="541">
      <c r="B541" s="12"/>
      <c r="C541" s="137"/>
    </row>
    <row r="542">
      <c r="B542" s="12"/>
      <c r="C542" s="137"/>
    </row>
    <row r="543">
      <c r="B543" s="12"/>
      <c r="C543" s="137"/>
    </row>
    <row r="544">
      <c r="B544" s="12"/>
      <c r="C544" s="137"/>
    </row>
    <row r="545">
      <c r="B545" s="12"/>
      <c r="C545" s="137"/>
    </row>
    <row r="546">
      <c r="B546" s="12"/>
      <c r="C546" s="137"/>
    </row>
    <row r="547">
      <c r="B547" s="12"/>
      <c r="C547" s="137"/>
    </row>
    <row r="548">
      <c r="B548" s="12"/>
      <c r="C548" s="137"/>
    </row>
    <row r="549">
      <c r="B549" s="12"/>
      <c r="C549" s="137"/>
    </row>
    <row r="550">
      <c r="B550" s="12"/>
      <c r="C550" s="137"/>
    </row>
    <row r="551">
      <c r="B551" s="12"/>
      <c r="C551" s="137"/>
    </row>
    <row r="552">
      <c r="B552" s="12"/>
      <c r="C552" s="137"/>
    </row>
    <row r="553">
      <c r="B553" s="12"/>
      <c r="C553" s="137"/>
    </row>
    <row r="554">
      <c r="B554" s="12"/>
      <c r="C554" s="137"/>
    </row>
    <row r="555">
      <c r="B555" s="12"/>
      <c r="C555" s="137"/>
    </row>
    <row r="556">
      <c r="B556" s="12"/>
      <c r="C556" s="137"/>
    </row>
    <row r="557">
      <c r="B557" s="12"/>
      <c r="C557" s="137"/>
    </row>
    <row r="558">
      <c r="B558" s="12"/>
      <c r="C558" s="137"/>
    </row>
    <row r="559">
      <c r="B559" s="12"/>
      <c r="C559" s="137"/>
    </row>
    <row r="560">
      <c r="B560" s="12"/>
      <c r="C560" s="137"/>
    </row>
    <row r="561">
      <c r="B561" s="12"/>
      <c r="C561" s="137"/>
    </row>
    <row r="562">
      <c r="B562" s="12"/>
      <c r="C562" s="137"/>
    </row>
    <row r="563">
      <c r="B563" s="12"/>
      <c r="C563" s="137"/>
    </row>
    <row r="564">
      <c r="B564" s="12"/>
      <c r="C564" s="137"/>
    </row>
    <row r="565">
      <c r="B565" s="12"/>
      <c r="C565" s="137"/>
    </row>
    <row r="566">
      <c r="B566" s="12"/>
      <c r="C566" s="137"/>
    </row>
    <row r="567">
      <c r="B567" s="12"/>
      <c r="C567" s="137"/>
    </row>
    <row r="568">
      <c r="B568" s="12"/>
      <c r="C568" s="137"/>
    </row>
    <row r="569">
      <c r="B569" s="12"/>
      <c r="C569" s="137"/>
    </row>
    <row r="570">
      <c r="B570" s="12"/>
      <c r="C570" s="137"/>
    </row>
    <row r="571">
      <c r="B571" s="12"/>
      <c r="C571" s="137"/>
    </row>
    <row r="572">
      <c r="B572" s="12"/>
      <c r="C572" s="137"/>
    </row>
    <row r="573">
      <c r="B573" s="12"/>
      <c r="C573" s="137"/>
    </row>
    <row r="574">
      <c r="B574" s="12"/>
      <c r="C574" s="137"/>
    </row>
    <row r="575">
      <c r="B575" s="12"/>
      <c r="C575" s="137"/>
    </row>
    <row r="576">
      <c r="B576" s="12"/>
      <c r="C576" s="137"/>
    </row>
    <row r="577">
      <c r="B577" s="12"/>
      <c r="C577" s="137"/>
    </row>
    <row r="578">
      <c r="B578" s="12"/>
      <c r="C578" s="137"/>
    </row>
    <row r="579">
      <c r="B579" s="12"/>
      <c r="C579" s="137"/>
    </row>
    <row r="580">
      <c r="B580" s="12"/>
      <c r="C580" s="137"/>
    </row>
    <row r="581">
      <c r="B581" s="12"/>
      <c r="C581" s="137"/>
    </row>
    <row r="582">
      <c r="B582" s="12"/>
      <c r="C582" s="137"/>
    </row>
    <row r="583">
      <c r="B583" s="12"/>
      <c r="C583" s="137"/>
    </row>
    <row r="584">
      <c r="B584" s="12"/>
      <c r="C584" s="137"/>
    </row>
    <row r="585">
      <c r="B585" s="12"/>
      <c r="C585" s="137"/>
    </row>
    <row r="586">
      <c r="B586" s="12"/>
      <c r="C586" s="137"/>
    </row>
    <row r="587">
      <c r="B587" s="12"/>
      <c r="C587" s="137"/>
    </row>
    <row r="588">
      <c r="B588" s="12"/>
      <c r="C588" s="137"/>
    </row>
    <row r="589">
      <c r="B589" s="12"/>
      <c r="C589" s="137"/>
    </row>
    <row r="590">
      <c r="B590" s="12"/>
      <c r="C590" s="137"/>
    </row>
    <row r="591">
      <c r="B591" s="12"/>
      <c r="C591" s="137"/>
    </row>
    <row r="592">
      <c r="B592" s="12"/>
      <c r="C592" s="137"/>
    </row>
    <row r="593">
      <c r="B593" s="12"/>
      <c r="C593" s="137"/>
    </row>
    <row r="594">
      <c r="B594" s="12"/>
      <c r="C594" s="137"/>
    </row>
    <row r="595">
      <c r="B595" s="12"/>
      <c r="C595" s="137"/>
    </row>
    <row r="596">
      <c r="B596" s="12"/>
      <c r="C596" s="137"/>
    </row>
    <row r="597">
      <c r="B597" s="12"/>
      <c r="C597" s="137"/>
    </row>
    <row r="598">
      <c r="B598" s="12"/>
      <c r="C598" s="137"/>
    </row>
    <row r="599">
      <c r="B599" s="12"/>
      <c r="C599" s="137"/>
    </row>
    <row r="600">
      <c r="B600" s="12"/>
      <c r="C600" s="137"/>
    </row>
    <row r="601">
      <c r="B601" s="12"/>
      <c r="C601" s="137"/>
    </row>
    <row r="602">
      <c r="B602" s="12"/>
      <c r="C602" s="137"/>
    </row>
    <row r="603">
      <c r="B603" s="12"/>
      <c r="C603" s="137"/>
    </row>
    <row r="604">
      <c r="B604" s="12"/>
      <c r="C604" s="137"/>
    </row>
    <row r="605">
      <c r="B605" s="12"/>
      <c r="C605" s="137"/>
    </row>
    <row r="606">
      <c r="B606" s="12"/>
      <c r="C606" s="137"/>
    </row>
    <row r="607">
      <c r="B607" s="12"/>
      <c r="C607" s="137"/>
    </row>
    <row r="608">
      <c r="B608" s="12"/>
      <c r="C608" s="137"/>
    </row>
    <row r="609">
      <c r="B609" s="12"/>
      <c r="C609" s="137"/>
    </row>
    <row r="610">
      <c r="B610" s="12"/>
      <c r="C610" s="137"/>
    </row>
    <row r="611">
      <c r="B611" s="12"/>
      <c r="C611" s="137"/>
    </row>
    <row r="612">
      <c r="B612" s="12"/>
      <c r="C612" s="137"/>
    </row>
    <row r="613">
      <c r="B613" s="12"/>
      <c r="C613" s="137"/>
    </row>
    <row r="614">
      <c r="B614" s="12"/>
      <c r="C614" s="137"/>
    </row>
    <row r="615">
      <c r="B615" s="12"/>
      <c r="C615" s="137"/>
    </row>
    <row r="616">
      <c r="B616" s="12"/>
      <c r="C616" s="137"/>
    </row>
    <row r="617">
      <c r="B617" s="12"/>
      <c r="C617" s="137"/>
    </row>
    <row r="618">
      <c r="B618" s="12"/>
      <c r="C618" s="137"/>
    </row>
    <row r="619">
      <c r="B619" s="12"/>
      <c r="C619" s="137"/>
    </row>
    <row r="620">
      <c r="B620" s="12"/>
      <c r="C620" s="137"/>
    </row>
    <row r="621">
      <c r="B621" s="12"/>
      <c r="C621" s="137"/>
    </row>
    <row r="622">
      <c r="B622" s="12"/>
      <c r="C622" s="137"/>
    </row>
    <row r="623">
      <c r="B623" s="12"/>
      <c r="C623" s="137"/>
    </row>
    <row r="624">
      <c r="B624" s="12"/>
      <c r="C624" s="137"/>
    </row>
    <row r="625">
      <c r="B625" s="12"/>
      <c r="C625" s="137"/>
    </row>
    <row r="626">
      <c r="B626" s="12"/>
      <c r="C626" s="137"/>
    </row>
    <row r="627">
      <c r="B627" s="12"/>
      <c r="C627" s="137"/>
    </row>
    <row r="628">
      <c r="B628" s="12"/>
      <c r="C628" s="137"/>
    </row>
    <row r="629">
      <c r="B629" s="12"/>
      <c r="C629" s="137"/>
    </row>
    <row r="630">
      <c r="B630" s="12"/>
      <c r="C630" s="137"/>
    </row>
    <row r="631">
      <c r="B631" s="12"/>
      <c r="C631" s="137"/>
    </row>
    <row r="632">
      <c r="B632" s="12"/>
      <c r="C632" s="137"/>
    </row>
    <row r="633">
      <c r="B633" s="12"/>
      <c r="C633" s="137"/>
    </row>
    <row r="634">
      <c r="B634" s="12"/>
      <c r="C634" s="137"/>
    </row>
    <row r="635">
      <c r="B635" s="12"/>
      <c r="C635" s="137"/>
    </row>
    <row r="636">
      <c r="B636" s="12"/>
      <c r="C636" s="137"/>
    </row>
    <row r="637">
      <c r="B637" s="12"/>
      <c r="C637" s="137"/>
    </row>
    <row r="638">
      <c r="B638" s="12"/>
      <c r="C638" s="137"/>
    </row>
    <row r="639">
      <c r="B639" s="12"/>
      <c r="C639" s="137"/>
    </row>
    <row r="640">
      <c r="B640" s="12"/>
      <c r="C640" s="137"/>
    </row>
    <row r="641">
      <c r="B641" s="12"/>
      <c r="C641" s="137"/>
    </row>
    <row r="642">
      <c r="B642" s="12"/>
      <c r="C642" s="137"/>
    </row>
    <row r="643">
      <c r="B643" s="12"/>
      <c r="C643" s="137"/>
    </row>
    <row r="644">
      <c r="B644" s="12"/>
      <c r="C644" s="137"/>
    </row>
    <row r="645">
      <c r="B645" s="12"/>
      <c r="C645" s="137"/>
    </row>
    <row r="646">
      <c r="B646" s="12"/>
      <c r="C646" s="137"/>
    </row>
    <row r="647">
      <c r="B647" s="12"/>
      <c r="C647" s="137"/>
    </row>
    <row r="648">
      <c r="B648" s="12"/>
      <c r="C648" s="137"/>
    </row>
    <row r="649">
      <c r="B649" s="12"/>
      <c r="C649" s="137"/>
    </row>
    <row r="650">
      <c r="B650" s="12"/>
      <c r="C650" s="137"/>
    </row>
    <row r="651">
      <c r="B651" s="12"/>
      <c r="C651" s="137"/>
    </row>
    <row r="652">
      <c r="B652" s="12"/>
      <c r="C652" s="137"/>
    </row>
    <row r="653">
      <c r="B653" s="12"/>
      <c r="C653" s="137"/>
    </row>
    <row r="654">
      <c r="B654" s="12"/>
      <c r="C654" s="137"/>
    </row>
    <row r="655">
      <c r="B655" s="12"/>
      <c r="C655" s="137"/>
    </row>
    <row r="656">
      <c r="B656" s="12"/>
      <c r="C656" s="137"/>
    </row>
    <row r="657">
      <c r="B657" s="12"/>
      <c r="C657" s="137"/>
    </row>
    <row r="658">
      <c r="B658" s="12"/>
      <c r="C658" s="137"/>
    </row>
    <row r="659">
      <c r="B659" s="12"/>
      <c r="C659" s="137"/>
    </row>
    <row r="660">
      <c r="B660" s="12"/>
      <c r="C660" s="137"/>
    </row>
    <row r="661">
      <c r="B661" s="12"/>
      <c r="C661" s="137"/>
    </row>
    <row r="662">
      <c r="B662" s="12"/>
      <c r="C662" s="137"/>
    </row>
    <row r="663">
      <c r="B663" s="12"/>
      <c r="C663" s="137"/>
    </row>
    <row r="664">
      <c r="B664" s="12"/>
      <c r="C664" s="137"/>
    </row>
    <row r="665">
      <c r="B665" s="12"/>
      <c r="C665" s="137"/>
    </row>
    <row r="666">
      <c r="B666" s="12"/>
      <c r="C666" s="137"/>
    </row>
    <row r="667">
      <c r="B667" s="12"/>
      <c r="C667" s="137"/>
    </row>
    <row r="668">
      <c r="B668" s="12"/>
      <c r="C668" s="137"/>
    </row>
    <row r="669">
      <c r="B669" s="12"/>
      <c r="C669" s="137"/>
    </row>
    <row r="670">
      <c r="B670" s="12"/>
      <c r="C670" s="137"/>
    </row>
    <row r="671">
      <c r="B671" s="12"/>
      <c r="C671" s="137"/>
    </row>
    <row r="672">
      <c r="B672" s="12"/>
      <c r="C672" s="137"/>
    </row>
    <row r="673">
      <c r="B673" s="12"/>
      <c r="C673" s="137"/>
    </row>
    <row r="674">
      <c r="B674" s="12"/>
      <c r="C674" s="137"/>
    </row>
    <row r="675">
      <c r="B675" s="12"/>
      <c r="C675" s="137"/>
    </row>
    <row r="676">
      <c r="B676" s="12"/>
      <c r="C676" s="137"/>
    </row>
    <row r="677">
      <c r="B677" s="12"/>
      <c r="C677" s="137"/>
    </row>
    <row r="678">
      <c r="B678" s="12"/>
      <c r="C678" s="137"/>
    </row>
    <row r="679">
      <c r="B679" s="12"/>
      <c r="C679" s="137"/>
    </row>
    <row r="680">
      <c r="B680" s="12"/>
      <c r="C680" s="137"/>
    </row>
    <row r="681">
      <c r="B681" s="12"/>
      <c r="C681" s="137"/>
    </row>
    <row r="682">
      <c r="B682" s="12"/>
      <c r="C682" s="137"/>
    </row>
    <row r="683">
      <c r="B683" s="12"/>
      <c r="C683" s="137"/>
    </row>
    <row r="684">
      <c r="B684" s="12"/>
      <c r="C684" s="137"/>
    </row>
    <row r="685">
      <c r="B685" s="12"/>
      <c r="C685" s="137"/>
    </row>
    <row r="686">
      <c r="B686" s="12"/>
      <c r="C686" s="137"/>
    </row>
    <row r="687">
      <c r="B687" s="12"/>
      <c r="C687" s="137"/>
    </row>
    <row r="688">
      <c r="B688" s="12"/>
      <c r="C688" s="137"/>
    </row>
    <row r="689">
      <c r="B689" s="12"/>
      <c r="C689" s="137"/>
    </row>
    <row r="690">
      <c r="B690" s="12"/>
      <c r="C690" s="137"/>
    </row>
    <row r="691">
      <c r="B691" s="12"/>
      <c r="C691" s="137"/>
    </row>
    <row r="692">
      <c r="B692" s="12"/>
      <c r="C692" s="137"/>
    </row>
    <row r="693">
      <c r="B693" s="12"/>
      <c r="C693" s="137"/>
    </row>
    <row r="694">
      <c r="B694" s="12"/>
      <c r="C694" s="137"/>
    </row>
    <row r="695">
      <c r="B695" s="12"/>
      <c r="C695" s="137"/>
    </row>
    <row r="696">
      <c r="B696" s="12"/>
      <c r="C696" s="137"/>
    </row>
    <row r="697">
      <c r="B697" s="12"/>
      <c r="C697" s="137"/>
    </row>
    <row r="698">
      <c r="B698" s="12"/>
      <c r="C698" s="137"/>
    </row>
    <row r="699">
      <c r="B699" s="12"/>
      <c r="C699" s="137"/>
    </row>
    <row r="700">
      <c r="B700" s="12"/>
      <c r="C700" s="137"/>
    </row>
    <row r="701">
      <c r="B701" s="12"/>
      <c r="C701" s="137"/>
    </row>
    <row r="702">
      <c r="B702" s="12"/>
      <c r="C702" s="137"/>
    </row>
    <row r="703">
      <c r="B703" s="12"/>
      <c r="C703" s="137"/>
    </row>
    <row r="704">
      <c r="B704" s="12"/>
      <c r="C704" s="137"/>
    </row>
    <row r="705">
      <c r="B705" s="12"/>
      <c r="C705" s="137"/>
    </row>
    <row r="706">
      <c r="B706" s="12"/>
      <c r="C706" s="137"/>
    </row>
    <row r="707">
      <c r="B707" s="12"/>
      <c r="C707" s="137"/>
    </row>
    <row r="708">
      <c r="B708" s="12"/>
      <c r="C708" s="137"/>
    </row>
    <row r="709">
      <c r="B709" s="12"/>
      <c r="C709" s="137"/>
    </row>
    <row r="710">
      <c r="B710" s="12"/>
      <c r="C710" s="137"/>
    </row>
    <row r="711">
      <c r="B711" s="12"/>
      <c r="C711" s="137"/>
    </row>
    <row r="712">
      <c r="B712" s="12"/>
      <c r="C712" s="137"/>
    </row>
    <row r="713">
      <c r="B713" s="12"/>
      <c r="C713" s="137"/>
    </row>
    <row r="714">
      <c r="B714" s="12"/>
      <c r="C714" s="137"/>
    </row>
    <row r="715">
      <c r="B715" s="12"/>
      <c r="C715" s="137"/>
    </row>
    <row r="716">
      <c r="B716" s="12"/>
      <c r="C716" s="137"/>
    </row>
    <row r="717">
      <c r="B717" s="12"/>
      <c r="C717" s="137"/>
    </row>
    <row r="718">
      <c r="B718" s="12"/>
      <c r="C718" s="137"/>
    </row>
    <row r="719">
      <c r="B719" s="12"/>
      <c r="C719" s="137"/>
    </row>
    <row r="720">
      <c r="B720" s="12"/>
      <c r="C720" s="137"/>
    </row>
    <row r="721">
      <c r="B721" s="12"/>
      <c r="C721" s="137"/>
    </row>
    <row r="722">
      <c r="B722" s="12"/>
      <c r="C722" s="137"/>
    </row>
    <row r="723">
      <c r="B723" s="12"/>
      <c r="C723" s="137"/>
    </row>
    <row r="724">
      <c r="B724" s="12"/>
      <c r="C724" s="137"/>
    </row>
    <row r="725">
      <c r="B725" s="12"/>
      <c r="C725" s="137"/>
    </row>
    <row r="726">
      <c r="B726" s="12"/>
      <c r="C726" s="137"/>
    </row>
    <row r="727">
      <c r="B727" s="12"/>
      <c r="C727" s="137"/>
    </row>
    <row r="728">
      <c r="B728" s="12"/>
      <c r="C728" s="137"/>
    </row>
    <row r="729">
      <c r="B729" s="12"/>
      <c r="C729" s="137"/>
    </row>
    <row r="730">
      <c r="B730" s="12"/>
      <c r="C730" s="137"/>
    </row>
    <row r="731">
      <c r="B731" s="12"/>
      <c r="C731" s="137"/>
    </row>
    <row r="732">
      <c r="B732" s="12"/>
      <c r="C732" s="137"/>
    </row>
    <row r="733">
      <c r="B733" s="12"/>
      <c r="C733" s="137"/>
    </row>
    <row r="734">
      <c r="B734" s="12"/>
      <c r="C734" s="137"/>
    </row>
    <row r="735">
      <c r="B735" s="12"/>
      <c r="C735" s="137"/>
    </row>
    <row r="736">
      <c r="B736" s="12"/>
      <c r="C736" s="137"/>
    </row>
    <row r="737">
      <c r="B737" s="12"/>
      <c r="C737" s="137"/>
    </row>
    <row r="738">
      <c r="B738" s="12"/>
      <c r="C738" s="137"/>
    </row>
    <row r="739">
      <c r="B739" s="12"/>
      <c r="C739" s="137"/>
    </row>
    <row r="740">
      <c r="B740" s="12"/>
      <c r="C740" s="137"/>
    </row>
    <row r="741">
      <c r="B741" s="12"/>
      <c r="C741" s="137"/>
    </row>
    <row r="742">
      <c r="B742" s="12"/>
      <c r="C742" s="137"/>
    </row>
    <row r="743">
      <c r="B743" s="12"/>
      <c r="C743" s="137"/>
    </row>
    <row r="744">
      <c r="B744" s="12"/>
      <c r="C744" s="137"/>
    </row>
    <row r="745">
      <c r="B745" s="12"/>
      <c r="C745" s="137"/>
    </row>
    <row r="746">
      <c r="B746" s="12"/>
      <c r="C746" s="137"/>
    </row>
    <row r="747">
      <c r="B747" s="12"/>
      <c r="C747" s="137"/>
    </row>
    <row r="748">
      <c r="B748" s="12"/>
      <c r="C748" s="137"/>
    </row>
    <row r="749">
      <c r="B749" s="12"/>
      <c r="C749" s="137"/>
    </row>
    <row r="750">
      <c r="B750" s="12"/>
      <c r="C750" s="137"/>
    </row>
    <row r="751">
      <c r="B751" s="12"/>
      <c r="C751" s="137"/>
    </row>
    <row r="752">
      <c r="B752" s="12"/>
      <c r="C752" s="137"/>
    </row>
    <row r="753">
      <c r="B753" s="12"/>
      <c r="C753" s="137"/>
    </row>
    <row r="754">
      <c r="B754" s="12"/>
      <c r="C754" s="137"/>
    </row>
    <row r="755">
      <c r="B755" s="12"/>
      <c r="C755" s="137"/>
    </row>
    <row r="756">
      <c r="B756" s="12"/>
      <c r="C756" s="137"/>
    </row>
    <row r="757">
      <c r="B757" s="12"/>
      <c r="C757" s="137"/>
    </row>
    <row r="758">
      <c r="B758" s="12"/>
      <c r="C758" s="137"/>
    </row>
    <row r="759">
      <c r="B759" s="12"/>
      <c r="C759" s="137"/>
    </row>
    <row r="760">
      <c r="B760" s="12"/>
      <c r="C760" s="137"/>
    </row>
    <row r="761">
      <c r="B761" s="12"/>
      <c r="C761" s="137"/>
    </row>
    <row r="762">
      <c r="B762" s="12"/>
      <c r="C762" s="137"/>
    </row>
    <row r="763">
      <c r="B763" s="12"/>
      <c r="C763" s="137"/>
    </row>
    <row r="764">
      <c r="B764" s="12"/>
      <c r="C764" s="137"/>
    </row>
    <row r="765">
      <c r="B765" s="12"/>
      <c r="C765" s="137"/>
    </row>
    <row r="766">
      <c r="B766" s="12"/>
      <c r="C766" s="137"/>
    </row>
    <row r="767">
      <c r="B767" s="12"/>
      <c r="C767" s="137"/>
    </row>
    <row r="768">
      <c r="B768" s="12"/>
      <c r="C768" s="137"/>
    </row>
    <row r="769">
      <c r="B769" s="12"/>
      <c r="C769" s="137"/>
    </row>
    <row r="770">
      <c r="B770" s="12"/>
      <c r="C770" s="137"/>
    </row>
    <row r="771">
      <c r="B771" s="12"/>
      <c r="C771" s="137"/>
    </row>
    <row r="772">
      <c r="B772" s="12"/>
      <c r="C772" s="137"/>
    </row>
    <row r="773">
      <c r="B773" s="12"/>
      <c r="C773" s="137"/>
    </row>
    <row r="774">
      <c r="B774" s="12"/>
      <c r="C774" s="137"/>
    </row>
    <row r="775">
      <c r="B775" s="12"/>
      <c r="C775" s="137"/>
    </row>
    <row r="776">
      <c r="B776" s="12"/>
      <c r="C776" s="137"/>
    </row>
    <row r="777">
      <c r="B777" s="12"/>
      <c r="C777" s="137"/>
    </row>
    <row r="778">
      <c r="B778" s="12"/>
      <c r="C778" s="137"/>
    </row>
    <row r="779">
      <c r="B779" s="12"/>
      <c r="C779" s="137"/>
    </row>
    <row r="780">
      <c r="B780" s="12"/>
      <c r="C780" s="137"/>
    </row>
    <row r="781">
      <c r="B781" s="12"/>
      <c r="C781" s="137"/>
    </row>
    <row r="782">
      <c r="B782" s="12"/>
      <c r="C782" s="137"/>
    </row>
    <row r="783">
      <c r="B783" s="12"/>
      <c r="C783" s="137"/>
    </row>
    <row r="784">
      <c r="B784" s="12"/>
      <c r="C784" s="137"/>
    </row>
    <row r="785">
      <c r="B785" s="12"/>
      <c r="C785" s="137"/>
    </row>
    <row r="786">
      <c r="B786" s="12"/>
      <c r="C786" s="137"/>
    </row>
    <row r="787">
      <c r="B787" s="12"/>
      <c r="C787" s="137"/>
    </row>
    <row r="788">
      <c r="B788" s="12"/>
      <c r="C788" s="137"/>
    </row>
    <row r="789">
      <c r="B789" s="12"/>
      <c r="C789" s="137"/>
    </row>
    <row r="790">
      <c r="B790" s="12"/>
      <c r="C790" s="137"/>
    </row>
    <row r="791">
      <c r="B791" s="12"/>
      <c r="C791" s="137"/>
    </row>
    <row r="792">
      <c r="B792" s="12"/>
      <c r="C792" s="137"/>
    </row>
    <row r="793">
      <c r="B793" s="12"/>
      <c r="C793" s="137"/>
    </row>
    <row r="794">
      <c r="B794" s="12"/>
      <c r="C794" s="137"/>
    </row>
    <row r="795">
      <c r="B795" s="12"/>
      <c r="C795" s="137"/>
    </row>
    <row r="796">
      <c r="B796" s="12"/>
      <c r="C796" s="137"/>
    </row>
    <row r="797">
      <c r="B797" s="12"/>
      <c r="C797" s="137"/>
    </row>
    <row r="798">
      <c r="B798" s="12"/>
      <c r="C798" s="137"/>
    </row>
    <row r="799">
      <c r="B799" s="12"/>
      <c r="C799" s="137"/>
    </row>
    <row r="800">
      <c r="B800" s="12"/>
      <c r="C800" s="137"/>
    </row>
    <row r="801">
      <c r="B801" s="12"/>
      <c r="C801" s="137"/>
    </row>
    <row r="802">
      <c r="B802" s="12"/>
      <c r="C802" s="137"/>
    </row>
    <row r="803">
      <c r="B803" s="12"/>
      <c r="C803" s="137"/>
    </row>
    <row r="804">
      <c r="B804" s="12"/>
      <c r="C804" s="137"/>
    </row>
    <row r="805">
      <c r="B805" s="12"/>
      <c r="C805" s="137"/>
    </row>
    <row r="806">
      <c r="B806" s="12"/>
      <c r="C806" s="137"/>
    </row>
    <row r="807">
      <c r="B807" s="12"/>
      <c r="C807" s="137"/>
    </row>
    <row r="808">
      <c r="B808" s="12"/>
      <c r="C808" s="137"/>
    </row>
    <row r="809">
      <c r="B809" s="12"/>
      <c r="C809" s="137"/>
    </row>
    <row r="810">
      <c r="B810" s="12"/>
      <c r="C810" s="137"/>
    </row>
    <row r="811">
      <c r="B811" s="12"/>
      <c r="C811" s="137"/>
    </row>
    <row r="812">
      <c r="B812" s="12"/>
      <c r="C812" s="137"/>
    </row>
    <row r="813">
      <c r="B813" s="12"/>
      <c r="C813" s="137"/>
    </row>
    <row r="814">
      <c r="B814" s="12"/>
      <c r="C814" s="137"/>
    </row>
    <row r="815">
      <c r="B815" s="12"/>
      <c r="C815" s="137"/>
    </row>
    <row r="816">
      <c r="B816" s="12"/>
      <c r="C816" s="137"/>
    </row>
    <row r="817">
      <c r="B817" s="12"/>
      <c r="C817" s="137"/>
    </row>
    <row r="818">
      <c r="B818" s="12"/>
      <c r="C818" s="137"/>
    </row>
    <row r="819">
      <c r="B819" s="12"/>
      <c r="C819" s="137"/>
    </row>
    <row r="820">
      <c r="B820" s="12"/>
      <c r="C820" s="137"/>
    </row>
    <row r="821">
      <c r="B821" s="12"/>
      <c r="C821" s="137"/>
    </row>
    <row r="822">
      <c r="B822" s="12"/>
      <c r="C822" s="137"/>
    </row>
    <row r="823">
      <c r="B823" s="12"/>
      <c r="C823" s="137"/>
    </row>
    <row r="824">
      <c r="B824" s="12"/>
      <c r="C824" s="137"/>
    </row>
    <row r="825">
      <c r="B825" s="12"/>
      <c r="C825" s="137"/>
    </row>
    <row r="826">
      <c r="B826" s="12"/>
      <c r="C826" s="137"/>
    </row>
    <row r="827">
      <c r="B827" s="12"/>
      <c r="C827" s="137"/>
    </row>
    <row r="828">
      <c r="B828" s="12"/>
      <c r="C828" s="137"/>
    </row>
    <row r="829">
      <c r="B829" s="12"/>
      <c r="C829" s="137"/>
    </row>
    <row r="830">
      <c r="B830" s="12"/>
      <c r="C830" s="137"/>
    </row>
    <row r="831">
      <c r="B831" s="12"/>
      <c r="C831" s="137"/>
    </row>
    <row r="832">
      <c r="B832" s="12"/>
      <c r="C832" s="137"/>
    </row>
    <row r="833">
      <c r="B833" s="12"/>
      <c r="C833" s="137"/>
    </row>
    <row r="834">
      <c r="B834" s="12"/>
      <c r="C834" s="137"/>
    </row>
    <row r="835">
      <c r="B835" s="12"/>
      <c r="C835" s="137"/>
    </row>
    <row r="836">
      <c r="B836" s="12"/>
      <c r="C836" s="137"/>
    </row>
    <row r="837">
      <c r="B837" s="12"/>
      <c r="C837" s="137"/>
    </row>
    <row r="838">
      <c r="B838" s="12"/>
      <c r="C838" s="137"/>
    </row>
    <row r="839">
      <c r="B839" s="12"/>
      <c r="C839" s="137"/>
    </row>
    <row r="840">
      <c r="B840" s="12"/>
      <c r="C840" s="137"/>
    </row>
    <row r="841">
      <c r="B841" s="12"/>
      <c r="C841" s="137"/>
    </row>
    <row r="842">
      <c r="B842" s="12"/>
      <c r="C842" s="137"/>
    </row>
    <row r="843">
      <c r="B843" s="12"/>
      <c r="C843" s="137"/>
    </row>
    <row r="844">
      <c r="B844" s="12"/>
      <c r="C844" s="137"/>
    </row>
    <row r="845">
      <c r="B845" s="12"/>
      <c r="C845" s="137"/>
    </row>
    <row r="846">
      <c r="B846" s="12"/>
      <c r="C846" s="137"/>
    </row>
    <row r="847">
      <c r="B847" s="12"/>
      <c r="C847" s="137"/>
    </row>
    <row r="848">
      <c r="B848" s="12"/>
      <c r="C848" s="137"/>
    </row>
    <row r="849">
      <c r="B849" s="12"/>
      <c r="C849" s="137"/>
    </row>
    <row r="850">
      <c r="B850" s="12"/>
      <c r="C850" s="137"/>
    </row>
    <row r="851">
      <c r="B851" s="12"/>
      <c r="C851" s="137"/>
    </row>
    <row r="852">
      <c r="B852" s="12"/>
      <c r="C852" s="137"/>
    </row>
    <row r="853">
      <c r="B853" s="12"/>
      <c r="C853" s="137"/>
    </row>
    <row r="854">
      <c r="B854" s="12"/>
      <c r="C854" s="137"/>
    </row>
    <row r="855">
      <c r="B855" s="12"/>
      <c r="C855" s="137"/>
    </row>
    <row r="856">
      <c r="B856" s="12"/>
      <c r="C856" s="137"/>
    </row>
    <row r="857">
      <c r="B857" s="12"/>
      <c r="C857" s="137"/>
    </row>
    <row r="858">
      <c r="B858" s="12"/>
      <c r="C858" s="137"/>
    </row>
    <row r="859">
      <c r="B859" s="12"/>
      <c r="C859" s="137"/>
    </row>
    <row r="860">
      <c r="B860" s="12"/>
      <c r="C860" s="137"/>
    </row>
    <row r="861">
      <c r="B861" s="12"/>
      <c r="C861" s="137"/>
    </row>
    <row r="862">
      <c r="B862" s="12"/>
      <c r="C862" s="137"/>
    </row>
    <row r="863">
      <c r="B863" s="12"/>
      <c r="C863" s="137"/>
    </row>
    <row r="864">
      <c r="B864" s="12"/>
      <c r="C864" s="137"/>
    </row>
    <row r="865">
      <c r="B865" s="12"/>
      <c r="C865" s="137"/>
    </row>
    <row r="866">
      <c r="B866" s="12"/>
      <c r="C866" s="137"/>
    </row>
    <row r="867">
      <c r="B867" s="12"/>
      <c r="C867" s="137"/>
    </row>
    <row r="868">
      <c r="B868" s="12"/>
      <c r="C868" s="137"/>
    </row>
    <row r="869">
      <c r="B869" s="12"/>
      <c r="C869" s="137"/>
    </row>
    <row r="870">
      <c r="B870" s="12"/>
      <c r="C870" s="137"/>
    </row>
    <row r="871">
      <c r="B871" s="12"/>
      <c r="C871" s="137"/>
    </row>
    <row r="872">
      <c r="B872" s="12"/>
      <c r="C872" s="137"/>
    </row>
    <row r="873">
      <c r="B873" s="12"/>
      <c r="C873" s="137"/>
    </row>
    <row r="874">
      <c r="B874" s="12"/>
      <c r="C874" s="137"/>
    </row>
    <row r="875">
      <c r="B875" s="12"/>
      <c r="C875" s="137"/>
    </row>
    <row r="876">
      <c r="B876" s="12"/>
      <c r="C876" s="137"/>
    </row>
    <row r="877">
      <c r="B877" s="12"/>
      <c r="C877" s="137"/>
    </row>
    <row r="878">
      <c r="B878" s="12"/>
      <c r="C878" s="137"/>
    </row>
    <row r="879">
      <c r="B879" s="12"/>
      <c r="C879" s="137"/>
    </row>
    <row r="880">
      <c r="B880" s="12"/>
      <c r="C880" s="137"/>
    </row>
    <row r="881">
      <c r="B881" s="12"/>
      <c r="C881" s="137"/>
    </row>
    <row r="882">
      <c r="B882" s="12"/>
      <c r="C882" s="137"/>
    </row>
    <row r="883">
      <c r="B883" s="12"/>
      <c r="C883" s="137"/>
    </row>
    <row r="884">
      <c r="B884" s="12"/>
      <c r="C884" s="137"/>
    </row>
    <row r="885">
      <c r="B885" s="12"/>
      <c r="C885" s="137"/>
    </row>
    <row r="886">
      <c r="B886" s="12"/>
      <c r="C886" s="137"/>
    </row>
    <row r="887">
      <c r="B887" s="12"/>
      <c r="C887" s="137"/>
    </row>
    <row r="888">
      <c r="B888" s="12"/>
      <c r="C888" s="137"/>
    </row>
    <row r="889">
      <c r="B889" s="12"/>
      <c r="C889" s="137"/>
    </row>
    <row r="890">
      <c r="B890" s="12"/>
      <c r="C890" s="137"/>
    </row>
    <row r="891">
      <c r="B891" s="12"/>
      <c r="C891" s="137"/>
    </row>
    <row r="892">
      <c r="B892" s="12"/>
      <c r="C892" s="137"/>
    </row>
    <row r="893">
      <c r="B893" s="12"/>
      <c r="C893" s="137"/>
    </row>
    <row r="894">
      <c r="B894" s="12"/>
      <c r="C894" s="137"/>
    </row>
    <row r="895">
      <c r="B895" s="12"/>
      <c r="C895" s="137"/>
    </row>
    <row r="896">
      <c r="B896" s="12"/>
      <c r="C896" s="137"/>
    </row>
    <row r="897">
      <c r="B897" s="12"/>
      <c r="C897" s="137"/>
    </row>
    <row r="898">
      <c r="B898" s="12"/>
      <c r="C898" s="137"/>
    </row>
    <row r="899">
      <c r="B899" s="12"/>
      <c r="C899" s="137"/>
    </row>
    <row r="900">
      <c r="B900" s="12"/>
      <c r="C900" s="137"/>
    </row>
    <row r="901">
      <c r="B901" s="12"/>
      <c r="C901" s="137"/>
    </row>
    <row r="902">
      <c r="B902" s="12"/>
      <c r="C902" s="137"/>
    </row>
    <row r="903">
      <c r="B903" s="12"/>
      <c r="C903" s="137"/>
    </row>
    <row r="904">
      <c r="B904" s="12"/>
      <c r="C904" s="137"/>
    </row>
    <row r="905">
      <c r="B905" s="12"/>
      <c r="C905" s="137"/>
    </row>
    <row r="906">
      <c r="B906" s="12"/>
      <c r="C906" s="137"/>
    </row>
    <row r="907">
      <c r="B907" s="12"/>
      <c r="C907" s="137"/>
    </row>
    <row r="908">
      <c r="B908" s="12"/>
      <c r="C908" s="137"/>
    </row>
    <row r="909">
      <c r="B909" s="12"/>
      <c r="C909" s="137"/>
    </row>
    <row r="910">
      <c r="B910" s="12"/>
      <c r="C910" s="137"/>
    </row>
    <row r="911">
      <c r="B911" s="12"/>
      <c r="C911" s="137"/>
    </row>
    <row r="912">
      <c r="B912" s="12"/>
      <c r="C912" s="137"/>
    </row>
    <row r="913">
      <c r="B913" s="12"/>
      <c r="C913" s="137"/>
    </row>
    <row r="914">
      <c r="B914" s="12"/>
      <c r="C914" s="137"/>
    </row>
    <row r="915">
      <c r="B915" s="12"/>
      <c r="C915" s="137"/>
    </row>
    <row r="916">
      <c r="B916" s="12"/>
      <c r="C916" s="137"/>
    </row>
    <row r="917">
      <c r="B917" s="12"/>
      <c r="C917" s="137"/>
    </row>
    <row r="918">
      <c r="B918" s="12"/>
      <c r="C918" s="137"/>
    </row>
    <row r="919">
      <c r="B919" s="12"/>
      <c r="C919" s="137"/>
    </row>
    <row r="920">
      <c r="B920" s="12"/>
      <c r="C920" s="137"/>
    </row>
    <row r="921">
      <c r="B921" s="12"/>
      <c r="C921" s="137"/>
    </row>
    <row r="922">
      <c r="B922" s="12"/>
      <c r="C922" s="137"/>
    </row>
    <row r="923">
      <c r="B923" s="12"/>
      <c r="C923" s="137"/>
    </row>
    <row r="924">
      <c r="B924" s="12"/>
      <c r="C924" s="137"/>
    </row>
    <row r="925">
      <c r="B925" s="12"/>
      <c r="C925" s="137"/>
    </row>
    <row r="926">
      <c r="B926" s="12"/>
      <c r="C926" s="137"/>
    </row>
    <row r="927">
      <c r="B927" s="12"/>
      <c r="C927" s="137"/>
    </row>
    <row r="928">
      <c r="B928" s="12"/>
      <c r="C928" s="137"/>
    </row>
    <row r="929">
      <c r="B929" s="12"/>
      <c r="C929" s="137"/>
    </row>
    <row r="930">
      <c r="B930" s="12"/>
      <c r="C930" s="137"/>
    </row>
    <row r="931">
      <c r="B931" s="12"/>
      <c r="C931" s="137"/>
    </row>
    <row r="932">
      <c r="B932" s="12"/>
      <c r="C932" s="137"/>
    </row>
    <row r="933">
      <c r="B933" s="12"/>
      <c r="C933" s="137"/>
    </row>
    <row r="934">
      <c r="B934" s="12"/>
      <c r="C934" s="137"/>
    </row>
    <row r="935">
      <c r="B935" s="12"/>
      <c r="C935" s="137"/>
    </row>
    <row r="936">
      <c r="B936" s="12"/>
      <c r="C936" s="137"/>
    </row>
    <row r="937">
      <c r="B937" s="12"/>
      <c r="C937" s="137"/>
    </row>
    <row r="938">
      <c r="B938" s="12"/>
      <c r="C938" s="137"/>
    </row>
    <row r="939">
      <c r="B939" s="12"/>
      <c r="C939" s="137"/>
    </row>
    <row r="940">
      <c r="B940" s="12"/>
      <c r="C940" s="137"/>
    </row>
    <row r="941">
      <c r="B941" s="12"/>
      <c r="C941" s="137"/>
    </row>
    <row r="942">
      <c r="B942" s="12"/>
      <c r="C942" s="137"/>
    </row>
    <row r="943">
      <c r="B943" s="12"/>
      <c r="C943" s="137"/>
    </row>
    <row r="944">
      <c r="B944" s="12"/>
      <c r="C944" s="137"/>
    </row>
    <row r="945">
      <c r="B945" s="12"/>
      <c r="C945" s="137"/>
    </row>
    <row r="946">
      <c r="B946" s="12"/>
      <c r="C946" s="137"/>
    </row>
    <row r="947">
      <c r="B947" s="12"/>
      <c r="C947" s="137"/>
    </row>
    <row r="948">
      <c r="B948" s="12"/>
      <c r="C948" s="137"/>
    </row>
    <row r="949">
      <c r="B949" s="12"/>
      <c r="C949" s="137"/>
    </row>
    <row r="950">
      <c r="B950" s="12"/>
      <c r="C950" s="137"/>
    </row>
    <row r="951">
      <c r="B951" s="12"/>
      <c r="C951" s="137"/>
    </row>
    <row r="952">
      <c r="B952" s="12"/>
      <c r="C952" s="137"/>
    </row>
    <row r="953">
      <c r="B953" s="12"/>
      <c r="C953" s="137"/>
    </row>
    <row r="954">
      <c r="B954" s="12"/>
      <c r="C954" s="137"/>
    </row>
    <row r="955">
      <c r="B955" s="12"/>
      <c r="C955" s="137"/>
    </row>
    <row r="956">
      <c r="B956" s="12"/>
      <c r="C956" s="137"/>
    </row>
    <row r="957">
      <c r="B957" s="12"/>
      <c r="C957" s="137"/>
    </row>
    <row r="958">
      <c r="B958" s="12"/>
      <c r="C958" s="137"/>
    </row>
    <row r="959">
      <c r="B959" s="12"/>
      <c r="C959" s="137"/>
    </row>
    <row r="960">
      <c r="B960" s="12"/>
      <c r="C960" s="137"/>
    </row>
    <row r="961">
      <c r="B961" s="12"/>
      <c r="C961" s="137"/>
    </row>
    <row r="962">
      <c r="B962" s="12"/>
      <c r="C962" s="137"/>
    </row>
    <row r="963">
      <c r="B963" s="12"/>
      <c r="C963" s="137"/>
    </row>
    <row r="964">
      <c r="B964" s="12"/>
      <c r="C964" s="137"/>
    </row>
    <row r="965">
      <c r="B965" s="12"/>
      <c r="C965" s="137"/>
    </row>
    <row r="966">
      <c r="B966" s="12"/>
      <c r="C966" s="137"/>
    </row>
    <row r="967">
      <c r="B967" s="12"/>
      <c r="C967" s="137"/>
    </row>
    <row r="968">
      <c r="B968" s="12"/>
      <c r="C968" s="137"/>
    </row>
    <row r="969">
      <c r="B969" s="12"/>
      <c r="C969" s="137"/>
    </row>
    <row r="970">
      <c r="B970" s="12"/>
      <c r="C970" s="137"/>
    </row>
    <row r="971">
      <c r="B971" s="12"/>
      <c r="C971" s="137"/>
    </row>
    <row r="972">
      <c r="B972" s="12"/>
      <c r="C972" s="137"/>
    </row>
    <row r="973">
      <c r="B973" s="12"/>
      <c r="C973" s="137"/>
    </row>
    <row r="974">
      <c r="B974" s="12"/>
      <c r="C974" s="137"/>
    </row>
    <row r="975">
      <c r="B975" s="12"/>
      <c r="C975" s="137"/>
    </row>
    <row r="976">
      <c r="B976" s="12"/>
      <c r="C976" s="137"/>
    </row>
    <row r="977">
      <c r="B977" s="12"/>
      <c r="C977" s="137"/>
    </row>
    <row r="978">
      <c r="B978" s="12"/>
      <c r="C978" s="137"/>
    </row>
    <row r="979">
      <c r="B979" s="12"/>
      <c r="C979" s="137"/>
    </row>
    <row r="980">
      <c r="B980" s="12"/>
      <c r="C980" s="137"/>
    </row>
    <row r="981">
      <c r="B981" s="12"/>
      <c r="C981" s="137"/>
    </row>
    <row r="982">
      <c r="B982" s="12"/>
      <c r="C982" s="137"/>
    </row>
    <row r="983">
      <c r="B983" s="12"/>
      <c r="C983" s="137"/>
    </row>
    <row r="984">
      <c r="B984" s="12"/>
      <c r="C984" s="137"/>
    </row>
    <row r="985">
      <c r="B985" s="12"/>
      <c r="C985" s="137"/>
    </row>
    <row r="986">
      <c r="B986" s="12"/>
      <c r="C986" s="137"/>
    </row>
    <row r="987">
      <c r="B987" s="12"/>
      <c r="C987" s="137"/>
    </row>
    <row r="988">
      <c r="B988" s="12"/>
      <c r="C988" s="137"/>
    </row>
    <row r="989">
      <c r="B989" s="12"/>
      <c r="C989" s="137"/>
    </row>
    <row r="990">
      <c r="B990" s="12"/>
      <c r="C990" s="137"/>
    </row>
    <row r="991">
      <c r="B991" s="12"/>
      <c r="C991" s="137"/>
    </row>
    <row r="992">
      <c r="B992" s="12"/>
      <c r="C992" s="137"/>
    </row>
    <row r="993">
      <c r="B993" s="12"/>
      <c r="C993" s="137"/>
    </row>
    <row r="994">
      <c r="B994" s="12"/>
      <c r="C994" s="137"/>
    </row>
    <row r="995">
      <c r="B995" s="12"/>
      <c r="C995" s="137"/>
    </row>
    <row r="996">
      <c r="B996" s="12"/>
      <c r="C996" s="137"/>
    </row>
    <row r="997">
      <c r="B997" s="12"/>
      <c r="C997" s="137"/>
    </row>
    <row r="998">
      <c r="B998" s="12"/>
      <c r="C998" s="137"/>
    </row>
    <row r="999">
      <c r="B999" s="12"/>
      <c r="C999" s="137"/>
    </row>
    <row r="1000">
      <c r="B1000" s="12"/>
      <c r="C1000" s="137"/>
    </row>
    <row r="1001">
      <c r="B1001" s="12"/>
      <c r="C1001" s="137"/>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0"/>
    <col customWidth="1" min="2" max="2" width="21.0"/>
    <col customWidth="1" min="3" max="3" width="18.75"/>
    <col customWidth="1" min="4" max="4" width="16.0"/>
    <col customWidth="1" min="7" max="7" width="20.5"/>
    <col customWidth="1" min="8" max="8" width="58.13"/>
    <col customWidth="1" min="9" max="9" width="16.63"/>
    <col hidden="1" min="10" max="10" width="12.63"/>
  </cols>
  <sheetData>
    <row r="1">
      <c r="A1" s="357" t="s">
        <v>814</v>
      </c>
      <c r="B1" s="358"/>
      <c r="C1" s="359"/>
      <c r="D1" s="360"/>
      <c r="E1" s="361"/>
      <c r="F1" s="362"/>
      <c r="G1" s="363"/>
      <c r="H1" s="363"/>
      <c r="I1" s="360"/>
      <c r="J1" s="360"/>
    </row>
    <row r="2">
      <c r="A2" s="152" t="s">
        <v>815</v>
      </c>
      <c r="B2" s="152"/>
      <c r="C2" s="152"/>
      <c r="D2" s="152"/>
      <c r="E2" s="152"/>
      <c r="F2" s="152"/>
      <c r="G2" s="152"/>
    </row>
    <row r="3">
      <c r="A3" s="152" t="s">
        <v>816</v>
      </c>
      <c r="B3" s="152"/>
      <c r="C3" s="152"/>
      <c r="D3" s="152"/>
      <c r="E3" s="152"/>
      <c r="F3" s="152"/>
      <c r="G3" s="152"/>
    </row>
    <row r="4">
      <c r="A4" s="152" t="s">
        <v>817</v>
      </c>
      <c r="B4" s="152"/>
      <c r="C4" s="152"/>
      <c r="D4" s="152"/>
      <c r="E4" s="152"/>
      <c r="F4" s="152"/>
      <c r="G4" s="152"/>
    </row>
    <row r="5">
      <c r="A5" s="152" t="s">
        <v>818</v>
      </c>
      <c r="B5" s="152"/>
      <c r="C5" s="152"/>
      <c r="D5" s="152"/>
      <c r="E5" s="152"/>
      <c r="F5" s="152"/>
      <c r="G5" s="152"/>
    </row>
    <row r="6">
      <c r="A6" s="152" t="s">
        <v>819</v>
      </c>
      <c r="B6" s="152"/>
      <c r="C6" s="152"/>
      <c r="D6" s="152"/>
      <c r="E6" s="152"/>
      <c r="F6" s="152"/>
      <c r="G6" s="152"/>
    </row>
    <row r="7">
      <c r="A7" s="153"/>
      <c r="B7" s="154"/>
      <c r="C7" s="155"/>
      <c r="D7" s="156"/>
      <c r="E7" s="157"/>
      <c r="F7" s="12"/>
    </row>
    <row r="8">
      <c r="A8" s="86" t="s">
        <v>199</v>
      </c>
      <c r="B8" s="159" t="s">
        <v>53</v>
      </c>
      <c r="C8" s="159" t="s">
        <v>200</v>
      </c>
      <c r="D8" s="159" t="s">
        <v>201</v>
      </c>
      <c r="E8" s="157"/>
      <c r="F8" s="160" t="s">
        <v>199</v>
      </c>
      <c r="G8" s="159" t="s">
        <v>53</v>
      </c>
      <c r="H8" s="162" t="s">
        <v>202</v>
      </c>
      <c r="I8" s="163" t="s">
        <v>203</v>
      </c>
    </row>
    <row r="9">
      <c r="A9" s="164" t="str">
        <f>if(Sythwan_Import!B5=true,"Yes!","No")</f>
        <v>Yes!</v>
      </c>
      <c r="B9" s="165" t="s">
        <v>294</v>
      </c>
      <c r="C9" s="166" t="s">
        <v>205</v>
      </c>
      <c r="D9" s="167" t="s">
        <v>206</v>
      </c>
      <c r="F9" s="345" t="str">
        <f>if(Sythwan_Import!B24=true,"Yes!","No")</f>
        <v>Yes!</v>
      </c>
      <c r="G9" s="169" t="s">
        <v>768</v>
      </c>
      <c r="H9" s="170" t="s">
        <v>208</v>
      </c>
      <c r="I9" s="171" t="s">
        <v>209</v>
      </c>
      <c r="J9" s="172">
        <f t="shared" ref="J9:J10" si="1">COUNTif(F9,"Yes!")</f>
        <v>1</v>
      </c>
    </row>
    <row r="10">
      <c r="A10" s="173" t="str">
        <f>if(Sythwan_Import!B6=true,"Yes!","No")</f>
        <v>Yes!</v>
      </c>
      <c r="B10" s="174" t="s">
        <v>522</v>
      </c>
      <c r="C10" s="175" t="s">
        <v>212</v>
      </c>
      <c r="D10" s="176" t="s">
        <v>206</v>
      </c>
      <c r="F10" s="190" t="str">
        <f>if(Sythwan_Import!B25=true,"Yes!","No")</f>
        <v>Yes!</v>
      </c>
      <c r="G10" s="191" t="s">
        <v>218</v>
      </c>
      <c r="H10" s="364" t="s">
        <v>820</v>
      </c>
      <c r="I10" s="193" t="s">
        <v>209</v>
      </c>
      <c r="J10" s="172">
        <f t="shared" si="1"/>
        <v>1</v>
      </c>
    </row>
    <row r="11">
      <c r="A11" s="173" t="str">
        <f>if(Sythwan_Import!B7=true,"Yes!","No")</f>
        <v>No</v>
      </c>
      <c r="B11" s="174" t="s">
        <v>568</v>
      </c>
      <c r="C11" s="175" t="s">
        <v>217</v>
      </c>
      <c r="D11" s="176" t="s">
        <v>206</v>
      </c>
      <c r="F11" s="177" t="str">
        <f>if(Sythwan_Import!B26=true,"Yes!","No")</f>
        <v>Yes!</v>
      </c>
      <c r="G11" s="169" t="s">
        <v>234</v>
      </c>
      <c r="H11" s="178" t="s">
        <v>821</v>
      </c>
      <c r="I11" s="171" t="s">
        <v>281</v>
      </c>
      <c r="J11" s="172">
        <f>COUNTif(F11:F12,"Yes!")</f>
        <v>1</v>
      </c>
    </row>
    <row r="12">
      <c r="A12" s="173" t="str">
        <f>if(Sythwan_Import!B8=true,"Yes!","No")</f>
        <v>Yes!</v>
      </c>
      <c r="B12" s="174" t="s">
        <v>455</v>
      </c>
      <c r="C12" s="175" t="s">
        <v>221</v>
      </c>
      <c r="D12" s="176" t="s">
        <v>222</v>
      </c>
      <c r="F12" s="207" t="str">
        <f>if(Sythwan_Import!B27=true,"Yes!","No")</f>
        <v>No</v>
      </c>
      <c r="G12" s="208" t="s">
        <v>239</v>
      </c>
      <c r="H12" s="210" t="s">
        <v>822</v>
      </c>
      <c r="I12" s="189"/>
      <c r="J12" s="172"/>
    </row>
    <row r="13">
      <c r="A13" s="173" t="str">
        <f>if(Sythwan_Import!B9=true,"Yes!","No")</f>
        <v>Yes!</v>
      </c>
      <c r="B13" s="174" t="s">
        <v>360</v>
      </c>
      <c r="C13" s="175" t="s">
        <v>226</v>
      </c>
      <c r="D13" s="176" t="s">
        <v>823</v>
      </c>
      <c r="F13" s="190" t="str">
        <f>if(Sythwan_Import!B28=true,"Yes!","No")</f>
        <v>Yes!</v>
      </c>
      <c r="G13" s="191" t="s">
        <v>216</v>
      </c>
      <c r="H13" s="192" t="s">
        <v>824</v>
      </c>
      <c r="I13" s="193"/>
      <c r="J13" s="172"/>
    </row>
    <row r="14">
      <c r="A14" s="173" t="str">
        <f>if(Sythwan_Import!B10=true,"Yes!","No")</f>
        <v>Yes!</v>
      </c>
      <c r="B14" s="174" t="s">
        <v>298</v>
      </c>
      <c r="C14" s="175" t="s">
        <v>359</v>
      </c>
      <c r="D14" s="176" t="s">
        <v>232</v>
      </c>
      <c r="F14" s="177" t="str">
        <f>if(Sythwan_Import!B29=true,"Yes!","No")</f>
        <v>Yes!</v>
      </c>
      <c r="G14" s="169" t="s">
        <v>384</v>
      </c>
      <c r="H14" s="178" t="s">
        <v>825</v>
      </c>
      <c r="I14" s="171" t="s">
        <v>281</v>
      </c>
      <c r="J14" s="172">
        <f>COUNTif(F14:F15,"Yes!")</f>
        <v>1</v>
      </c>
    </row>
    <row r="15">
      <c r="A15" s="173" t="str">
        <f>if(Sythwan_Import!B11=true,"Yes!","No")</f>
        <v>Yes!</v>
      </c>
      <c r="B15" s="174" t="s">
        <v>591</v>
      </c>
      <c r="C15" s="175" t="s">
        <v>247</v>
      </c>
      <c r="D15" s="176" t="s">
        <v>826</v>
      </c>
      <c r="F15" s="183" t="str">
        <f>if(Sythwan_Import!B30=true,"Yes!","No")</f>
        <v>No</v>
      </c>
      <c r="G15" s="184" t="s">
        <v>572</v>
      </c>
      <c r="H15" s="185" t="s">
        <v>827</v>
      </c>
      <c r="I15" s="182"/>
      <c r="J15" s="172"/>
    </row>
    <row r="16">
      <c r="A16" s="173" t="str">
        <f>if(Sythwan_Import!B12=true,"Yes!","No")</f>
        <v>Yes!</v>
      </c>
      <c r="B16" s="174" t="s">
        <v>723</v>
      </c>
      <c r="C16" s="175" t="s">
        <v>828</v>
      </c>
      <c r="D16" s="176" t="s">
        <v>829</v>
      </c>
      <c r="F16" s="194" t="str">
        <f>if(Sythwan_Import!B31=true,"Yes!","No")</f>
        <v>No</v>
      </c>
      <c r="G16" s="195" t="s">
        <v>416</v>
      </c>
      <c r="H16" s="196" t="s">
        <v>830</v>
      </c>
      <c r="I16" s="250" t="s">
        <v>281</v>
      </c>
      <c r="J16" s="172">
        <f>COUNTif(F16:F18,"Yes!")</f>
        <v>0</v>
      </c>
    </row>
    <row r="17">
      <c r="A17" s="173" t="str">
        <f>if(Sythwan_Import!B13=true,"Yes!","No")</f>
        <v>Yes!</v>
      </c>
      <c r="B17" s="174" t="s">
        <v>831</v>
      </c>
      <c r="C17" s="175" t="s">
        <v>832</v>
      </c>
      <c r="D17" s="176" t="s">
        <v>833</v>
      </c>
      <c r="F17" s="183" t="str">
        <f>if(Sythwan_Import!B32=true,"Yes!","No")</f>
        <v>No</v>
      </c>
      <c r="G17" s="184" t="s">
        <v>246</v>
      </c>
      <c r="H17" s="185" t="s">
        <v>830</v>
      </c>
      <c r="I17" s="182"/>
      <c r="J17" s="172"/>
    </row>
    <row r="18">
      <c r="A18" s="173" t="str">
        <f>if(Sythwan_Import!B14=true,"Yes!","No")</f>
        <v>Yes!</v>
      </c>
      <c r="B18" s="174" t="s">
        <v>497</v>
      </c>
      <c r="C18" s="175" t="s">
        <v>359</v>
      </c>
      <c r="D18" s="176" t="s">
        <v>834</v>
      </c>
      <c r="F18" s="207" t="str">
        <f>if(Sythwan_Import!B33=true,"Yes!","No")</f>
        <v>No</v>
      </c>
      <c r="G18" s="208" t="s">
        <v>612</v>
      </c>
      <c r="H18" s="210" t="s">
        <v>835</v>
      </c>
      <c r="I18" s="189"/>
      <c r="J18" s="172"/>
    </row>
    <row r="19">
      <c r="A19" s="173" t="str">
        <f>if(Sythwan_Import!B15=true,"Yes!","No")</f>
        <v>Yes!</v>
      </c>
      <c r="B19" s="174" t="s">
        <v>575</v>
      </c>
      <c r="C19" s="175" t="s">
        <v>247</v>
      </c>
      <c r="D19" s="176" t="s">
        <v>836</v>
      </c>
      <c r="F19" s="177" t="str">
        <f>if(Sythwan_Import!B34=true,"Yes!","No")</f>
        <v>Yes!</v>
      </c>
      <c r="G19" s="169" t="s">
        <v>223</v>
      </c>
      <c r="H19" s="178" t="s">
        <v>837</v>
      </c>
      <c r="I19" s="171" t="s">
        <v>209</v>
      </c>
      <c r="J19" s="172">
        <f>COUNTif(F19,"Yes!")</f>
        <v>1</v>
      </c>
    </row>
    <row r="20">
      <c r="A20" s="173" t="str">
        <f>if(Sythwan_Import!B16=true,"Yes!","No")</f>
        <v>Yes!</v>
      </c>
      <c r="B20" s="174" t="s">
        <v>204</v>
      </c>
      <c r="C20" s="175" t="s">
        <v>838</v>
      </c>
      <c r="D20" s="176" t="s">
        <v>839</v>
      </c>
      <c r="F20" s="194" t="str">
        <f>if(Sythwan_Import!B35=true,"Yes!","No")</f>
        <v>No</v>
      </c>
      <c r="G20" s="195" t="s">
        <v>376</v>
      </c>
      <c r="H20" s="196" t="s">
        <v>840</v>
      </c>
      <c r="I20" s="250" t="s">
        <v>472</v>
      </c>
      <c r="J20" s="172">
        <f>COUNTif(F20:F28,"Yes!")</f>
        <v>2</v>
      </c>
    </row>
    <row r="21">
      <c r="A21" s="173" t="str">
        <f>if(Sythwan_Import!B17=true,"Yes!","No")</f>
        <v>Yes!</v>
      </c>
      <c r="B21" s="174" t="s">
        <v>616</v>
      </c>
      <c r="C21" s="175" t="s">
        <v>269</v>
      </c>
      <c r="D21" s="176" t="s">
        <v>547</v>
      </c>
      <c r="F21" s="183" t="str">
        <f>if(Sythwan_Import!B36=true,"Yes!","No")</f>
        <v>No</v>
      </c>
      <c r="G21" s="184" t="s">
        <v>528</v>
      </c>
      <c r="H21" s="185" t="s">
        <v>841</v>
      </c>
      <c r="I21" s="182"/>
      <c r="J21" s="172"/>
    </row>
    <row r="22">
      <c r="A22" s="173" t="str">
        <f>if(Sythwan_Import!B18=true,"Yes!","No")</f>
        <v>No</v>
      </c>
      <c r="B22" s="174" t="s">
        <v>298</v>
      </c>
      <c r="C22" s="175" t="s">
        <v>842</v>
      </c>
      <c r="D22" s="176" t="s">
        <v>843</v>
      </c>
      <c r="F22" s="179" t="str">
        <f>if(Sythwan_Import!B37=true,"Yes!","No")</f>
        <v>Yes!</v>
      </c>
      <c r="G22" s="180" t="s">
        <v>244</v>
      </c>
      <c r="H22" s="181" t="s">
        <v>844</v>
      </c>
      <c r="I22" s="182"/>
      <c r="J22" s="172"/>
    </row>
    <row r="23">
      <c r="A23" s="173" t="str">
        <f>if(Sythwan_Import!B19=true,"Yes!","No")</f>
        <v>No</v>
      </c>
      <c r="B23" s="174" t="s">
        <v>845</v>
      </c>
      <c r="C23" s="175" t="s">
        <v>846</v>
      </c>
      <c r="D23" s="176" t="s">
        <v>847</v>
      </c>
      <c r="F23" s="183" t="str">
        <f>if(Sythwan_Import!B38=true,"Yes!","No")</f>
        <v>No</v>
      </c>
      <c r="G23" s="184" t="s">
        <v>516</v>
      </c>
      <c r="H23" s="185" t="s">
        <v>848</v>
      </c>
      <c r="I23" s="182"/>
      <c r="J23" s="172"/>
    </row>
    <row r="24">
      <c r="A24" s="198" t="str">
        <f>If(Dashboard!$M11=TRUE,"Yes!","No")</f>
        <v>Yes!</v>
      </c>
      <c r="B24" s="365" t="s">
        <v>849</v>
      </c>
      <c r="C24" s="366"/>
      <c r="D24" s="367"/>
      <c r="F24" s="183" t="str">
        <f>if(Sythwan_Import!B39=true,"Yes!","No")</f>
        <v>No</v>
      </c>
      <c r="G24" s="184" t="s">
        <v>570</v>
      </c>
      <c r="H24" s="185" t="s">
        <v>850</v>
      </c>
      <c r="I24" s="182"/>
      <c r="J24" s="172"/>
    </row>
    <row r="25">
      <c r="F25" s="183" t="str">
        <f>if(Sythwan_Import!B40=true,"Yes!","No")</f>
        <v>No</v>
      </c>
      <c r="G25" s="184" t="s">
        <v>391</v>
      </c>
      <c r="H25" s="185" t="s">
        <v>851</v>
      </c>
      <c r="I25" s="182"/>
      <c r="J25" s="172"/>
    </row>
    <row r="26">
      <c r="A26" s="202" t="s">
        <v>287</v>
      </c>
      <c r="F26" s="183" t="str">
        <f>if(Sythwan_Import!B41=true,"Yes!","No")</f>
        <v>No</v>
      </c>
      <c r="G26" s="184" t="s">
        <v>265</v>
      </c>
      <c r="H26" s="185" t="s">
        <v>852</v>
      </c>
      <c r="I26" s="182"/>
      <c r="J26" s="172"/>
    </row>
    <row r="27">
      <c r="A27" s="205" t="str">
        <f>IFERROR(__xludf.DUMMYFUNCTION("IFERROR(
  FILTER(
    FLATTEN({Sythwan_Import!C5:C20; Sythwan_Import!C24:C52; Sythwan_Import!A55:A90}),
    FLATTEN({Sythwan_Import!C5:C20; Sythwan_Import!C24:C52; Sythwan_Import!A55:A90}) &lt;&gt; """"
  ),
  """"
)"),"Very interested in everything at world's edge. Seem like the might fall for red herring, had to steer them a bit. Friday night-TB")</f>
        <v>Very interested in everything at world's edge. Seem like the might fall for red herring, had to steer them a bit. Friday night-TB</v>
      </c>
      <c r="B27" s="4"/>
      <c r="C27" s="4"/>
      <c r="D27" s="5"/>
      <c r="F27" s="179" t="str">
        <f>if(Sythwan_Import!B42=true,"Yes!","No")</f>
        <v>Yes!</v>
      </c>
      <c r="G27" s="180" t="s">
        <v>492</v>
      </c>
      <c r="H27" s="181" t="s">
        <v>853</v>
      </c>
      <c r="I27" s="182"/>
      <c r="J27" s="172"/>
    </row>
    <row r="28">
      <c r="A28" s="211" t="str">
        <f>IFERROR(__xludf.DUMMYFUNCTION("""COMPUTED_VALUE"""),"They already knew to talk to Melados and had talked to Miscellania about taking them — the ranger seemed to be going off and talking to a lot of different people? Not sure if the group was coordinating well. —LH")</f>
        <v>They already knew to talk to Melados and had talked to Miscellania about taking them — the ranger seemed to be going off and talking to a lot of different people? Not sure if the group was coordinating well. —LH</v>
      </c>
      <c r="D28" s="182"/>
      <c r="F28" s="183" t="str">
        <f>if(Sythwan_Import!B43=true,"Yes!","No")</f>
        <v>No</v>
      </c>
      <c r="G28" s="184" t="s">
        <v>404</v>
      </c>
      <c r="H28" s="185" t="s">
        <v>854</v>
      </c>
      <c r="I28" s="182"/>
      <c r="J28" s="172"/>
    </row>
    <row r="29">
      <c r="A29" s="211" t="str">
        <f>IFERROR(__xludf.DUMMYFUNCTION("""COMPUTED_VALUE"""),"Delightful party, great dynamics. Leander was most talkative; Seeker was most quiet. Group was VERY INTO LEARNING LORE MY GOODNESS")</f>
        <v>Delightful party, great dynamics. Leander was most talkative; Seeker was most quiet. Group was VERY INTO LEARNING LORE MY GOODNESS</v>
      </c>
      <c r="D29" s="182"/>
      <c r="F29" s="194" t="str">
        <f>if(Sythwan_Import!B44=true,"Yes!","No")</f>
        <v>No</v>
      </c>
      <c r="G29" s="195" t="s">
        <v>265</v>
      </c>
      <c r="H29" s="196" t="s">
        <v>855</v>
      </c>
      <c r="I29" s="250" t="s">
        <v>281</v>
      </c>
      <c r="J29" s="172">
        <f>COUNTif(F29:F31,"Yes!")</f>
        <v>0</v>
      </c>
    </row>
    <row r="30">
      <c r="A30" s="211" t="str">
        <f>IFERROR(__xludf.DUMMYFUNCTION("""COMPUTED_VALUE"""),"Crushed the Perfect Square challenge, great communication. Gave the celadon egg (MR)")</f>
        <v>Crushed the Perfect Square challenge, great communication. Gave the celadon egg (MR)</v>
      </c>
      <c r="D30" s="182"/>
      <c r="F30" s="183" t="str">
        <f>if(Sythwan_Import!B45=true,"Yes!","No")</f>
        <v>No</v>
      </c>
      <c r="G30" s="184" t="s">
        <v>492</v>
      </c>
      <c r="H30" s="185" t="s">
        <v>855</v>
      </c>
      <c r="I30" s="182"/>
      <c r="J30" s="172"/>
    </row>
    <row r="31">
      <c r="A31" s="211" t="str">
        <f>IFERROR(__xludf.DUMMYFUNCTION("""COMPUTED_VALUE"""),"Really fun story with good engagement, and a passionate plea for their need.  Seem very engaged.")</f>
        <v>Really fun story with good engagement, and a passionate plea for their need.  Seem very engaged.</v>
      </c>
      <c r="D31" s="182"/>
      <c r="F31" s="207" t="str">
        <f>if(Sythwan_Import!B46=true,"Yes!","No")</f>
        <v>No</v>
      </c>
      <c r="G31" s="208" t="s">
        <v>404</v>
      </c>
      <c r="H31" s="210" t="s">
        <v>855</v>
      </c>
      <c r="I31" s="189"/>
      <c r="J31" s="172"/>
    </row>
    <row r="32">
      <c r="A32" s="211" t="str">
        <f>IFERROR(__xludf.DUMMYFUNCTION("""COMPUTED_VALUE"""),"In combat training we stressed this wasn't as ""payment"" for my mother's ring.  It was to make sure they survived to use such a precious item.")</f>
        <v>In combat training we stressed this wasn't as "payment" for my mother's ring.  It was to make sure they survived to use such a precious item.</v>
      </c>
      <c r="D32" s="182"/>
      <c r="F32" s="190" t="str">
        <f>if(Sythwan_Import!B47=true,"Yes!","No")</f>
        <v>Yes!</v>
      </c>
      <c r="G32" s="191" t="s">
        <v>856</v>
      </c>
      <c r="H32" s="192" t="s">
        <v>857</v>
      </c>
      <c r="I32" s="193"/>
      <c r="J32" s="172"/>
    </row>
    <row r="33">
      <c r="A33" s="211" t="str">
        <f>IFERROR(__xludf.DUMMYFUNCTION("""COMPUTED_VALUE"""),"They really engaged in the memorial challenge and were so kind jag")</f>
        <v>They really engaged in the memorial challenge and were so kind jag</v>
      </c>
      <c r="D33" s="182"/>
      <c r="F33" s="218" t="str">
        <f>if(Sythwan_Import!B48=true,"Yes!","No")</f>
        <v>No</v>
      </c>
      <c r="G33" s="219" t="s">
        <v>346</v>
      </c>
      <c r="H33" s="220" t="s">
        <v>858</v>
      </c>
      <c r="I33" s="294"/>
      <c r="J33" s="172"/>
    </row>
    <row r="34">
      <c r="A34" s="211" t="str">
        <f>IFERROR(__xludf.DUMMYFUNCTION("""COMPUTED_VALUE"""),"Super engaged. All 6 spoke, invested in convincing Orion, very good at explaining need for moonstone shards, made truthful statement that they would treat with care but couldn't guarantee item return. --TR")</f>
        <v>Super engaged. All 6 spoke, invested in convincing Orion, very good at explaining need for moonstone shards, made truthful statement that they would treat with care but couldn't guarantee item return. --TR</v>
      </c>
      <c r="D34" s="182"/>
      <c r="F34" s="218" t="str">
        <f>if(Sythwan_Import!B49=true,"Yes!","No")</f>
        <v>No</v>
      </c>
      <c r="G34" s="219" t="s">
        <v>218</v>
      </c>
      <c r="H34" s="220" t="s">
        <v>859</v>
      </c>
      <c r="I34" s="221" t="s">
        <v>209</v>
      </c>
      <c r="J34" s="172">
        <f t="shared" ref="J34:J37" si="2">COUNTif(F34,"Yes!")</f>
        <v>0</v>
      </c>
    </row>
    <row r="35">
      <c r="A35" s="211" t="str">
        <f>IFERROR(__xludf.DUMMYFUNCTION("""COMPUTED_VALUE"""),"Very empathetic- Lori told me to try to engage the rest of the party (the traveler has been doing most of the speaking), had them brainstorm ideas for Brimstone/Phil. Challenge- gave them the eternity pendant. They asked Brim. to help them come up with a "&amp;"new sandwich idea for their sandwich shop back in Arden- ""Lasagna Mealworm Sandwich"" DG")</f>
        <v>Very empathetic- Lori told me to try to engage the rest of the party (the traveler has been doing most of the speaking), had them brainstorm ideas for Brimstone/Phil. Challenge- gave them the eternity pendant. They asked Brim. to help them come up with a new sandwich idea for their sandwich shop back in Arden- "Lasagna Mealworm Sandwich" DG</v>
      </c>
      <c r="D35" s="182"/>
      <c r="F35" s="190" t="str">
        <f>if(Dashboard!G11=true,"Yes!","No")</f>
        <v>Yes!</v>
      </c>
      <c r="G35" s="191" t="s">
        <v>302</v>
      </c>
      <c r="H35" s="192" t="s">
        <v>860</v>
      </c>
      <c r="I35" s="193" t="s">
        <v>209</v>
      </c>
      <c r="J35" s="172">
        <f t="shared" si="2"/>
        <v>1</v>
      </c>
    </row>
    <row r="36">
      <c r="A36" s="211" t="str">
        <f>IFERROR(__xludf.DUMMYFUNCTION("""COMPUTED_VALUE"""),"They're a lovely group; they sang multiple songs and rounds while doing the Mind (KLH)")</f>
        <v>They're a lovely group; they sang multiple songs and rounds while doing the Mind (KLH)</v>
      </c>
      <c r="D36" s="182"/>
      <c r="F36" s="218" t="str">
        <f>if(Sythwan_Import!B51=true,"Yes!","No")</f>
        <v>No</v>
      </c>
      <c r="G36" s="219" t="s">
        <v>861</v>
      </c>
      <c r="H36" s="220" t="s">
        <v>862</v>
      </c>
      <c r="I36" s="221" t="s">
        <v>209</v>
      </c>
      <c r="J36" s="172">
        <f t="shared" si="2"/>
        <v>0</v>
      </c>
    </row>
    <row r="37">
      <c r="A37" s="211" t="str">
        <f>IFERROR(__xludf.DUMMYFUNCTION("""COMPUTED_VALUE"""),"Nadav: Friday dinner: praised Huxley &amp; Quinoa for their hard work and how they essentially saved us in this busy weekend
Saturday lunch: assigned charge. 5 party members were on the porch with Sila, so looked like a good opportunity. They seemed quite rec"&amp;"eptive to it")</f>
        <v>Nadav: Friday dinner: praised Huxley &amp; Quinoa for their hard work and how they essentially saved us in this busy weekend
Saturday lunch: assigned charge. 5 party members were on the porch with Sila, so looked like a good opportunity. They seemed quite receptive to it</v>
      </c>
      <c r="D37" s="182"/>
      <c r="F37" s="218" t="str">
        <f>if(Sythwan_Import!B52=true,"Yes!","No")</f>
        <v>No</v>
      </c>
      <c r="G37" s="219" t="s">
        <v>522</v>
      </c>
      <c r="H37" s="220" t="s">
        <v>863</v>
      </c>
      <c r="I37" s="221" t="s">
        <v>209</v>
      </c>
      <c r="J37" s="172">
        <f t="shared" si="2"/>
        <v>0</v>
      </c>
    </row>
    <row r="38">
      <c r="A38" s="211" t="str">
        <f>IFERROR(__xludf.DUMMYFUNCTION("""COMPUTED_VALUE"""),"Talked to full party right after Bartleby.  They are wondering if Huxley is an imposter or the letter is a fake.")</f>
        <v>Talked to full party right after Bartleby.  They are wondering if Huxley is an imposter or the letter is a fake.</v>
      </c>
      <c r="D38" s="182"/>
      <c r="E38" s="157"/>
      <c r="F38" s="153"/>
      <c r="I38" s="330"/>
      <c r="J38" s="172"/>
    </row>
    <row r="39">
      <c r="A39" s="211" t="str">
        <f>IFERROR(__xludf.DUMMYFUNCTION("""COMPUTED_VALUE"""),"All listening attentively to info about Huxley being lost")</f>
        <v>All listening attentively to info about Huxley being lost</v>
      </c>
      <c r="D39" s="182"/>
      <c r="E39" s="157"/>
      <c r="F39" s="153"/>
      <c r="I39" s="330"/>
      <c r="J39" s="172"/>
    </row>
    <row r="40">
      <c r="A40" s="211" t="str">
        <f>IFERROR(__xludf.DUMMYFUNCTION("""COMPUTED_VALUE"""),"knows we aren't who we say we are. ")</f>
        <v>knows we aren't who we say we are. </v>
      </c>
      <c r="D40" s="182"/>
      <c r="E40" s="157"/>
      <c r="F40" s="153"/>
      <c r="I40" s="330"/>
      <c r="J40" s="172"/>
    </row>
    <row r="41">
      <c r="A41" s="211" t="str">
        <f>IFERROR(__xludf.DUMMYFUNCTION("""COMPUTED_VALUE"""),"They all listened attentively when I told them that Huxley isn't the Lord Huxley I met years ago. ")</f>
        <v>They all listened attentively when I told them that Huxley isn't the Lord Huxley I met years ago. </v>
      </c>
      <c r="D41" s="182"/>
      <c r="E41" s="157"/>
      <c r="F41" s="153"/>
      <c r="I41" s="330"/>
      <c r="J41" s="172"/>
    </row>
    <row r="42">
      <c r="A42" s="211" t="str">
        <f>IFERROR(__xludf.DUMMYFUNCTION("""COMPUTED_VALUE"""),"Did not connect at lunch :-/")</f>
        <v>Did not connect at lunch :-/</v>
      </c>
      <c r="D42" s="182"/>
      <c r="E42" s="157"/>
      <c r="F42" s="12"/>
    </row>
    <row r="43">
      <c r="A43" s="226" t="str">
        <f>IFERROR(__xludf.DUMMYFUNCTION("""COMPUTED_VALUE"""),"Asked the maker if he knew where I could find a favor from the court of mirrors. He knew!")</f>
        <v>Asked the maker if he knew where I could find a favor from the court of mirrors. He knew!</v>
      </c>
      <c r="D43" s="182"/>
      <c r="E43" s="157"/>
      <c r="F43" s="12"/>
    </row>
    <row r="44">
      <c r="A44" s="226" t="str">
        <f>IFERROR(__xludf.DUMMYFUNCTION("""COMPUTED_VALUE"""),"Couldn't grab em before they headed to soul speaking, I can try again this morning. - ZT")</f>
        <v>Couldn't grab em before they headed to soul speaking, I can try again this morning. - ZT</v>
      </c>
      <c r="D44" s="182"/>
      <c r="E44" s="157"/>
      <c r="F44" s="12"/>
    </row>
    <row r="45">
      <c r="A45" s="226" t="str">
        <f>IFERROR(__xludf.DUMMYFUNCTION("""COMPUTED_VALUE"""),"Heard that the traveler (Leander) might be a little shy; had a lovely talk with her at the campfire.  --Lance, 11pm Friday")</f>
        <v>Heard that the traveler (Leander) might be a little shy; had a lovely talk with her at the campfire.  --Lance, 11pm Friday</v>
      </c>
      <c r="D45" s="182"/>
      <c r="E45" s="157"/>
      <c r="F45" s="12"/>
    </row>
    <row r="46">
      <c r="A46" s="226" t="str">
        <f>IFERROR(__xludf.DUMMYFUNCTION("""COMPUTED_VALUE"""),"They worked together very well in the marble challenge - Betsy")</f>
        <v>They worked together very well in the marble challenge - Betsy</v>
      </c>
      <c r="D46" s="182"/>
      <c r="E46" s="157"/>
      <c r="F46" s="12"/>
    </row>
    <row r="47">
      <c r="A47" s="226" t="str">
        <f>IFERROR(__xludf.DUMMYFUNCTION("""COMPUTED_VALUE"""),"Joined with Waylon to fight chitters.  Ranger did a great job soothing me.  Complimented my horns - Peggy Saturday 8-10")</f>
        <v>Joined with Waylon to fight chitters.  Ranger did a great job soothing me.  Complimented my horns - Peggy Saturday 8-10</v>
      </c>
      <c r="D47" s="182"/>
      <c r="E47" s="157"/>
      <c r="F47" s="12"/>
    </row>
    <row r="48">
      <c r="A48" s="226" t="str">
        <f>IFERROR(__xludf.DUMMYFUNCTION("""COMPUTED_VALUE"""),"party photo taken -Mirin")</f>
        <v>party photo taken -Mirin</v>
      </c>
      <c r="D48" s="182"/>
      <c r="E48" s="157"/>
      <c r="F48" s="12"/>
    </row>
    <row r="49">
      <c r="A49" s="226" t="str">
        <f>IFERROR(__xludf.DUMMYFUNCTION("""COMPUTED_VALUE"""),"They are SUPER with it; noticed Orion's necklace quickly, all spoke to convince, nobody was being quiet, etc.  Happy to share information about their quest to see if we could help. Very friendly and attentive.  Traveler wrote down all our names with exact"&amp;" spelling.  --TR Also asked us for a verse for their song (Drop of Nelson's Blood) - PO")</f>
        <v>They are SUPER with it; noticed Orion's necklace quickly, all spoke to convince, nobody was being quiet, etc.  Happy to share information about their quest to see if we could help. Very friendly and attentive.  Traveler wrote down all our names with exact spelling.  --TR Also asked us for a verse for their song (Drop of Nelson's Blood) - PO</v>
      </c>
      <c r="D49" s="182"/>
      <c r="E49" s="157"/>
      <c r="F49" s="12"/>
    </row>
    <row r="50">
      <c r="A50" s="226" t="str">
        <f>IFERROR(__xludf.DUMMYFUNCTION("""COMPUTED_VALUE"""),"They were very successful in the philanthropy challenge, had Brimstone invent a sandwich and then paid royalties. - ZT")</f>
        <v>They were very successful in the philanthropy challenge, had Brimstone invent a sandwich and then paid royalties. - ZT</v>
      </c>
      <c r="D50" s="182"/>
      <c r="E50" s="157"/>
      <c r="F50" s="12"/>
    </row>
    <row r="51">
      <c r="A51" s="226" t="str">
        <f>IFERROR(__xludf.DUMMYFUNCTION("""COMPUTED_VALUE"""),"Cooke Golden page story told to single r Eason in party")</f>
        <v>Cooke Golden page story told to single r Eason in party</v>
      </c>
      <c r="D51" s="182"/>
      <c r="E51" s="157"/>
      <c r="F51" s="12"/>
    </row>
    <row r="52">
      <c r="A52" s="226" t="str">
        <f>IFERROR(__xludf.DUMMYFUNCTION("""COMPUTED_VALUE"""),"Invested in the Huxley/Quinoa charge as of Saturday around 2pm. Asked us when we got to town, whether there could be more than one Huxley in the world. - Janet")</f>
        <v>Invested in the Huxley/Quinoa charge as of Saturday around 2pm. Asked us when we got to town, whether there could be more than one Huxley in the world. - Janet</v>
      </c>
      <c r="D52" s="182"/>
      <c r="E52" s="157"/>
      <c r="F52" s="12"/>
    </row>
    <row r="53">
      <c r="A53" s="226" t="str">
        <f>IFERROR(__xludf.DUMMYFUNCTION("""COMPUTED_VALUE"""),"Had a long chat with Siobhan (sp?) on porch while she was resting and gfroup went out. Watched the bridesmaids. Group had used up all free hits; some played Ander games as we watched. ek")</f>
        <v>Had a long chat with Siobhan (sp?) on porch while she was resting and gfroup went out. Watched the bridesmaids. Group had used up all free hits; some played Ander games as we watched. ek</v>
      </c>
      <c r="D53" s="182"/>
      <c r="E53" s="157"/>
      <c r="F53" s="12"/>
    </row>
    <row r="54">
      <c r="A54" s="226" t="str">
        <f>IFERROR(__xludf.DUMMYFUNCTION("""COMPUTED_VALUE"""),"(edited for pronouns) Ander 8; after having played already &amp; later hoping to play again &amp; get more free hits, we said ""one party-one game""; the Seeker (I think, based on description of garb) asked if we would like to learn a game, and they proceeded to "&amp;"teach the Anders a new game - very positive.  We gave them one free hit (unexpected by them) as a thank you for the new game.  They were proud when returning to their group &amp; relating what had happened. 5:30pm MO")</f>
        <v>(edited for pronouns) Ander 8; after having played already &amp; later hoping to play again &amp; get more free hits, we said "one party-one game"; the Seeker (I think, based on description of garb) asked if we would like to learn a game, and they proceeded to teach the Anders a new game - very positive.  We gave them one free hit (unexpected by them) as a thank you for the new game.  They were proud when returning to their group &amp; relating what had happened. 5:30pm MO</v>
      </c>
      <c r="D54" s="182"/>
      <c r="E54" s="157"/>
      <c r="F54" s="12"/>
    </row>
    <row r="55">
      <c r="A55" s="226" t="str">
        <f>IFERROR(__xludf.DUMMYFUNCTION("""COMPUTED_VALUE"""),"Amazing cup of insight - folks cried, question about a trait you wouldn't pass on was difficult for some but they supported each other. ALSO amazing job at Mind of a Mad Man, sang &amp; worked together really well. - Kels")</f>
        <v>Amazing cup of insight - folks cried, question about a trait you wouldn't pass on was difficult for some but they supported each other. ALSO amazing job at Mind of a Mad Man, sang &amp; worked together really well. - Kels</v>
      </c>
      <c r="D55" s="182"/>
      <c r="E55" s="157"/>
      <c r="F55" s="12"/>
    </row>
    <row r="56">
      <c r="A56" s="226"/>
      <c r="D56" s="182"/>
      <c r="E56" s="157"/>
      <c r="F56" s="12"/>
    </row>
    <row r="57">
      <c r="A57" s="226"/>
      <c r="D57" s="182"/>
      <c r="E57" s="157"/>
      <c r="F57" s="12"/>
    </row>
    <row r="58">
      <c r="A58" s="226"/>
      <c r="D58" s="182"/>
      <c r="E58" s="157"/>
      <c r="F58" s="12"/>
    </row>
    <row r="59">
      <c r="A59" s="226"/>
      <c r="D59" s="182"/>
      <c r="E59" s="157"/>
      <c r="F59" s="12"/>
    </row>
    <row r="60">
      <c r="A60" s="226"/>
      <c r="D60" s="182"/>
      <c r="E60" s="157"/>
      <c r="F60" s="12"/>
    </row>
    <row r="61">
      <c r="A61" s="227"/>
      <c r="B61" s="228"/>
      <c r="C61" s="228"/>
      <c r="D61" s="189"/>
      <c r="E61" s="157"/>
      <c r="F61" s="12"/>
    </row>
    <row r="62">
      <c r="E62" s="157"/>
      <c r="F62" s="12"/>
    </row>
    <row r="63">
      <c r="E63" s="157"/>
      <c r="F63" s="12"/>
    </row>
    <row r="64">
      <c r="A64" s="225"/>
      <c r="B64" s="213"/>
      <c r="C64" s="356"/>
      <c r="D64" s="330"/>
      <c r="E64" s="157"/>
      <c r="F64" s="12"/>
    </row>
    <row r="65">
      <c r="A65" s="225"/>
      <c r="B65" s="213"/>
      <c r="C65" s="356"/>
      <c r="D65" s="330"/>
      <c r="E65" s="157"/>
      <c r="F65" s="12"/>
    </row>
    <row r="66">
      <c r="A66" s="225"/>
      <c r="B66" s="213"/>
      <c r="C66" s="356"/>
      <c r="D66" s="330"/>
      <c r="E66" s="157"/>
      <c r="F66" s="12"/>
    </row>
    <row r="67">
      <c r="A67" s="225"/>
      <c r="B67" s="213"/>
      <c r="C67" s="356"/>
      <c r="D67" s="330"/>
      <c r="E67" s="157"/>
      <c r="F67" s="12"/>
    </row>
    <row r="68">
      <c r="A68" s="225"/>
      <c r="B68" s="213"/>
      <c r="C68" s="356"/>
      <c r="D68" s="330"/>
      <c r="E68" s="157"/>
      <c r="F68" s="12"/>
    </row>
    <row r="69">
      <c r="A69" s="225"/>
      <c r="B69" s="213"/>
      <c r="C69" s="356"/>
      <c r="D69" s="330"/>
      <c r="E69" s="157"/>
      <c r="F69" s="12"/>
    </row>
    <row r="70">
      <c r="A70" s="225"/>
      <c r="B70" s="213"/>
      <c r="C70" s="356"/>
      <c r="D70" s="330"/>
      <c r="E70" s="157"/>
      <c r="F70" s="12"/>
    </row>
    <row r="71">
      <c r="A71" s="225"/>
      <c r="B71" s="213"/>
      <c r="C71" s="356"/>
      <c r="D71" s="330"/>
      <c r="E71" s="157"/>
      <c r="F71" s="12"/>
    </row>
    <row r="72">
      <c r="A72" s="225"/>
      <c r="B72" s="213"/>
      <c r="C72" s="356"/>
      <c r="D72" s="330"/>
      <c r="E72" s="157"/>
      <c r="F72" s="12"/>
    </row>
    <row r="73">
      <c r="A73" s="225"/>
      <c r="B73" s="213"/>
      <c r="C73" s="356"/>
      <c r="D73" s="330"/>
      <c r="E73" s="157"/>
      <c r="F73" s="12"/>
    </row>
    <row r="74">
      <c r="A74" s="225"/>
      <c r="B74" s="213"/>
      <c r="C74" s="356"/>
      <c r="D74" s="330"/>
      <c r="E74" s="157"/>
      <c r="F74" s="12"/>
    </row>
    <row r="75">
      <c r="A75" s="225"/>
      <c r="B75" s="213"/>
      <c r="C75" s="356"/>
      <c r="D75" s="330"/>
      <c r="E75" s="157"/>
      <c r="F75" s="12"/>
    </row>
    <row r="76">
      <c r="A76" s="225"/>
      <c r="B76" s="213"/>
      <c r="C76" s="356"/>
      <c r="D76" s="330"/>
      <c r="E76" s="157"/>
      <c r="F76" s="12"/>
    </row>
    <row r="77">
      <c r="A77" s="225"/>
      <c r="B77" s="213"/>
      <c r="C77" s="356"/>
      <c r="D77" s="330"/>
      <c r="E77" s="157"/>
      <c r="F77" s="12"/>
    </row>
    <row r="78">
      <c r="A78" s="225"/>
      <c r="B78" s="213"/>
      <c r="C78" s="356"/>
      <c r="D78" s="330"/>
      <c r="E78" s="157"/>
      <c r="F78" s="12"/>
    </row>
    <row r="79">
      <c r="A79" s="225"/>
      <c r="B79" s="213"/>
      <c r="C79" s="356"/>
      <c r="D79" s="330"/>
      <c r="E79" s="157"/>
      <c r="F79" s="12"/>
    </row>
    <row r="80">
      <c r="A80" s="225"/>
      <c r="B80" s="213"/>
      <c r="C80" s="356"/>
      <c r="D80" s="330"/>
      <c r="E80" s="157"/>
      <c r="F80" s="12"/>
    </row>
    <row r="81">
      <c r="A81" s="225"/>
      <c r="B81" s="213"/>
      <c r="C81" s="356"/>
      <c r="D81" s="330"/>
      <c r="E81" s="157"/>
      <c r="F81" s="12"/>
    </row>
    <row r="82">
      <c r="A82" s="225"/>
      <c r="B82" s="213"/>
      <c r="C82" s="356"/>
      <c r="D82" s="330"/>
      <c r="E82" s="157"/>
      <c r="F82" s="12"/>
    </row>
    <row r="83">
      <c r="A83" s="225"/>
      <c r="B83" s="213"/>
      <c r="C83" s="356"/>
      <c r="D83" s="330"/>
      <c r="E83" s="157"/>
      <c r="F83" s="12"/>
    </row>
    <row r="84">
      <c r="A84" s="225"/>
      <c r="B84" s="213"/>
      <c r="C84" s="356"/>
      <c r="D84" s="330"/>
      <c r="E84" s="157"/>
      <c r="F84" s="12"/>
    </row>
    <row r="85">
      <c r="A85" s="225"/>
      <c r="B85" s="213"/>
      <c r="C85" s="356"/>
      <c r="D85" s="330"/>
      <c r="E85" s="157"/>
      <c r="F85" s="12"/>
    </row>
    <row r="86">
      <c r="A86" s="225"/>
      <c r="B86" s="213"/>
      <c r="C86" s="356"/>
      <c r="D86" s="330"/>
      <c r="E86" s="157"/>
      <c r="F86" s="12"/>
    </row>
    <row r="87">
      <c r="A87" s="225"/>
      <c r="B87" s="213"/>
      <c r="C87" s="356"/>
      <c r="D87" s="330"/>
      <c r="E87" s="157"/>
      <c r="F87" s="12"/>
    </row>
    <row r="88">
      <c r="A88" s="225"/>
      <c r="B88" s="213"/>
      <c r="C88" s="356"/>
      <c r="D88" s="330"/>
      <c r="E88" s="157"/>
      <c r="F88" s="12"/>
    </row>
    <row r="89">
      <c r="A89" s="225"/>
      <c r="B89" s="213"/>
      <c r="C89" s="356"/>
      <c r="D89" s="330"/>
      <c r="E89" s="157"/>
      <c r="F89" s="12"/>
    </row>
    <row r="90">
      <c r="A90" s="225"/>
      <c r="B90" s="213"/>
      <c r="C90" s="356"/>
      <c r="D90" s="330"/>
      <c r="E90" s="157"/>
      <c r="F90" s="12"/>
    </row>
    <row r="91">
      <c r="A91" s="225"/>
      <c r="B91" s="213"/>
      <c r="C91" s="356"/>
      <c r="D91" s="330"/>
      <c r="E91" s="157"/>
      <c r="F91" s="12"/>
    </row>
    <row r="92">
      <c r="A92" s="225"/>
      <c r="B92" s="213"/>
      <c r="C92" s="356"/>
      <c r="D92" s="330"/>
      <c r="E92" s="157"/>
      <c r="F92" s="12"/>
    </row>
    <row r="93">
      <c r="A93" s="225"/>
      <c r="B93" s="213"/>
      <c r="C93" s="356"/>
      <c r="D93" s="330"/>
      <c r="E93" s="157"/>
      <c r="F93" s="12"/>
    </row>
    <row r="94">
      <c r="A94" s="225"/>
      <c r="B94" s="213"/>
      <c r="C94" s="356"/>
      <c r="D94" s="330"/>
      <c r="E94" s="157"/>
      <c r="F94" s="12"/>
    </row>
    <row r="95">
      <c r="A95" s="225"/>
      <c r="B95" s="213"/>
      <c r="C95" s="356"/>
      <c r="D95" s="330"/>
      <c r="E95" s="157"/>
      <c r="F95" s="12"/>
    </row>
    <row r="96">
      <c r="A96" s="225"/>
      <c r="B96" s="213"/>
      <c r="C96" s="356"/>
      <c r="D96" s="330"/>
      <c r="E96" s="157"/>
      <c r="F96" s="12"/>
    </row>
    <row r="97">
      <c r="A97" s="225"/>
      <c r="B97" s="213"/>
      <c r="C97" s="356"/>
      <c r="D97" s="330"/>
      <c r="E97" s="157"/>
      <c r="F97" s="12"/>
    </row>
    <row r="98">
      <c r="A98" s="225"/>
      <c r="B98" s="213"/>
      <c r="C98" s="356"/>
      <c r="D98" s="330"/>
      <c r="E98" s="157"/>
      <c r="F98" s="12"/>
    </row>
    <row r="99">
      <c r="A99" s="225"/>
      <c r="B99" s="213"/>
      <c r="C99" s="356"/>
      <c r="D99" s="330"/>
      <c r="E99" s="157"/>
      <c r="F99" s="12"/>
    </row>
    <row r="100">
      <c r="A100" s="225"/>
      <c r="B100" s="213"/>
      <c r="C100" s="356"/>
      <c r="D100" s="330"/>
      <c r="E100" s="157"/>
      <c r="F100" s="12"/>
    </row>
    <row r="101">
      <c r="A101" s="225"/>
      <c r="B101" s="213"/>
      <c r="C101" s="356"/>
      <c r="D101" s="330"/>
      <c r="E101" s="157"/>
      <c r="F101" s="12"/>
    </row>
    <row r="102">
      <c r="A102" s="225"/>
      <c r="B102" s="213"/>
      <c r="C102" s="356"/>
      <c r="D102" s="330"/>
      <c r="E102" s="157"/>
      <c r="F102" s="12"/>
    </row>
    <row r="103">
      <c r="A103" s="225"/>
      <c r="B103" s="213"/>
      <c r="C103" s="356"/>
      <c r="D103" s="330"/>
      <c r="E103" s="157"/>
      <c r="F103" s="12"/>
    </row>
    <row r="104">
      <c r="A104" s="225"/>
      <c r="B104" s="213"/>
      <c r="C104" s="356"/>
      <c r="D104" s="330"/>
      <c r="E104" s="157"/>
      <c r="F104" s="12"/>
    </row>
    <row r="105">
      <c r="A105" s="225"/>
      <c r="B105" s="213"/>
      <c r="C105" s="356"/>
      <c r="D105" s="330"/>
      <c r="E105" s="157"/>
      <c r="F105" s="12"/>
    </row>
    <row r="106">
      <c r="A106" s="225"/>
      <c r="B106" s="213"/>
      <c r="C106" s="356"/>
      <c r="D106" s="330"/>
      <c r="E106" s="157"/>
      <c r="F106" s="12"/>
    </row>
    <row r="107">
      <c r="A107" s="225"/>
      <c r="B107" s="213"/>
      <c r="C107" s="356"/>
      <c r="D107" s="330"/>
      <c r="E107" s="157"/>
      <c r="F107" s="12"/>
    </row>
    <row r="108">
      <c r="A108" s="225"/>
      <c r="B108" s="213"/>
      <c r="C108" s="356"/>
      <c r="D108" s="330"/>
      <c r="E108" s="157"/>
      <c r="F108" s="12"/>
    </row>
    <row r="109">
      <c r="A109" s="225"/>
      <c r="B109" s="213"/>
      <c r="C109" s="356"/>
      <c r="D109" s="330"/>
      <c r="E109" s="157"/>
      <c r="F109" s="12"/>
    </row>
    <row r="110">
      <c r="A110" s="225"/>
      <c r="B110" s="213"/>
      <c r="C110" s="356"/>
      <c r="D110" s="330"/>
      <c r="E110" s="157"/>
      <c r="F110" s="12"/>
    </row>
    <row r="111">
      <c r="A111" s="225"/>
      <c r="B111" s="213"/>
      <c r="C111" s="356"/>
      <c r="D111" s="330"/>
      <c r="E111" s="157"/>
      <c r="F111" s="12"/>
    </row>
    <row r="112">
      <c r="A112" s="225"/>
      <c r="B112" s="213"/>
      <c r="C112" s="356"/>
      <c r="D112" s="330"/>
      <c r="E112" s="157"/>
      <c r="F112" s="12"/>
    </row>
    <row r="113">
      <c r="A113" s="225"/>
      <c r="B113" s="213"/>
      <c r="C113" s="356"/>
      <c r="D113" s="330"/>
      <c r="E113" s="157"/>
      <c r="F113" s="12"/>
    </row>
    <row r="114">
      <c r="A114" s="225"/>
      <c r="B114" s="213"/>
      <c r="C114" s="356"/>
      <c r="D114" s="330"/>
      <c r="E114" s="157"/>
      <c r="F114" s="12"/>
    </row>
    <row r="115">
      <c r="A115" s="225"/>
      <c r="B115" s="213"/>
      <c r="C115" s="356"/>
      <c r="D115" s="330"/>
      <c r="E115" s="157"/>
      <c r="F115" s="12"/>
    </row>
    <row r="116">
      <c r="A116" s="225"/>
      <c r="B116" s="213"/>
      <c r="C116" s="356"/>
      <c r="D116" s="330"/>
      <c r="E116" s="157"/>
      <c r="F116" s="12"/>
    </row>
    <row r="117">
      <c r="A117" s="225"/>
      <c r="B117" s="213"/>
      <c r="C117" s="356"/>
      <c r="D117" s="330"/>
      <c r="E117" s="157"/>
      <c r="F117" s="12"/>
    </row>
    <row r="118">
      <c r="A118" s="225"/>
      <c r="B118" s="213"/>
      <c r="C118" s="356"/>
      <c r="D118" s="330"/>
      <c r="E118" s="157"/>
      <c r="F118" s="12"/>
    </row>
    <row r="119">
      <c r="A119" s="225"/>
      <c r="B119" s="213"/>
      <c r="C119" s="356"/>
      <c r="D119" s="330"/>
      <c r="E119" s="157"/>
      <c r="F119" s="12"/>
    </row>
    <row r="120">
      <c r="A120" s="225"/>
      <c r="B120" s="213"/>
      <c r="C120" s="356"/>
      <c r="D120" s="330"/>
      <c r="E120" s="157"/>
      <c r="F120" s="12"/>
    </row>
    <row r="121">
      <c r="A121" s="225"/>
      <c r="B121" s="213"/>
      <c r="C121" s="356"/>
      <c r="D121" s="330"/>
      <c r="E121" s="157"/>
      <c r="F121" s="12"/>
    </row>
    <row r="122">
      <c r="A122" s="225"/>
      <c r="B122" s="213"/>
      <c r="C122" s="356"/>
      <c r="D122" s="330"/>
      <c r="E122" s="157"/>
      <c r="F122" s="12"/>
    </row>
    <row r="123">
      <c r="A123" s="225"/>
      <c r="B123" s="213"/>
      <c r="C123" s="356"/>
      <c r="D123" s="330"/>
      <c r="E123" s="157"/>
      <c r="F123" s="12"/>
    </row>
    <row r="124">
      <c r="A124" s="225"/>
      <c r="B124" s="213"/>
      <c r="C124" s="356"/>
      <c r="D124" s="330"/>
      <c r="E124" s="157"/>
      <c r="F124" s="12"/>
    </row>
    <row r="125">
      <c r="A125" s="225"/>
      <c r="B125" s="213"/>
      <c r="C125" s="356"/>
      <c r="D125" s="330"/>
      <c r="E125" s="157"/>
      <c r="F125" s="12"/>
    </row>
    <row r="126">
      <c r="A126" s="225"/>
      <c r="B126" s="213"/>
      <c r="C126" s="356"/>
      <c r="D126" s="330"/>
      <c r="E126" s="157"/>
      <c r="F126" s="12"/>
    </row>
    <row r="127">
      <c r="A127" s="225"/>
      <c r="B127" s="213"/>
      <c r="C127" s="356"/>
      <c r="D127" s="330"/>
      <c r="E127" s="157"/>
      <c r="F127" s="12"/>
    </row>
    <row r="128">
      <c r="A128" s="225"/>
      <c r="B128" s="213"/>
      <c r="C128" s="356"/>
      <c r="D128" s="330"/>
      <c r="E128" s="157"/>
      <c r="F128" s="12"/>
    </row>
    <row r="129">
      <c r="A129" s="225"/>
      <c r="B129" s="213"/>
      <c r="C129" s="356"/>
      <c r="D129" s="330"/>
      <c r="E129" s="157"/>
      <c r="F129" s="12"/>
    </row>
    <row r="130">
      <c r="A130" s="225"/>
      <c r="B130" s="213"/>
      <c r="C130" s="356"/>
      <c r="D130" s="330"/>
      <c r="E130" s="157"/>
      <c r="F130" s="12"/>
    </row>
    <row r="131">
      <c r="A131" s="225"/>
      <c r="B131" s="213"/>
      <c r="C131" s="356"/>
      <c r="D131" s="330"/>
      <c r="E131" s="157"/>
      <c r="F131" s="12"/>
    </row>
    <row r="132">
      <c r="A132" s="225"/>
      <c r="B132" s="213"/>
      <c r="C132" s="356"/>
      <c r="D132" s="330"/>
      <c r="E132" s="157"/>
      <c r="F132" s="12"/>
    </row>
    <row r="133">
      <c r="A133" s="225"/>
      <c r="B133" s="213"/>
      <c r="C133" s="356"/>
      <c r="D133" s="330"/>
      <c r="E133" s="157"/>
      <c r="F133" s="12"/>
    </row>
    <row r="134">
      <c r="A134" s="225"/>
      <c r="B134" s="213"/>
      <c r="C134" s="356"/>
      <c r="D134" s="330"/>
      <c r="E134" s="157"/>
      <c r="F134" s="12"/>
    </row>
    <row r="135">
      <c r="A135" s="225"/>
      <c r="B135" s="213"/>
      <c r="C135" s="356"/>
      <c r="D135" s="330"/>
      <c r="E135" s="157"/>
      <c r="F135" s="12"/>
    </row>
    <row r="136">
      <c r="A136" s="225"/>
      <c r="B136" s="213"/>
      <c r="C136" s="356"/>
      <c r="D136" s="330"/>
      <c r="E136" s="157"/>
      <c r="F136" s="12"/>
    </row>
    <row r="137">
      <c r="A137" s="225"/>
      <c r="B137" s="213"/>
      <c r="C137" s="356"/>
      <c r="D137" s="330"/>
      <c r="E137" s="157"/>
      <c r="F137" s="12"/>
    </row>
    <row r="138">
      <c r="A138" s="225"/>
      <c r="B138" s="213"/>
      <c r="C138" s="356"/>
      <c r="D138" s="330"/>
      <c r="E138" s="157"/>
      <c r="F138" s="12"/>
    </row>
    <row r="139">
      <c r="A139" s="225"/>
      <c r="B139" s="213"/>
      <c r="C139" s="356"/>
      <c r="D139" s="330"/>
      <c r="E139" s="157"/>
      <c r="F139" s="12"/>
    </row>
    <row r="140">
      <c r="A140" s="225"/>
      <c r="B140" s="213"/>
      <c r="C140" s="356"/>
      <c r="D140" s="330"/>
      <c r="E140" s="157"/>
      <c r="F140" s="12"/>
    </row>
    <row r="141">
      <c r="A141" s="225"/>
      <c r="B141" s="213"/>
      <c r="C141" s="356"/>
      <c r="D141" s="330"/>
      <c r="E141" s="157"/>
      <c r="F141" s="12"/>
    </row>
    <row r="142">
      <c r="A142" s="225"/>
      <c r="B142" s="213"/>
      <c r="C142" s="356"/>
      <c r="D142" s="330"/>
      <c r="E142" s="157"/>
      <c r="F142" s="12"/>
    </row>
    <row r="143">
      <c r="A143" s="225"/>
      <c r="B143" s="213"/>
      <c r="C143" s="356"/>
      <c r="D143" s="330"/>
      <c r="E143" s="157"/>
      <c r="F143" s="12"/>
    </row>
    <row r="144">
      <c r="A144" s="225"/>
      <c r="B144" s="213"/>
      <c r="C144" s="356"/>
      <c r="D144" s="330"/>
      <c r="E144" s="157"/>
      <c r="F144" s="12"/>
    </row>
    <row r="145">
      <c r="A145" s="225"/>
      <c r="B145" s="213"/>
      <c r="C145" s="356"/>
      <c r="D145" s="330"/>
      <c r="E145" s="157"/>
      <c r="F145" s="12"/>
    </row>
    <row r="146">
      <c r="A146" s="225"/>
      <c r="B146" s="213"/>
      <c r="C146" s="356"/>
      <c r="D146" s="330"/>
      <c r="E146" s="157"/>
      <c r="F146" s="12"/>
    </row>
    <row r="147">
      <c r="A147" s="225"/>
      <c r="B147" s="213"/>
      <c r="C147" s="356"/>
      <c r="D147" s="330"/>
      <c r="E147" s="157"/>
      <c r="F147" s="12"/>
    </row>
    <row r="148">
      <c r="A148" s="225"/>
      <c r="B148" s="213"/>
      <c r="C148" s="356"/>
      <c r="D148" s="330"/>
      <c r="E148" s="157"/>
      <c r="F148" s="12"/>
    </row>
    <row r="149">
      <c r="A149" s="225"/>
      <c r="B149" s="213"/>
      <c r="C149" s="356"/>
      <c r="D149" s="330"/>
      <c r="E149" s="157"/>
      <c r="F149" s="12"/>
    </row>
    <row r="150">
      <c r="A150" s="225"/>
      <c r="B150" s="213"/>
      <c r="C150" s="356"/>
      <c r="D150" s="330"/>
      <c r="E150" s="157"/>
      <c r="F150" s="12"/>
    </row>
    <row r="151">
      <c r="A151" s="225"/>
      <c r="B151" s="213"/>
      <c r="C151" s="356"/>
      <c r="D151" s="330"/>
      <c r="E151" s="157"/>
      <c r="F151" s="12"/>
    </row>
    <row r="152">
      <c r="A152" s="225"/>
      <c r="B152" s="213"/>
      <c r="C152" s="356"/>
      <c r="D152" s="330"/>
      <c r="E152" s="157"/>
      <c r="F152" s="12"/>
    </row>
    <row r="153">
      <c r="A153" s="225"/>
      <c r="B153" s="213"/>
      <c r="C153" s="356"/>
      <c r="D153" s="330"/>
      <c r="E153" s="157"/>
      <c r="F153" s="12"/>
    </row>
    <row r="154">
      <c r="A154" s="225"/>
      <c r="B154" s="213"/>
      <c r="C154" s="356"/>
      <c r="D154" s="330"/>
      <c r="E154" s="157"/>
      <c r="F154" s="12"/>
    </row>
    <row r="155">
      <c r="A155" s="225"/>
      <c r="B155" s="213"/>
      <c r="C155" s="356"/>
      <c r="D155" s="330"/>
      <c r="E155" s="157"/>
      <c r="F155" s="12"/>
    </row>
    <row r="156">
      <c r="A156" s="225"/>
      <c r="B156" s="213"/>
      <c r="C156" s="356"/>
      <c r="D156" s="330"/>
      <c r="E156" s="157"/>
      <c r="F156" s="12"/>
    </row>
    <row r="157">
      <c r="A157" s="225"/>
      <c r="B157" s="213"/>
      <c r="C157" s="356"/>
      <c r="D157" s="330"/>
      <c r="E157" s="157"/>
      <c r="F157" s="12"/>
    </row>
    <row r="158">
      <c r="A158" s="225"/>
      <c r="B158" s="213"/>
      <c r="C158" s="356"/>
      <c r="D158" s="330"/>
      <c r="E158" s="157"/>
      <c r="F158" s="12"/>
    </row>
    <row r="159">
      <c r="A159" s="225"/>
      <c r="B159" s="213"/>
      <c r="C159" s="356"/>
      <c r="D159" s="330"/>
      <c r="E159" s="157"/>
      <c r="F159" s="12"/>
    </row>
    <row r="160">
      <c r="A160" s="225"/>
      <c r="B160" s="213"/>
      <c r="C160" s="356"/>
      <c r="D160" s="330"/>
      <c r="E160" s="157"/>
      <c r="F160" s="12"/>
    </row>
    <row r="161">
      <c r="A161" s="225"/>
      <c r="B161" s="213"/>
      <c r="C161" s="356"/>
      <c r="D161" s="330"/>
      <c r="E161" s="157"/>
      <c r="F161" s="12"/>
    </row>
    <row r="162">
      <c r="A162" s="225"/>
      <c r="B162" s="213"/>
      <c r="C162" s="356"/>
      <c r="D162" s="330"/>
      <c r="E162" s="157"/>
      <c r="F162" s="12"/>
    </row>
    <row r="163">
      <c r="A163" s="225"/>
      <c r="B163" s="213"/>
      <c r="C163" s="356"/>
      <c r="D163" s="330"/>
      <c r="E163" s="157"/>
      <c r="F163" s="12"/>
    </row>
    <row r="164">
      <c r="A164" s="225"/>
      <c r="B164" s="213"/>
      <c r="C164" s="356"/>
      <c r="D164" s="330"/>
      <c r="E164" s="157"/>
      <c r="F164" s="12"/>
    </row>
    <row r="165">
      <c r="A165" s="225"/>
      <c r="B165" s="213"/>
      <c r="C165" s="356"/>
      <c r="D165" s="330"/>
      <c r="E165" s="157"/>
      <c r="F165" s="12"/>
    </row>
    <row r="166">
      <c r="A166" s="225"/>
      <c r="B166" s="213"/>
      <c r="C166" s="356"/>
      <c r="D166" s="330"/>
      <c r="E166" s="157"/>
      <c r="F166" s="12"/>
    </row>
    <row r="167">
      <c r="A167" s="225"/>
      <c r="B167" s="213"/>
      <c r="C167" s="356"/>
      <c r="D167" s="330"/>
      <c r="E167" s="157"/>
      <c r="F167" s="12"/>
    </row>
    <row r="168">
      <c r="A168" s="225"/>
      <c r="B168" s="213"/>
      <c r="C168" s="356"/>
      <c r="D168" s="330"/>
      <c r="E168" s="157"/>
      <c r="F168" s="12"/>
    </row>
    <row r="169">
      <c r="A169" s="225"/>
      <c r="B169" s="213"/>
      <c r="C169" s="356"/>
      <c r="D169" s="330"/>
      <c r="E169" s="157"/>
      <c r="F169" s="12"/>
    </row>
    <row r="170">
      <c r="A170" s="225"/>
      <c r="B170" s="213"/>
      <c r="C170" s="356"/>
      <c r="D170" s="330"/>
      <c r="E170" s="157"/>
      <c r="F170" s="12"/>
    </row>
    <row r="171">
      <c r="A171" s="225"/>
      <c r="B171" s="213"/>
      <c r="C171" s="356"/>
      <c r="D171" s="330"/>
      <c r="E171" s="157"/>
      <c r="F171" s="12"/>
    </row>
    <row r="172">
      <c r="A172" s="225"/>
      <c r="B172" s="213"/>
      <c r="C172" s="356"/>
      <c r="D172" s="330"/>
      <c r="E172" s="157"/>
      <c r="F172" s="12"/>
    </row>
    <row r="173">
      <c r="A173" s="225"/>
      <c r="B173" s="213"/>
      <c r="C173" s="356"/>
      <c r="D173" s="330"/>
      <c r="E173" s="157"/>
      <c r="F173" s="12"/>
    </row>
    <row r="174">
      <c r="A174" s="225"/>
      <c r="B174" s="213"/>
      <c r="C174" s="356"/>
      <c r="D174" s="330"/>
      <c r="E174" s="157"/>
      <c r="F174" s="12"/>
    </row>
    <row r="175">
      <c r="A175" s="225"/>
      <c r="B175" s="213"/>
      <c r="C175" s="356"/>
      <c r="D175" s="330"/>
      <c r="E175" s="157"/>
      <c r="F175" s="12"/>
    </row>
    <row r="176">
      <c r="A176" s="225"/>
      <c r="B176" s="213"/>
      <c r="C176" s="356"/>
      <c r="D176" s="330"/>
      <c r="E176" s="157"/>
      <c r="F176" s="12"/>
    </row>
    <row r="177">
      <c r="A177" s="225"/>
      <c r="B177" s="213"/>
      <c r="C177" s="356"/>
      <c r="D177" s="330"/>
      <c r="E177" s="157"/>
      <c r="F177" s="12"/>
    </row>
    <row r="178">
      <c r="A178" s="225"/>
      <c r="B178" s="213"/>
      <c r="C178" s="356"/>
      <c r="D178" s="330"/>
      <c r="E178" s="157"/>
      <c r="F178" s="12"/>
    </row>
    <row r="179">
      <c r="A179" s="225"/>
      <c r="B179" s="213"/>
      <c r="C179" s="356"/>
      <c r="D179" s="330"/>
      <c r="E179" s="157"/>
      <c r="F179" s="12"/>
    </row>
    <row r="180">
      <c r="A180" s="225"/>
      <c r="B180" s="213"/>
      <c r="C180" s="356"/>
      <c r="D180" s="330"/>
      <c r="E180" s="157"/>
      <c r="F180" s="12"/>
    </row>
    <row r="181">
      <c r="A181" s="225"/>
      <c r="B181" s="213"/>
      <c r="C181" s="356"/>
      <c r="D181" s="330"/>
      <c r="E181" s="157"/>
      <c r="F181" s="12"/>
    </row>
    <row r="182">
      <c r="A182" s="225"/>
      <c r="B182" s="213"/>
      <c r="C182" s="356"/>
      <c r="D182" s="330"/>
      <c r="E182" s="157"/>
      <c r="F182" s="12"/>
    </row>
    <row r="183">
      <c r="A183" s="225"/>
      <c r="B183" s="213"/>
      <c r="C183" s="356"/>
      <c r="D183" s="330"/>
      <c r="E183" s="157"/>
      <c r="F183" s="12"/>
    </row>
    <row r="184">
      <c r="A184" s="225"/>
      <c r="B184" s="213"/>
      <c r="C184" s="356"/>
      <c r="D184" s="330"/>
      <c r="E184" s="157"/>
      <c r="F184" s="12"/>
    </row>
    <row r="185">
      <c r="A185" s="225"/>
      <c r="B185" s="213"/>
      <c r="C185" s="356"/>
      <c r="D185" s="330"/>
      <c r="E185" s="157"/>
      <c r="F185" s="12"/>
    </row>
    <row r="186">
      <c r="A186" s="225"/>
      <c r="B186" s="213"/>
      <c r="C186" s="356"/>
      <c r="D186" s="330"/>
      <c r="E186" s="157"/>
      <c r="F186" s="12"/>
    </row>
    <row r="187">
      <c r="A187" s="225"/>
      <c r="B187" s="213"/>
      <c r="C187" s="356"/>
      <c r="D187" s="330"/>
      <c r="E187" s="157"/>
      <c r="F187" s="12"/>
    </row>
    <row r="188">
      <c r="A188" s="225"/>
      <c r="B188" s="213"/>
      <c r="C188" s="356"/>
      <c r="D188" s="330"/>
      <c r="E188" s="157"/>
      <c r="F188" s="12"/>
    </row>
    <row r="189">
      <c r="A189" s="225"/>
      <c r="B189" s="213"/>
      <c r="C189" s="356"/>
      <c r="D189" s="330"/>
      <c r="E189" s="157"/>
      <c r="F189" s="12"/>
    </row>
    <row r="190">
      <c r="A190" s="225"/>
      <c r="B190" s="213"/>
      <c r="C190" s="356"/>
      <c r="D190" s="330"/>
      <c r="E190" s="157"/>
      <c r="F190" s="12"/>
    </row>
    <row r="191">
      <c r="A191" s="225"/>
      <c r="B191" s="213"/>
      <c r="C191" s="356"/>
      <c r="D191" s="330"/>
      <c r="E191" s="157"/>
      <c r="F191" s="12"/>
    </row>
    <row r="192">
      <c r="A192" s="225"/>
      <c r="B192" s="213"/>
      <c r="C192" s="356"/>
      <c r="D192" s="330"/>
      <c r="E192" s="157"/>
      <c r="F192" s="12"/>
    </row>
    <row r="193">
      <c r="A193" s="225"/>
      <c r="B193" s="213"/>
      <c r="C193" s="356"/>
      <c r="D193" s="330"/>
      <c r="E193" s="157"/>
      <c r="F193" s="12"/>
    </row>
    <row r="194">
      <c r="A194" s="225"/>
      <c r="B194" s="213"/>
      <c r="C194" s="356"/>
      <c r="D194" s="330"/>
      <c r="E194" s="157"/>
      <c r="F194" s="12"/>
    </row>
    <row r="195">
      <c r="A195" s="225"/>
      <c r="B195" s="213"/>
      <c r="C195" s="356"/>
      <c r="D195" s="330"/>
      <c r="E195" s="157"/>
      <c r="F195" s="12"/>
    </row>
    <row r="196">
      <c r="A196" s="225"/>
      <c r="B196" s="213"/>
      <c r="C196" s="356"/>
      <c r="D196" s="330"/>
      <c r="E196" s="157"/>
      <c r="F196" s="12"/>
    </row>
    <row r="197">
      <c r="A197" s="225"/>
      <c r="B197" s="213"/>
      <c r="C197" s="356"/>
      <c r="D197" s="330"/>
      <c r="E197" s="157"/>
      <c r="F197" s="12"/>
    </row>
    <row r="198">
      <c r="A198" s="225"/>
      <c r="B198" s="213"/>
      <c r="C198" s="356"/>
      <c r="D198" s="330"/>
      <c r="E198" s="157"/>
      <c r="F198" s="12"/>
    </row>
    <row r="199">
      <c r="A199" s="225"/>
      <c r="B199" s="213"/>
      <c r="C199" s="356"/>
      <c r="D199" s="330"/>
      <c r="E199" s="157"/>
      <c r="F199" s="12"/>
    </row>
    <row r="200">
      <c r="A200" s="225"/>
      <c r="B200" s="213"/>
      <c r="C200" s="356"/>
      <c r="D200" s="330"/>
      <c r="E200" s="157"/>
      <c r="F200" s="12"/>
    </row>
    <row r="201">
      <c r="A201" s="225"/>
      <c r="B201" s="213"/>
      <c r="C201" s="356"/>
      <c r="D201" s="330"/>
      <c r="E201" s="157"/>
      <c r="F201" s="12"/>
    </row>
    <row r="202">
      <c r="A202" s="225"/>
      <c r="B202" s="213"/>
      <c r="C202" s="356"/>
      <c r="D202" s="330"/>
      <c r="E202" s="157"/>
      <c r="F202" s="12"/>
    </row>
    <row r="203">
      <c r="A203" s="225"/>
      <c r="B203" s="213"/>
      <c r="C203" s="356"/>
      <c r="D203" s="330"/>
      <c r="E203" s="157"/>
      <c r="F203" s="12"/>
    </row>
    <row r="204">
      <c r="A204" s="225"/>
      <c r="B204" s="213"/>
      <c r="C204" s="356"/>
      <c r="D204" s="330"/>
      <c r="E204" s="157"/>
      <c r="F204" s="12"/>
    </row>
    <row r="205">
      <c r="A205" s="225"/>
      <c r="B205" s="213"/>
      <c r="C205" s="356"/>
      <c r="D205" s="330"/>
      <c r="E205" s="157"/>
      <c r="F205" s="12"/>
    </row>
    <row r="206">
      <c r="A206" s="225"/>
      <c r="B206" s="213"/>
      <c r="C206" s="356"/>
      <c r="D206" s="330"/>
      <c r="E206" s="157"/>
      <c r="F206" s="12"/>
    </row>
    <row r="207">
      <c r="A207" s="225"/>
      <c r="B207" s="213"/>
      <c r="C207" s="356"/>
      <c r="D207" s="330"/>
      <c r="E207" s="157"/>
      <c r="F207" s="12"/>
    </row>
    <row r="208">
      <c r="A208" s="225"/>
      <c r="B208" s="213"/>
      <c r="C208" s="356"/>
      <c r="D208" s="330"/>
      <c r="E208" s="157"/>
      <c r="F208" s="12"/>
    </row>
    <row r="209">
      <c r="A209" s="225"/>
      <c r="B209" s="213"/>
      <c r="C209" s="356"/>
      <c r="D209" s="330"/>
      <c r="E209" s="157"/>
      <c r="F209" s="12"/>
    </row>
    <row r="210">
      <c r="A210" s="225"/>
      <c r="B210" s="213"/>
      <c r="C210" s="356"/>
      <c r="D210" s="330"/>
      <c r="E210" s="157"/>
      <c r="F210" s="12"/>
    </row>
    <row r="211">
      <c r="A211" s="225"/>
      <c r="B211" s="213"/>
      <c r="C211" s="356"/>
      <c r="D211" s="330"/>
      <c r="E211" s="157"/>
      <c r="F211" s="12"/>
    </row>
    <row r="212">
      <c r="A212" s="225"/>
      <c r="B212" s="213"/>
      <c r="C212" s="356"/>
      <c r="D212" s="330"/>
      <c r="E212" s="157"/>
      <c r="F212" s="12"/>
    </row>
    <row r="213">
      <c r="A213" s="225"/>
      <c r="B213" s="213"/>
      <c r="C213" s="356"/>
      <c r="D213" s="330"/>
      <c r="E213" s="157"/>
      <c r="F213" s="12"/>
    </row>
    <row r="214">
      <c r="A214" s="225"/>
      <c r="B214" s="213"/>
      <c r="C214" s="356"/>
      <c r="D214" s="330"/>
      <c r="E214" s="157"/>
      <c r="F214" s="12"/>
    </row>
    <row r="215">
      <c r="A215" s="225"/>
      <c r="B215" s="213"/>
      <c r="C215" s="356"/>
      <c r="D215" s="330"/>
      <c r="E215" s="157"/>
      <c r="F215" s="12"/>
    </row>
    <row r="216">
      <c r="A216" s="225"/>
      <c r="B216" s="213"/>
      <c r="C216" s="356"/>
      <c r="D216" s="330"/>
      <c r="E216" s="157"/>
      <c r="F216" s="12"/>
    </row>
    <row r="217">
      <c r="A217" s="225"/>
      <c r="B217" s="213"/>
      <c r="C217" s="356"/>
      <c r="D217" s="330"/>
      <c r="E217" s="157"/>
      <c r="F217" s="12"/>
    </row>
    <row r="218">
      <c r="A218" s="225"/>
      <c r="B218" s="213"/>
      <c r="C218" s="356"/>
      <c r="D218" s="330"/>
      <c r="E218" s="157"/>
      <c r="F218" s="12"/>
    </row>
    <row r="219">
      <c r="A219" s="225"/>
      <c r="B219" s="213"/>
      <c r="C219" s="356"/>
      <c r="D219" s="330"/>
      <c r="E219" s="157"/>
      <c r="F219" s="12"/>
    </row>
    <row r="220">
      <c r="A220" s="225"/>
      <c r="B220" s="213"/>
      <c r="C220" s="356"/>
      <c r="D220" s="330"/>
      <c r="E220" s="157"/>
      <c r="F220" s="12"/>
    </row>
    <row r="221">
      <c r="A221" s="225"/>
      <c r="B221" s="213"/>
      <c r="C221" s="356"/>
      <c r="D221" s="330"/>
      <c r="E221" s="157"/>
      <c r="F221" s="12"/>
    </row>
    <row r="222">
      <c r="A222" s="225"/>
      <c r="B222" s="213"/>
      <c r="C222" s="356"/>
      <c r="D222" s="330"/>
      <c r="E222" s="157"/>
      <c r="F222" s="12"/>
    </row>
    <row r="223">
      <c r="A223" s="225"/>
      <c r="B223" s="213"/>
      <c r="C223" s="356"/>
      <c r="D223" s="330"/>
      <c r="E223" s="157"/>
      <c r="F223" s="12"/>
    </row>
    <row r="224">
      <c r="A224" s="225"/>
      <c r="B224" s="213"/>
      <c r="C224" s="356"/>
      <c r="D224" s="330"/>
      <c r="E224" s="157"/>
      <c r="F224" s="12"/>
    </row>
    <row r="225">
      <c r="A225" s="225"/>
      <c r="B225" s="213"/>
      <c r="C225" s="356"/>
      <c r="D225" s="330"/>
      <c r="E225" s="157"/>
      <c r="F225" s="12"/>
    </row>
    <row r="226">
      <c r="A226" s="225"/>
      <c r="B226" s="213"/>
      <c r="C226" s="356"/>
      <c r="D226" s="330"/>
      <c r="E226" s="157"/>
      <c r="F226" s="12"/>
    </row>
    <row r="227">
      <c r="A227" s="225"/>
      <c r="B227" s="213"/>
      <c r="C227" s="356"/>
      <c r="D227" s="330"/>
      <c r="E227" s="157"/>
      <c r="F227" s="12"/>
    </row>
    <row r="228">
      <c r="A228" s="225"/>
      <c r="B228" s="213"/>
      <c r="C228" s="356"/>
      <c r="D228" s="330"/>
      <c r="E228" s="157"/>
      <c r="F228" s="12"/>
    </row>
    <row r="229">
      <c r="A229" s="225"/>
      <c r="B229" s="213"/>
      <c r="C229" s="356"/>
      <c r="D229" s="330"/>
      <c r="E229" s="157"/>
      <c r="F229" s="12"/>
    </row>
    <row r="230">
      <c r="A230" s="225"/>
      <c r="B230" s="213"/>
      <c r="C230" s="356"/>
      <c r="D230" s="330"/>
      <c r="E230" s="157"/>
      <c r="F230" s="12"/>
    </row>
    <row r="231">
      <c r="A231" s="225"/>
      <c r="B231" s="213"/>
      <c r="C231" s="356"/>
      <c r="D231" s="330"/>
      <c r="E231" s="157"/>
      <c r="F231" s="12"/>
    </row>
    <row r="232">
      <c r="A232" s="225"/>
      <c r="B232" s="213"/>
      <c r="C232" s="356"/>
      <c r="D232" s="330"/>
      <c r="E232" s="157"/>
      <c r="F232" s="12"/>
    </row>
    <row r="233">
      <c r="A233" s="225"/>
      <c r="B233" s="213"/>
      <c r="C233" s="356"/>
      <c r="D233" s="330"/>
      <c r="E233" s="157"/>
      <c r="F233" s="12"/>
    </row>
    <row r="234">
      <c r="A234" s="225"/>
      <c r="B234" s="213"/>
      <c r="C234" s="356"/>
      <c r="D234" s="330"/>
      <c r="E234" s="157"/>
      <c r="F234" s="12"/>
    </row>
    <row r="235">
      <c r="A235" s="225"/>
      <c r="B235" s="213"/>
      <c r="C235" s="356"/>
      <c r="D235" s="330"/>
      <c r="E235" s="157"/>
      <c r="F235" s="12"/>
    </row>
    <row r="236">
      <c r="A236" s="225"/>
      <c r="B236" s="213"/>
      <c r="C236" s="356"/>
      <c r="D236" s="330"/>
      <c r="E236" s="157"/>
      <c r="F236" s="12"/>
    </row>
    <row r="237">
      <c r="A237" s="225"/>
      <c r="B237" s="213"/>
      <c r="C237" s="356"/>
      <c r="D237" s="330"/>
      <c r="E237" s="157"/>
      <c r="F237" s="12"/>
    </row>
    <row r="238">
      <c r="A238" s="225"/>
      <c r="B238" s="213"/>
      <c r="C238" s="356"/>
      <c r="D238" s="330"/>
      <c r="E238" s="157"/>
      <c r="F238" s="12"/>
    </row>
    <row r="239">
      <c r="A239" s="225"/>
      <c r="B239" s="213"/>
      <c r="C239" s="356"/>
      <c r="D239" s="330"/>
      <c r="E239" s="157"/>
      <c r="F239" s="12"/>
    </row>
    <row r="240">
      <c r="A240" s="225"/>
      <c r="B240" s="213"/>
      <c r="C240" s="356"/>
      <c r="D240" s="330"/>
      <c r="E240" s="157"/>
      <c r="F240" s="12"/>
    </row>
    <row r="241">
      <c r="A241" s="225"/>
      <c r="B241" s="213"/>
      <c r="C241" s="356"/>
      <c r="D241" s="330"/>
      <c r="E241" s="157"/>
      <c r="F241" s="12"/>
    </row>
    <row r="242">
      <c r="A242" s="225"/>
      <c r="B242" s="213"/>
      <c r="C242" s="356"/>
      <c r="D242" s="330"/>
      <c r="E242" s="157"/>
      <c r="F242" s="12"/>
    </row>
    <row r="243">
      <c r="A243" s="225"/>
      <c r="B243" s="213"/>
      <c r="C243" s="356"/>
      <c r="D243" s="330"/>
      <c r="E243" s="157"/>
      <c r="F243" s="12"/>
    </row>
    <row r="244">
      <c r="A244" s="225"/>
      <c r="B244" s="213"/>
      <c r="C244" s="356"/>
      <c r="D244" s="330"/>
      <c r="E244" s="157"/>
      <c r="F244" s="12"/>
    </row>
    <row r="245">
      <c r="A245" s="225"/>
      <c r="B245" s="213"/>
      <c r="C245" s="356"/>
      <c r="D245" s="330"/>
      <c r="E245" s="157"/>
      <c r="F245" s="12"/>
    </row>
    <row r="246">
      <c r="A246" s="225"/>
      <c r="B246" s="213"/>
      <c r="C246" s="356"/>
      <c r="D246" s="330"/>
      <c r="E246" s="157"/>
      <c r="F246" s="12"/>
    </row>
    <row r="247">
      <c r="A247" s="225"/>
      <c r="B247" s="213"/>
      <c r="C247" s="356"/>
      <c r="D247" s="330"/>
      <c r="E247" s="157"/>
      <c r="F247" s="12"/>
    </row>
    <row r="248">
      <c r="A248" s="225"/>
      <c r="B248" s="213"/>
      <c r="C248" s="356"/>
      <c r="D248" s="330"/>
      <c r="E248" s="157"/>
      <c r="F248" s="12"/>
    </row>
    <row r="249">
      <c r="A249" s="225"/>
      <c r="B249" s="213"/>
      <c r="C249" s="356"/>
      <c r="D249" s="330"/>
      <c r="E249" s="157"/>
      <c r="F249" s="12"/>
    </row>
    <row r="250">
      <c r="A250" s="225"/>
      <c r="B250" s="213"/>
      <c r="C250" s="356"/>
      <c r="D250" s="330"/>
      <c r="E250" s="157"/>
      <c r="F250" s="12"/>
    </row>
    <row r="251">
      <c r="A251" s="225"/>
      <c r="B251" s="213"/>
      <c r="C251" s="356"/>
      <c r="D251" s="330"/>
      <c r="E251" s="157"/>
      <c r="F251" s="12"/>
    </row>
    <row r="252">
      <c r="A252" s="225"/>
      <c r="B252" s="213"/>
      <c r="C252" s="356"/>
      <c r="D252" s="330"/>
      <c r="E252" s="157"/>
      <c r="F252" s="12"/>
    </row>
    <row r="253">
      <c r="A253" s="225"/>
      <c r="B253" s="213"/>
      <c r="C253" s="356"/>
      <c r="D253" s="330"/>
      <c r="E253" s="157"/>
      <c r="F253" s="12"/>
    </row>
    <row r="254">
      <c r="A254" s="225"/>
      <c r="B254" s="213"/>
      <c r="C254" s="356"/>
      <c r="D254" s="330"/>
      <c r="E254" s="157"/>
      <c r="F254" s="12"/>
    </row>
    <row r="255">
      <c r="A255" s="225"/>
      <c r="B255" s="213"/>
      <c r="C255" s="356"/>
      <c r="D255" s="330"/>
      <c r="E255" s="157"/>
      <c r="F255" s="12"/>
    </row>
    <row r="256">
      <c r="A256" s="225"/>
      <c r="B256" s="213"/>
      <c r="C256" s="356"/>
      <c r="D256" s="330"/>
      <c r="E256" s="157"/>
      <c r="F256" s="12"/>
    </row>
    <row r="257">
      <c r="A257" s="225"/>
      <c r="B257" s="213"/>
      <c r="C257" s="356"/>
      <c r="D257" s="330"/>
      <c r="E257" s="157"/>
      <c r="F257" s="12"/>
    </row>
    <row r="258">
      <c r="A258" s="225"/>
      <c r="B258" s="213"/>
      <c r="C258" s="356"/>
      <c r="D258" s="330"/>
      <c r="E258" s="157"/>
      <c r="F258" s="12"/>
    </row>
    <row r="259">
      <c r="A259" s="225"/>
      <c r="B259" s="213"/>
      <c r="C259" s="356"/>
      <c r="D259" s="330"/>
      <c r="E259" s="157"/>
      <c r="F259" s="12"/>
    </row>
    <row r="260">
      <c r="A260" s="225"/>
      <c r="B260" s="213"/>
      <c r="C260" s="356"/>
      <c r="D260" s="330"/>
      <c r="E260" s="157"/>
      <c r="F260" s="12"/>
    </row>
    <row r="261">
      <c r="A261" s="225"/>
      <c r="B261" s="213"/>
      <c r="C261" s="356"/>
      <c r="D261" s="330"/>
      <c r="E261" s="157"/>
      <c r="F261" s="12"/>
    </row>
    <row r="262">
      <c r="A262" s="225"/>
      <c r="B262" s="213"/>
      <c r="C262" s="356"/>
      <c r="D262" s="330"/>
      <c r="E262" s="157"/>
      <c r="F262" s="12"/>
    </row>
    <row r="263">
      <c r="A263" s="225"/>
      <c r="B263" s="213"/>
      <c r="C263" s="356"/>
      <c r="D263" s="330"/>
      <c r="E263" s="157"/>
      <c r="F263" s="12"/>
    </row>
    <row r="264">
      <c r="A264" s="225"/>
      <c r="B264" s="213"/>
      <c r="C264" s="356"/>
      <c r="D264" s="330"/>
      <c r="E264" s="157"/>
      <c r="F264" s="12"/>
    </row>
    <row r="265">
      <c r="A265" s="225"/>
      <c r="B265" s="213"/>
      <c r="C265" s="356"/>
      <c r="D265" s="330"/>
      <c r="E265" s="157"/>
      <c r="F265" s="12"/>
    </row>
    <row r="266">
      <c r="A266" s="225"/>
      <c r="B266" s="213"/>
      <c r="C266" s="356"/>
      <c r="D266" s="330"/>
      <c r="E266" s="157"/>
      <c r="F266" s="12"/>
    </row>
    <row r="267">
      <c r="A267" s="225"/>
      <c r="B267" s="213"/>
      <c r="C267" s="356"/>
      <c r="D267" s="330"/>
      <c r="E267" s="157"/>
      <c r="F267" s="12"/>
    </row>
    <row r="268">
      <c r="A268" s="225"/>
      <c r="B268" s="213"/>
      <c r="C268" s="356"/>
      <c r="D268" s="330"/>
      <c r="E268" s="157"/>
      <c r="F268" s="12"/>
    </row>
    <row r="269">
      <c r="A269" s="225"/>
      <c r="B269" s="213"/>
      <c r="C269" s="356"/>
      <c r="D269" s="330"/>
      <c r="E269" s="157"/>
      <c r="F269" s="12"/>
    </row>
    <row r="270">
      <c r="A270" s="225"/>
      <c r="B270" s="213"/>
      <c r="C270" s="356"/>
      <c r="D270" s="330"/>
      <c r="E270" s="157"/>
      <c r="F270" s="12"/>
    </row>
    <row r="271">
      <c r="A271" s="225"/>
      <c r="B271" s="213"/>
      <c r="C271" s="356"/>
      <c r="D271" s="330"/>
      <c r="E271" s="157"/>
      <c r="F271" s="12"/>
    </row>
    <row r="272">
      <c r="A272" s="225"/>
      <c r="B272" s="213"/>
      <c r="C272" s="356"/>
      <c r="D272" s="330"/>
      <c r="E272" s="157"/>
      <c r="F272" s="12"/>
    </row>
    <row r="273">
      <c r="A273" s="225"/>
      <c r="B273" s="213"/>
      <c r="C273" s="356"/>
      <c r="D273" s="330"/>
      <c r="E273" s="157"/>
      <c r="F273" s="12"/>
    </row>
    <row r="274">
      <c r="A274" s="225"/>
      <c r="B274" s="213"/>
      <c r="C274" s="356"/>
      <c r="D274" s="330"/>
      <c r="E274" s="157"/>
      <c r="F274" s="12"/>
    </row>
    <row r="275">
      <c r="A275" s="225"/>
      <c r="B275" s="213"/>
      <c r="C275" s="356"/>
      <c r="D275" s="330"/>
      <c r="E275" s="157"/>
      <c r="F275" s="12"/>
    </row>
    <row r="276">
      <c r="A276" s="225"/>
      <c r="B276" s="213"/>
      <c r="C276" s="356"/>
      <c r="D276" s="330"/>
      <c r="E276" s="157"/>
      <c r="F276" s="12"/>
    </row>
    <row r="277">
      <c r="A277" s="225"/>
      <c r="B277" s="213"/>
      <c r="C277" s="356"/>
      <c r="D277" s="330"/>
      <c r="E277" s="157"/>
      <c r="F277" s="12"/>
    </row>
    <row r="278">
      <c r="A278" s="225"/>
      <c r="B278" s="213"/>
      <c r="C278" s="356"/>
      <c r="D278" s="330"/>
      <c r="E278" s="157"/>
      <c r="F278" s="12"/>
    </row>
    <row r="279">
      <c r="A279" s="225"/>
      <c r="B279" s="213"/>
      <c r="C279" s="356"/>
      <c r="D279" s="330"/>
      <c r="E279" s="157"/>
      <c r="F279" s="12"/>
    </row>
    <row r="280">
      <c r="A280" s="225"/>
      <c r="B280" s="213"/>
      <c r="C280" s="356"/>
      <c r="D280" s="330"/>
      <c r="E280" s="157"/>
      <c r="F280" s="12"/>
    </row>
    <row r="281">
      <c r="A281" s="225"/>
      <c r="B281" s="213"/>
      <c r="C281" s="356"/>
      <c r="D281" s="330"/>
      <c r="E281" s="157"/>
      <c r="F281" s="12"/>
    </row>
    <row r="282">
      <c r="A282" s="225"/>
      <c r="B282" s="213"/>
      <c r="C282" s="356"/>
      <c r="D282" s="330"/>
      <c r="E282" s="157"/>
      <c r="F282" s="12"/>
    </row>
    <row r="283">
      <c r="A283" s="225"/>
      <c r="B283" s="213"/>
      <c r="C283" s="356"/>
      <c r="D283" s="330"/>
      <c r="E283" s="157"/>
      <c r="F283" s="12"/>
    </row>
    <row r="284">
      <c r="A284" s="225"/>
      <c r="B284" s="213"/>
      <c r="C284" s="356"/>
      <c r="D284" s="330"/>
      <c r="E284" s="157"/>
      <c r="F284" s="12"/>
    </row>
    <row r="285">
      <c r="A285" s="225"/>
      <c r="B285" s="213"/>
      <c r="C285" s="356"/>
      <c r="D285" s="330"/>
      <c r="E285" s="157"/>
      <c r="F285" s="12"/>
    </row>
    <row r="286">
      <c r="A286" s="225"/>
      <c r="B286" s="213"/>
      <c r="C286" s="356"/>
      <c r="D286" s="330"/>
      <c r="E286" s="157"/>
      <c r="F286" s="12"/>
    </row>
    <row r="287">
      <c r="A287" s="225"/>
      <c r="B287" s="213"/>
      <c r="C287" s="356"/>
      <c r="D287" s="330"/>
      <c r="E287" s="157"/>
      <c r="F287" s="12"/>
    </row>
    <row r="288">
      <c r="A288" s="225"/>
      <c r="B288" s="213"/>
      <c r="C288" s="356"/>
      <c r="D288" s="330"/>
      <c r="E288" s="157"/>
      <c r="F288" s="12"/>
    </row>
    <row r="289">
      <c r="A289" s="225"/>
      <c r="B289" s="213"/>
      <c r="C289" s="356"/>
      <c r="D289" s="330"/>
      <c r="E289" s="157"/>
      <c r="F289" s="12"/>
    </row>
    <row r="290">
      <c r="A290" s="225"/>
      <c r="B290" s="213"/>
      <c r="C290" s="356"/>
      <c r="D290" s="330"/>
      <c r="E290" s="157"/>
      <c r="F290" s="12"/>
    </row>
    <row r="291">
      <c r="A291" s="225"/>
      <c r="B291" s="213"/>
      <c r="C291" s="356"/>
      <c r="D291" s="330"/>
      <c r="E291" s="157"/>
      <c r="F291" s="12"/>
    </row>
    <row r="292">
      <c r="A292" s="225"/>
      <c r="B292" s="213"/>
      <c r="C292" s="356"/>
      <c r="D292" s="330"/>
      <c r="E292" s="157"/>
      <c r="F292" s="12"/>
    </row>
    <row r="293">
      <c r="A293" s="225"/>
      <c r="B293" s="213"/>
      <c r="C293" s="356"/>
      <c r="D293" s="330"/>
      <c r="E293" s="157"/>
      <c r="F293" s="12"/>
    </row>
    <row r="294">
      <c r="A294" s="225"/>
      <c r="B294" s="213"/>
      <c r="C294" s="356"/>
      <c r="D294" s="330"/>
      <c r="E294" s="157"/>
      <c r="F294" s="12"/>
    </row>
    <row r="295">
      <c r="A295" s="225"/>
      <c r="B295" s="213"/>
      <c r="C295" s="356"/>
      <c r="D295" s="330"/>
      <c r="E295" s="157"/>
      <c r="F295" s="12"/>
    </row>
    <row r="296">
      <c r="A296" s="225"/>
      <c r="B296" s="213"/>
      <c r="C296" s="356"/>
      <c r="D296" s="330"/>
      <c r="E296" s="157"/>
      <c r="F296" s="12"/>
    </row>
    <row r="297">
      <c r="A297" s="225"/>
      <c r="B297" s="213"/>
      <c r="C297" s="356"/>
      <c r="D297" s="330"/>
      <c r="E297" s="157"/>
      <c r="F297" s="12"/>
    </row>
    <row r="298">
      <c r="A298" s="225"/>
      <c r="B298" s="213"/>
      <c r="C298" s="356"/>
      <c r="D298" s="330"/>
      <c r="E298" s="157"/>
      <c r="F298" s="12"/>
    </row>
    <row r="299">
      <c r="A299" s="225"/>
      <c r="B299" s="213"/>
      <c r="C299" s="356"/>
      <c r="D299" s="330"/>
      <c r="E299" s="157"/>
      <c r="F299" s="12"/>
    </row>
    <row r="300">
      <c r="A300" s="225"/>
      <c r="B300" s="213"/>
      <c r="C300" s="356"/>
      <c r="D300" s="330"/>
      <c r="E300" s="157"/>
      <c r="F300" s="12"/>
    </row>
    <row r="301">
      <c r="A301" s="225"/>
      <c r="B301" s="213"/>
      <c r="C301" s="356"/>
      <c r="D301" s="330"/>
      <c r="E301" s="157"/>
      <c r="F301" s="12"/>
    </row>
    <row r="302">
      <c r="A302" s="225"/>
      <c r="B302" s="213"/>
      <c r="C302" s="356"/>
      <c r="D302" s="330"/>
      <c r="E302" s="157"/>
      <c r="F302" s="12"/>
    </row>
    <row r="303">
      <c r="A303" s="225"/>
      <c r="B303" s="213"/>
      <c r="C303" s="356"/>
      <c r="D303" s="330"/>
      <c r="E303" s="157"/>
      <c r="F303" s="12"/>
    </row>
    <row r="304">
      <c r="A304" s="225"/>
      <c r="B304" s="213"/>
      <c r="C304" s="356"/>
      <c r="D304" s="330"/>
      <c r="E304" s="157"/>
      <c r="F304" s="12"/>
    </row>
    <row r="305">
      <c r="A305" s="225"/>
      <c r="B305" s="213"/>
      <c r="C305" s="356"/>
      <c r="D305" s="330"/>
      <c r="E305" s="157"/>
      <c r="F305" s="12"/>
    </row>
    <row r="306">
      <c r="A306" s="225"/>
      <c r="B306" s="213"/>
      <c r="C306" s="356"/>
      <c r="D306" s="330"/>
      <c r="E306" s="157"/>
      <c r="F306" s="12"/>
    </row>
    <row r="307">
      <c r="A307" s="225"/>
      <c r="B307" s="213"/>
      <c r="C307" s="356"/>
      <c r="D307" s="330"/>
      <c r="E307" s="157"/>
      <c r="F307" s="12"/>
    </row>
    <row r="308">
      <c r="A308" s="225"/>
      <c r="B308" s="213"/>
      <c r="C308" s="356"/>
      <c r="D308" s="330"/>
      <c r="E308" s="157"/>
      <c r="F308" s="12"/>
    </row>
    <row r="309">
      <c r="A309" s="225"/>
      <c r="B309" s="213"/>
      <c r="C309" s="356"/>
      <c r="D309" s="330"/>
      <c r="E309" s="157"/>
      <c r="F309" s="12"/>
    </row>
    <row r="310">
      <c r="A310" s="225"/>
      <c r="B310" s="213"/>
      <c r="C310" s="356"/>
      <c r="D310" s="330"/>
      <c r="E310" s="157"/>
      <c r="F310" s="12"/>
    </row>
    <row r="311">
      <c r="A311" s="225"/>
      <c r="B311" s="213"/>
      <c r="C311" s="356"/>
      <c r="D311" s="330"/>
      <c r="E311" s="157"/>
      <c r="F311" s="12"/>
    </row>
    <row r="312">
      <c r="A312" s="225"/>
      <c r="B312" s="213"/>
      <c r="C312" s="356"/>
      <c r="D312" s="330"/>
      <c r="E312" s="157"/>
      <c r="F312" s="12"/>
    </row>
    <row r="313">
      <c r="A313" s="225"/>
      <c r="B313" s="213"/>
      <c r="C313" s="356"/>
      <c r="D313" s="330"/>
      <c r="E313" s="157"/>
      <c r="F313" s="12"/>
    </row>
    <row r="314">
      <c r="A314" s="225"/>
      <c r="B314" s="213"/>
      <c r="C314" s="356"/>
      <c r="D314" s="330"/>
      <c r="E314" s="157"/>
      <c r="F314" s="12"/>
    </row>
    <row r="315">
      <c r="A315" s="225"/>
      <c r="B315" s="213"/>
      <c r="C315" s="356"/>
      <c r="D315" s="330"/>
      <c r="E315" s="157"/>
      <c r="F315" s="12"/>
    </row>
    <row r="316">
      <c r="A316" s="225"/>
      <c r="B316" s="213"/>
      <c r="C316" s="356"/>
      <c r="D316" s="330"/>
      <c r="E316" s="157"/>
      <c r="F316" s="12"/>
    </row>
    <row r="317">
      <c r="A317" s="225"/>
      <c r="B317" s="213"/>
      <c r="C317" s="356"/>
      <c r="D317" s="330"/>
      <c r="E317" s="157"/>
      <c r="F317" s="12"/>
    </row>
    <row r="318">
      <c r="A318" s="225"/>
      <c r="B318" s="213"/>
      <c r="C318" s="356"/>
      <c r="D318" s="330"/>
      <c r="E318" s="157"/>
      <c r="F318" s="12"/>
    </row>
    <row r="319">
      <c r="A319" s="225"/>
      <c r="B319" s="213"/>
      <c r="C319" s="356"/>
      <c r="D319" s="330"/>
      <c r="E319" s="157"/>
      <c r="F319" s="12"/>
    </row>
    <row r="320">
      <c r="A320" s="225"/>
      <c r="B320" s="213"/>
      <c r="C320" s="356"/>
      <c r="D320" s="330"/>
      <c r="E320" s="157"/>
      <c r="F320" s="12"/>
    </row>
    <row r="321">
      <c r="A321" s="225"/>
      <c r="B321" s="213"/>
      <c r="C321" s="356"/>
      <c r="D321" s="330"/>
      <c r="E321" s="157"/>
      <c r="F321" s="12"/>
    </row>
    <row r="322">
      <c r="A322" s="225"/>
      <c r="B322" s="213"/>
      <c r="C322" s="356"/>
      <c r="D322" s="330"/>
      <c r="E322" s="157"/>
      <c r="F322" s="12"/>
    </row>
    <row r="323">
      <c r="A323" s="225"/>
      <c r="B323" s="213"/>
      <c r="C323" s="356"/>
      <c r="D323" s="330"/>
      <c r="E323" s="157"/>
      <c r="F323" s="12"/>
    </row>
    <row r="324">
      <c r="A324" s="225"/>
      <c r="B324" s="213"/>
      <c r="C324" s="356"/>
      <c r="D324" s="330"/>
      <c r="E324" s="157"/>
      <c r="F324" s="12"/>
    </row>
    <row r="325">
      <c r="A325" s="225"/>
      <c r="B325" s="213"/>
      <c r="C325" s="356"/>
      <c r="D325" s="330"/>
      <c r="E325" s="157"/>
      <c r="F325" s="12"/>
    </row>
    <row r="326">
      <c r="A326" s="225"/>
      <c r="B326" s="213"/>
      <c r="C326" s="356"/>
      <c r="D326" s="330"/>
      <c r="E326" s="157"/>
      <c r="F326" s="12"/>
    </row>
    <row r="327">
      <c r="A327" s="225"/>
      <c r="B327" s="213"/>
      <c r="C327" s="356"/>
      <c r="D327" s="330"/>
      <c r="E327" s="157"/>
      <c r="F327" s="12"/>
    </row>
    <row r="328">
      <c r="A328" s="225"/>
      <c r="B328" s="213"/>
      <c r="C328" s="356"/>
      <c r="D328" s="330"/>
      <c r="E328" s="157"/>
      <c r="F328" s="12"/>
    </row>
    <row r="329">
      <c r="A329" s="225"/>
      <c r="B329" s="213"/>
      <c r="C329" s="356"/>
      <c r="D329" s="330"/>
      <c r="E329" s="157"/>
      <c r="F329" s="12"/>
    </row>
    <row r="330">
      <c r="A330" s="225"/>
      <c r="B330" s="213"/>
      <c r="C330" s="356"/>
      <c r="D330" s="330"/>
      <c r="E330" s="157"/>
      <c r="F330" s="12"/>
    </row>
    <row r="331">
      <c r="A331" s="225"/>
      <c r="B331" s="213"/>
      <c r="C331" s="356"/>
      <c r="D331" s="330"/>
      <c r="E331" s="157"/>
      <c r="F331" s="12"/>
    </row>
    <row r="332">
      <c r="A332" s="225"/>
      <c r="B332" s="213"/>
      <c r="C332" s="356"/>
      <c r="D332" s="330"/>
      <c r="E332" s="157"/>
      <c r="F332" s="12"/>
    </row>
    <row r="333">
      <c r="A333" s="225"/>
      <c r="B333" s="213"/>
      <c r="C333" s="356"/>
      <c r="D333" s="330"/>
      <c r="E333" s="157"/>
      <c r="F333" s="12"/>
    </row>
    <row r="334">
      <c r="A334" s="225"/>
      <c r="B334" s="213"/>
      <c r="C334" s="356"/>
      <c r="D334" s="330"/>
      <c r="E334" s="157"/>
      <c r="F334" s="12"/>
    </row>
    <row r="335">
      <c r="A335" s="225"/>
      <c r="B335" s="213"/>
      <c r="C335" s="356"/>
      <c r="D335" s="330"/>
      <c r="E335" s="157"/>
      <c r="F335" s="12"/>
    </row>
    <row r="336">
      <c r="A336" s="225"/>
      <c r="B336" s="213"/>
      <c r="C336" s="356"/>
      <c r="D336" s="330"/>
      <c r="E336" s="157"/>
      <c r="F336" s="12"/>
    </row>
    <row r="337">
      <c r="A337" s="225"/>
      <c r="B337" s="213"/>
      <c r="C337" s="356"/>
      <c r="D337" s="330"/>
      <c r="E337" s="157"/>
      <c r="F337" s="12"/>
    </row>
    <row r="338">
      <c r="A338" s="225"/>
      <c r="B338" s="213"/>
      <c r="C338" s="356"/>
      <c r="D338" s="330"/>
      <c r="E338" s="157"/>
      <c r="F338" s="12"/>
    </row>
    <row r="339">
      <c r="A339" s="225"/>
      <c r="B339" s="213"/>
      <c r="C339" s="356"/>
      <c r="D339" s="330"/>
      <c r="E339" s="157"/>
      <c r="F339" s="12"/>
    </row>
    <row r="340">
      <c r="A340" s="225"/>
      <c r="B340" s="213"/>
      <c r="C340" s="356"/>
      <c r="D340" s="330"/>
      <c r="E340" s="157"/>
      <c r="F340" s="12"/>
    </row>
    <row r="341">
      <c r="A341" s="225"/>
      <c r="B341" s="213"/>
      <c r="C341" s="356"/>
      <c r="D341" s="330"/>
      <c r="E341" s="157"/>
      <c r="F341" s="12"/>
    </row>
    <row r="342">
      <c r="A342" s="225"/>
      <c r="B342" s="213"/>
      <c r="C342" s="356"/>
      <c r="D342" s="330"/>
      <c r="E342" s="157"/>
      <c r="F342" s="12"/>
    </row>
    <row r="343">
      <c r="A343" s="225"/>
      <c r="B343" s="213"/>
      <c r="C343" s="356"/>
      <c r="D343" s="330"/>
      <c r="E343" s="157"/>
      <c r="F343" s="12"/>
    </row>
    <row r="344">
      <c r="A344" s="225"/>
      <c r="B344" s="213"/>
      <c r="C344" s="356"/>
      <c r="D344" s="330"/>
      <c r="E344" s="157"/>
      <c r="F344" s="12"/>
    </row>
    <row r="345">
      <c r="A345" s="225"/>
      <c r="B345" s="213"/>
      <c r="C345" s="356"/>
      <c r="D345" s="330"/>
      <c r="E345" s="157"/>
      <c r="F345" s="12"/>
    </row>
    <row r="346">
      <c r="A346" s="225"/>
      <c r="B346" s="213"/>
      <c r="C346" s="356"/>
      <c r="D346" s="330"/>
      <c r="E346" s="157"/>
      <c r="F346" s="12"/>
    </row>
    <row r="347">
      <c r="A347" s="225"/>
      <c r="B347" s="213"/>
      <c r="C347" s="356"/>
      <c r="D347" s="330"/>
      <c r="E347" s="157"/>
      <c r="F347" s="12"/>
    </row>
    <row r="348">
      <c r="A348" s="225"/>
      <c r="B348" s="213"/>
      <c r="C348" s="356"/>
      <c r="D348" s="330"/>
      <c r="E348" s="157"/>
      <c r="F348" s="12"/>
    </row>
    <row r="349">
      <c r="A349" s="225"/>
      <c r="B349" s="213"/>
      <c r="C349" s="356"/>
      <c r="D349" s="330"/>
      <c r="E349" s="157"/>
      <c r="F349" s="12"/>
    </row>
    <row r="350">
      <c r="A350" s="225"/>
      <c r="B350" s="213"/>
      <c r="C350" s="356"/>
      <c r="D350" s="330"/>
      <c r="E350" s="157"/>
      <c r="F350" s="12"/>
    </row>
    <row r="351">
      <c r="A351" s="225"/>
      <c r="B351" s="213"/>
      <c r="C351" s="356"/>
      <c r="D351" s="330"/>
      <c r="E351" s="157"/>
      <c r="F351" s="12"/>
    </row>
    <row r="352">
      <c r="A352" s="225"/>
      <c r="B352" s="213"/>
      <c r="C352" s="356"/>
      <c r="D352" s="330"/>
      <c r="E352" s="157"/>
      <c r="F352" s="12"/>
    </row>
    <row r="353">
      <c r="A353" s="225"/>
      <c r="B353" s="213"/>
      <c r="C353" s="356"/>
      <c r="D353" s="330"/>
      <c r="E353" s="157"/>
      <c r="F353" s="12"/>
    </row>
    <row r="354">
      <c r="A354" s="225"/>
      <c r="B354" s="213"/>
      <c r="C354" s="356"/>
      <c r="D354" s="330"/>
      <c r="E354" s="157"/>
      <c r="F354" s="12"/>
    </row>
    <row r="355">
      <c r="A355" s="225"/>
      <c r="B355" s="213"/>
      <c r="C355" s="356"/>
      <c r="D355" s="330"/>
      <c r="E355" s="157"/>
      <c r="F355" s="12"/>
    </row>
    <row r="356">
      <c r="A356" s="225"/>
      <c r="B356" s="213"/>
      <c r="C356" s="356"/>
      <c r="D356" s="330"/>
      <c r="E356" s="157"/>
      <c r="F356" s="12"/>
    </row>
    <row r="357">
      <c r="A357" s="225"/>
      <c r="B357" s="213"/>
      <c r="C357" s="356"/>
      <c r="D357" s="330"/>
      <c r="E357" s="157"/>
      <c r="F357" s="12"/>
    </row>
    <row r="358">
      <c r="A358" s="225"/>
      <c r="B358" s="213"/>
      <c r="C358" s="356"/>
      <c r="D358" s="330"/>
      <c r="E358" s="157"/>
      <c r="F358" s="12"/>
    </row>
    <row r="359">
      <c r="A359" s="225"/>
      <c r="B359" s="213"/>
      <c r="C359" s="356"/>
      <c r="D359" s="330"/>
      <c r="E359" s="157"/>
      <c r="F359" s="12"/>
    </row>
    <row r="360">
      <c r="A360" s="225"/>
      <c r="B360" s="213"/>
      <c r="C360" s="356"/>
      <c r="D360" s="330"/>
      <c r="E360" s="157"/>
      <c r="F360" s="12"/>
    </row>
    <row r="361">
      <c r="A361" s="225"/>
      <c r="B361" s="213"/>
      <c r="C361" s="356"/>
      <c r="D361" s="330"/>
      <c r="E361" s="157"/>
      <c r="F361" s="12"/>
    </row>
    <row r="362">
      <c r="A362" s="225"/>
      <c r="B362" s="213"/>
      <c r="C362" s="356"/>
      <c r="D362" s="330"/>
      <c r="E362" s="157"/>
      <c r="F362" s="12"/>
    </row>
    <row r="363">
      <c r="A363" s="225"/>
      <c r="B363" s="213"/>
      <c r="C363" s="356"/>
      <c r="D363" s="330"/>
      <c r="E363" s="157"/>
      <c r="F363" s="12"/>
    </row>
    <row r="364">
      <c r="A364" s="225"/>
      <c r="B364" s="213"/>
      <c r="C364" s="356"/>
      <c r="D364" s="330"/>
      <c r="E364" s="157"/>
      <c r="F364" s="12"/>
    </row>
    <row r="365">
      <c r="A365" s="225"/>
      <c r="B365" s="213"/>
      <c r="C365" s="356"/>
      <c r="D365" s="330"/>
      <c r="E365" s="157"/>
      <c r="F365" s="12"/>
    </row>
    <row r="366">
      <c r="A366" s="225"/>
      <c r="B366" s="213"/>
      <c r="C366" s="356"/>
      <c r="D366" s="330"/>
      <c r="E366" s="157"/>
      <c r="F366" s="12"/>
    </row>
    <row r="367">
      <c r="A367" s="225"/>
      <c r="B367" s="213"/>
      <c r="C367" s="356"/>
      <c r="D367" s="330"/>
      <c r="E367" s="157"/>
      <c r="F367" s="12"/>
    </row>
    <row r="368">
      <c r="A368" s="225"/>
      <c r="B368" s="213"/>
      <c r="C368" s="356"/>
      <c r="D368" s="330"/>
      <c r="E368" s="157"/>
      <c r="F368" s="12"/>
    </row>
    <row r="369">
      <c r="A369" s="225"/>
      <c r="B369" s="213"/>
      <c r="C369" s="356"/>
      <c r="D369" s="330"/>
      <c r="E369" s="157"/>
      <c r="F369" s="12"/>
    </row>
    <row r="370">
      <c r="A370" s="225"/>
      <c r="B370" s="213"/>
      <c r="C370" s="356"/>
      <c r="D370" s="330"/>
      <c r="E370" s="157"/>
      <c r="F370" s="12"/>
    </row>
    <row r="371">
      <c r="A371" s="225"/>
      <c r="B371" s="213"/>
      <c r="C371" s="356"/>
      <c r="D371" s="330"/>
      <c r="E371" s="157"/>
      <c r="F371" s="12"/>
    </row>
    <row r="372">
      <c r="A372" s="225"/>
      <c r="B372" s="213"/>
      <c r="C372" s="356"/>
      <c r="D372" s="330"/>
      <c r="E372" s="157"/>
      <c r="F372" s="12"/>
    </row>
    <row r="373">
      <c r="A373" s="225"/>
      <c r="B373" s="213"/>
      <c r="C373" s="356"/>
      <c r="D373" s="330"/>
      <c r="E373" s="157"/>
      <c r="F373" s="12"/>
    </row>
    <row r="374">
      <c r="A374" s="225"/>
      <c r="B374" s="213"/>
      <c r="C374" s="356"/>
      <c r="D374" s="330"/>
      <c r="E374" s="157"/>
      <c r="F374" s="12"/>
    </row>
    <row r="375">
      <c r="A375" s="225"/>
      <c r="B375" s="213"/>
      <c r="C375" s="356"/>
      <c r="D375" s="330"/>
      <c r="E375" s="157"/>
      <c r="F375" s="12"/>
    </row>
    <row r="376">
      <c r="A376" s="225"/>
      <c r="B376" s="213"/>
      <c r="C376" s="356"/>
      <c r="D376" s="330"/>
      <c r="E376" s="157"/>
      <c r="F376" s="12"/>
    </row>
    <row r="377">
      <c r="A377" s="225"/>
      <c r="B377" s="213"/>
      <c r="C377" s="356"/>
      <c r="D377" s="330"/>
      <c r="E377" s="157"/>
      <c r="F377" s="12"/>
    </row>
    <row r="378">
      <c r="A378" s="225"/>
      <c r="B378" s="213"/>
      <c r="C378" s="356"/>
      <c r="D378" s="330"/>
      <c r="E378" s="157"/>
      <c r="F378" s="12"/>
    </row>
    <row r="379">
      <c r="A379" s="225"/>
      <c r="B379" s="213"/>
      <c r="C379" s="356"/>
      <c r="D379" s="330"/>
      <c r="E379" s="157"/>
      <c r="F379" s="12"/>
    </row>
    <row r="380">
      <c r="A380" s="225"/>
      <c r="B380" s="213"/>
      <c r="C380" s="356"/>
      <c r="D380" s="330"/>
      <c r="E380" s="157"/>
      <c r="F380" s="12"/>
    </row>
    <row r="381">
      <c r="A381" s="225"/>
      <c r="B381" s="213"/>
      <c r="C381" s="356"/>
      <c r="D381" s="330"/>
      <c r="E381" s="157"/>
      <c r="F381" s="12"/>
    </row>
    <row r="382">
      <c r="A382" s="225"/>
      <c r="B382" s="213"/>
      <c r="C382" s="356"/>
      <c r="D382" s="330"/>
      <c r="E382" s="157"/>
      <c r="F382" s="12"/>
    </row>
    <row r="383">
      <c r="A383" s="225"/>
      <c r="B383" s="213"/>
      <c r="C383" s="356"/>
      <c r="D383" s="330"/>
      <c r="E383" s="157"/>
      <c r="F383" s="12"/>
    </row>
    <row r="384">
      <c r="A384" s="225"/>
      <c r="B384" s="213"/>
      <c r="C384" s="356"/>
      <c r="D384" s="330"/>
      <c r="E384" s="157"/>
      <c r="F384" s="12"/>
    </row>
    <row r="385">
      <c r="A385" s="225"/>
      <c r="B385" s="213"/>
      <c r="C385" s="356"/>
      <c r="D385" s="330"/>
      <c r="E385" s="157"/>
      <c r="F385" s="12"/>
    </row>
    <row r="386">
      <c r="A386" s="225"/>
      <c r="B386" s="213"/>
      <c r="C386" s="356"/>
      <c r="D386" s="330"/>
      <c r="E386" s="157"/>
      <c r="F386" s="12"/>
    </row>
    <row r="387">
      <c r="A387" s="225"/>
      <c r="B387" s="213"/>
      <c r="C387" s="356"/>
      <c r="D387" s="330"/>
      <c r="E387" s="157"/>
      <c r="F387" s="12"/>
    </row>
    <row r="388">
      <c r="A388" s="225"/>
      <c r="B388" s="213"/>
      <c r="C388" s="356"/>
      <c r="D388" s="330"/>
      <c r="E388" s="157"/>
      <c r="F388" s="12"/>
    </row>
    <row r="389">
      <c r="A389" s="225"/>
      <c r="B389" s="213"/>
      <c r="C389" s="356"/>
      <c r="D389" s="330"/>
      <c r="E389" s="157"/>
      <c r="F389" s="12"/>
    </row>
    <row r="390">
      <c r="A390" s="225"/>
      <c r="B390" s="213"/>
      <c r="C390" s="356"/>
      <c r="D390" s="330"/>
      <c r="E390" s="157"/>
      <c r="F390" s="12"/>
    </row>
    <row r="391">
      <c r="A391" s="225"/>
      <c r="B391" s="213"/>
      <c r="C391" s="356"/>
      <c r="D391" s="330"/>
      <c r="E391" s="157"/>
      <c r="F391" s="12"/>
    </row>
    <row r="392">
      <c r="A392" s="225"/>
      <c r="B392" s="213"/>
      <c r="C392" s="356"/>
      <c r="D392" s="330"/>
      <c r="E392" s="157"/>
      <c r="F392" s="12"/>
    </row>
    <row r="393">
      <c r="A393" s="225"/>
      <c r="B393" s="213"/>
      <c r="C393" s="356"/>
      <c r="D393" s="330"/>
      <c r="E393" s="157"/>
      <c r="F393" s="12"/>
    </row>
    <row r="394">
      <c r="A394" s="225"/>
      <c r="B394" s="213"/>
      <c r="C394" s="356"/>
      <c r="D394" s="330"/>
      <c r="E394" s="157"/>
      <c r="F394" s="12"/>
    </row>
    <row r="395">
      <c r="A395" s="225"/>
      <c r="B395" s="213"/>
      <c r="C395" s="356"/>
      <c r="D395" s="330"/>
      <c r="E395" s="157"/>
      <c r="F395" s="12"/>
    </row>
    <row r="396">
      <c r="A396" s="225"/>
      <c r="B396" s="213"/>
      <c r="C396" s="356"/>
      <c r="D396" s="330"/>
      <c r="E396" s="157"/>
      <c r="F396" s="12"/>
    </row>
    <row r="397">
      <c r="A397" s="225"/>
      <c r="B397" s="213"/>
      <c r="C397" s="356"/>
      <c r="D397" s="330"/>
      <c r="E397" s="157"/>
      <c r="F397" s="12"/>
    </row>
    <row r="398">
      <c r="A398" s="225"/>
      <c r="B398" s="213"/>
      <c r="C398" s="356"/>
      <c r="D398" s="330"/>
      <c r="E398" s="157"/>
      <c r="F398" s="12"/>
    </row>
    <row r="399">
      <c r="A399" s="225"/>
      <c r="B399" s="213"/>
      <c r="C399" s="356"/>
      <c r="D399" s="330"/>
      <c r="E399" s="157"/>
      <c r="F399" s="12"/>
    </row>
    <row r="400">
      <c r="A400" s="225"/>
      <c r="B400" s="213"/>
      <c r="C400" s="356"/>
      <c r="D400" s="330"/>
      <c r="E400" s="157"/>
      <c r="F400" s="12"/>
    </row>
    <row r="401">
      <c r="A401" s="225"/>
      <c r="B401" s="213"/>
      <c r="C401" s="356"/>
      <c r="D401" s="330"/>
      <c r="E401" s="157"/>
      <c r="F401" s="12"/>
    </row>
    <row r="402">
      <c r="A402" s="225"/>
      <c r="B402" s="213"/>
      <c r="C402" s="356"/>
      <c r="D402" s="330"/>
      <c r="E402" s="157"/>
      <c r="F402" s="12"/>
    </row>
    <row r="403">
      <c r="A403" s="225"/>
      <c r="B403" s="213"/>
      <c r="C403" s="356"/>
      <c r="D403" s="330"/>
      <c r="E403" s="157"/>
      <c r="F403" s="12"/>
    </row>
    <row r="404">
      <c r="A404" s="225"/>
      <c r="B404" s="213"/>
      <c r="C404" s="356"/>
      <c r="D404" s="330"/>
      <c r="E404" s="157"/>
      <c r="F404" s="12"/>
    </row>
    <row r="405">
      <c r="A405" s="225"/>
      <c r="B405" s="213"/>
      <c r="C405" s="356"/>
      <c r="D405" s="330"/>
      <c r="E405" s="157"/>
      <c r="F405" s="12"/>
    </row>
    <row r="406">
      <c r="A406" s="225"/>
      <c r="B406" s="213"/>
      <c r="C406" s="356"/>
      <c r="D406" s="330"/>
      <c r="E406" s="157"/>
      <c r="F406" s="12"/>
    </row>
    <row r="407">
      <c r="A407" s="225"/>
      <c r="B407" s="213"/>
      <c r="C407" s="356"/>
      <c r="D407" s="330"/>
      <c r="E407" s="157"/>
      <c r="F407" s="12"/>
    </row>
    <row r="408">
      <c r="A408" s="225"/>
      <c r="B408" s="213"/>
      <c r="C408" s="356"/>
      <c r="D408" s="330"/>
      <c r="E408" s="157"/>
      <c r="F408" s="12"/>
    </row>
    <row r="409">
      <c r="A409" s="225"/>
      <c r="B409" s="213"/>
      <c r="C409" s="356"/>
      <c r="D409" s="330"/>
      <c r="E409" s="157"/>
      <c r="F409" s="12"/>
    </row>
    <row r="410">
      <c r="A410" s="225"/>
      <c r="B410" s="213"/>
      <c r="C410" s="356"/>
      <c r="D410" s="330"/>
      <c r="E410" s="157"/>
      <c r="F410" s="12"/>
    </row>
    <row r="411">
      <c r="A411" s="225"/>
      <c r="B411" s="213"/>
      <c r="C411" s="356"/>
      <c r="D411" s="330"/>
      <c r="E411" s="157"/>
      <c r="F411" s="12"/>
    </row>
    <row r="412">
      <c r="A412" s="225"/>
      <c r="B412" s="213"/>
      <c r="C412" s="356"/>
      <c r="D412" s="330"/>
      <c r="E412" s="157"/>
      <c r="F412" s="12"/>
    </row>
    <row r="413">
      <c r="A413" s="225"/>
      <c r="B413" s="213"/>
      <c r="C413" s="356"/>
      <c r="D413" s="330"/>
      <c r="E413" s="157"/>
      <c r="F413" s="12"/>
    </row>
    <row r="414">
      <c r="A414" s="225"/>
      <c r="B414" s="213"/>
      <c r="C414" s="356"/>
      <c r="D414" s="330"/>
      <c r="E414" s="157"/>
      <c r="F414" s="12"/>
    </row>
    <row r="415">
      <c r="A415" s="225"/>
      <c r="B415" s="213"/>
      <c r="C415" s="356"/>
      <c r="D415" s="330"/>
      <c r="E415" s="157"/>
      <c r="F415" s="12"/>
    </row>
    <row r="416">
      <c r="A416" s="225"/>
      <c r="B416" s="213"/>
      <c r="C416" s="356"/>
      <c r="D416" s="330"/>
      <c r="E416" s="157"/>
      <c r="F416" s="12"/>
    </row>
    <row r="417">
      <c r="A417" s="225"/>
      <c r="B417" s="213"/>
      <c r="C417" s="356"/>
      <c r="D417" s="330"/>
      <c r="E417" s="157"/>
      <c r="F417" s="12"/>
    </row>
    <row r="418">
      <c r="A418" s="225"/>
      <c r="B418" s="213"/>
      <c r="C418" s="356"/>
      <c r="D418" s="330"/>
      <c r="E418" s="157"/>
      <c r="F418" s="12"/>
    </row>
    <row r="419">
      <c r="A419" s="225"/>
      <c r="B419" s="213"/>
      <c r="C419" s="356"/>
      <c r="D419" s="330"/>
      <c r="E419" s="157"/>
      <c r="F419" s="12"/>
    </row>
    <row r="420">
      <c r="A420" s="225"/>
      <c r="B420" s="213"/>
      <c r="C420" s="356"/>
      <c r="D420" s="330"/>
      <c r="E420" s="157"/>
      <c r="F420" s="12"/>
    </row>
    <row r="421">
      <c r="A421" s="225"/>
      <c r="B421" s="213"/>
      <c r="C421" s="356"/>
      <c r="D421" s="330"/>
      <c r="E421" s="157"/>
      <c r="F421" s="12"/>
    </row>
    <row r="422">
      <c r="A422" s="225"/>
      <c r="B422" s="213"/>
      <c r="C422" s="356"/>
      <c r="D422" s="330"/>
      <c r="E422" s="157"/>
      <c r="F422" s="12"/>
    </row>
    <row r="423">
      <c r="A423" s="225"/>
      <c r="B423" s="213"/>
      <c r="C423" s="356"/>
      <c r="D423" s="330"/>
      <c r="E423" s="157"/>
      <c r="F423" s="12"/>
    </row>
    <row r="424">
      <c r="A424" s="225"/>
      <c r="B424" s="213"/>
      <c r="C424" s="356"/>
      <c r="D424" s="330"/>
      <c r="E424" s="157"/>
      <c r="F424" s="12"/>
    </row>
    <row r="425">
      <c r="A425" s="225"/>
      <c r="B425" s="213"/>
      <c r="C425" s="356"/>
      <c r="D425" s="330"/>
      <c r="E425" s="157"/>
      <c r="F425" s="12"/>
    </row>
    <row r="426">
      <c r="A426" s="225"/>
      <c r="B426" s="213"/>
      <c r="C426" s="356"/>
      <c r="D426" s="330"/>
      <c r="E426" s="157"/>
      <c r="F426" s="12"/>
    </row>
    <row r="427">
      <c r="A427" s="225"/>
      <c r="B427" s="213"/>
      <c r="C427" s="356"/>
      <c r="D427" s="330"/>
      <c r="E427" s="157"/>
      <c r="F427" s="12"/>
    </row>
    <row r="428">
      <c r="A428" s="225"/>
      <c r="B428" s="213"/>
      <c r="C428" s="356"/>
      <c r="D428" s="330"/>
      <c r="E428" s="157"/>
      <c r="F428" s="12"/>
    </row>
    <row r="429">
      <c r="A429" s="225"/>
      <c r="B429" s="213"/>
      <c r="C429" s="356"/>
      <c r="D429" s="330"/>
      <c r="E429" s="157"/>
      <c r="F429" s="12"/>
    </row>
    <row r="430">
      <c r="A430" s="225"/>
      <c r="B430" s="213"/>
      <c r="C430" s="356"/>
      <c r="D430" s="330"/>
      <c r="E430" s="157"/>
      <c r="F430" s="12"/>
    </row>
    <row r="431">
      <c r="A431" s="225"/>
      <c r="B431" s="213"/>
      <c r="C431" s="356"/>
      <c r="D431" s="330"/>
      <c r="E431" s="157"/>
      <c r="F431" s="12"/>
    </row>
    <row r="432">
      <c r="A432" s="225"/>
      <c r="B432" s="213"/>
      <c r="C432" s="356"/>
      <c r="D432" s="330"/>
      <c r="E432" s="157"/>
      <c r="F432" s="12"/>
    </row>
    <row r="433">
      <c r="A433" s="225"/>
      <c r="B433" s="213"/>
      <c r="C433" s="356"/>
      <c r="D433" s="330"/>
      <c r="E433" s="157"/>
      <c r="F433" s="12"/>
    </row>
    <row r="434">
      <c r="A434" s="225"/>
      <c r="B434" s="213"/>
      <c r="C434" s="356"/>
      <c r="D434" s="330"/>
      <c r="E434" s="157"/>
      <c r="F434" s="12"/>
    </row>
    <row r="435">
      <c r="A435" s="225"/>
      <c r="B435" s="213"/>
      <c r="C435" s="356"/>
      <c r="D435" s="330"/>
      <c r="E435" s="157"/>
      <c r="F435" s="12"/>
    </row>
    <row r="436">
      <c r="A436" s="225"/>
      <c r="B436" s="213"/>
      <c r="C436" s="356"/>
      <c r="D436" s="330"/>
      <c r="E436" s="157"/>
      <c r="F436" s="12"/>
    </row>
    <row r="437">
      <c r="A437" s="225"/>
      <c r="B437" s="213"/>
      <c r="C437" s="356"/>
      <c r="D437" s="330"/>
      <c r="E437" s="157"/>
      <c r="F437" s="12"/>
    </row>
    <row r="438">
      <c r="A438" s="225"/>
      <c r="B438" s="213"/>
      <c r="C438" s="356"/>
      <c r="D438" s="330"/>
      <c r="E438" s="157"/>
      <c r="F438" s="12"/>
    </row>
    <row r="439">
      <c r="A439" s="225"/>
      <c r="B439" s="213"/>
      <c r="C439" s="356"/>
      <c r="D439" s="330"/>
      <c r="E439" s="157"/>
      <c r="F439" s="12"/>
    </row>
    <row r="440">
      <c r="A440" s="225"/>
      <c r="B440" s="213"/>
      <c r="C440" s="356"/>
      <c r="D440" s="330"/>
      <c r="E440" s="157"/>
      <c r="F440" s="12"/>
    </row>
    <row r="441">
      <c r="A441" s="225"/>
      <c r="B441" s="213"/>
      <c r="C441" s="356"/>
      <c r="D441" s="330"/>
      <c r="E441" s="157"/>
      <c r="F441" s="12"/>
    </row>
    <row r="442">
      <c r="A442" s="225"/>
      <c r="B442" s="213"/>
      <c r="C442" s="356"/>
      <c r="D442" s="330"/>
      <c r="E442" s="157"/>
      <c r="F442" s="12"/>
    </row>
    <row r="443">
      <c r="A443" s="225"/>
      <c r="B443" s="213"/>
      <c r="C443" s="356"/>
      <c r="D443" s="330"/>
      <c r="E443" s="157"/>
      <c r="F443" s="12"/>
    </row>
    <row r="444">
      <c r="A444" s="225"/>
      <c r="B444" s="213"/>
      <c r="C444" s="356"/>
      <c r="D444" s="330"/>
      <c r="E444" s="157"/>
      <c r="F444" s="12"/>
    </row>
    <row r="445">
      <c r="A445" s="225"/>
      <c r="B445" s="213"/>
      <c r="C445" s="356"/>
      <c r="D445" s="330"/>
      <c r="E445" s="157"/>
      <c r="F445" s="12"/>
    </row>
    <row r="446">
      <c r="A446" s="225"/>
      <c r="B446" s="213"/>
      <c r="C446" s="356"/>
      <c r="D446" s="330"/>
      <c r="E446" s="157"/>
      <c r="F446" s="12"/>
    </row>
    <row r="447">
      <c r="A447" s="225"/>
      <c r="B447" s="213"/>
      <c r="C447" s="356"/>
      <c r="D447" s="330"/>
      <c r="E447" s="157"/>
      <c r="F447" s="12"/>
    </row>
    <row r="448">
      <c r="A448" s="225"/>
      <c r="B448" s="213"/>
      <c r="C448" s="356"/>
      <c r="D448" s="330"/>
      <c r="E448" s="157"/>
      <c r="F448" s="12"/>
    </row>
    <row r="449">
      <c r="A449" s="225"/>
      <c r="B449" s="213"/>
      <c r="C449" s="356"/>
      <c r="D449" s="330"/>
      <c r="E449" s="157"/>
      <c r="F449" s="12"/>
    </row>
    <row r="450">
      <c r="A450" s="225"/>
      <c r="B450" s="213"/>
      <c r="C450" s="356"/>
      <c r="D450" s="330"/>
      <c r="E450" s="157"/>
      <c r="F450" s="12"/>
    </row>
    <row r="451">
      <c r="A451" s="225"/>
      <c r="B451" s="213"/>
      <c r="C451" s="356"/>
      <c r="D451" s="330"/>
      <c r="E451" s="157"/>
      <c r="F451" s="12"/>
    </row>
    <row r="452">
      <c r="A452" s="225"/>
      <c r="B452" s="213"/>
      <c r="C452" s="356"/>
      <c r="D452" s="330"/>
      <c r="E452" s="157"/>
      <c r="F452" s="12"/>
    </row>
    <row r="453">
      <c r="A453" s="225"/>
      <c r="B453" s="213"/>
      <c r="C453" s="356"/>
      <c r="D453" s="330"/>
      <c r="E453" s="157"/>
      <c r="F453" s="12"/>
    </row>
    <row r="454">
      <c r="A454" s="225"/>
      <c r="B454" s="213"/>
      <c r="C454" s="356"/>
      <c r="D454" s="330"/>
      <c r="E454" s="157"/>
      <c r="F454" s="12"/>
    </row>
    <row r="455">
      <c r="A455" s="225"/>
      <c r="B455" s="213"/>
      <c r="C455" s="356"/>
      <c r="D455" s="330"/>
      <c r="E455" s="157"/>
      <c r="F455" s="12"/>
    </row>
    <row r="456">
      <c r="A456" s="225"/>
      <c r="B456" s="213"/>
      <c r="C456" s="356"/>
      <c r="D456" s="330"/>
      <c r="E456" s="157"/>
      <c r="F456" s="12"/>
    </row>
    <row r="457">
      <c r="A457" s="225"/>
      <c r="B457" s="213"/>
      <c r="C457" s="356"/>
      <c r="D457" s="330"/>
      <c r="E457" s="157"/>
      <c r="F457" s="12"/>
    </row>
    <row r="458">
      <c r="A458" s="225"/>
      <c r="B458" s="213"/>
      <c r="C458" s="356"/>
      <c r="D458" s="330"/>
      <c r="E458" s="157"/>
      <c r="F458" s="12"/>
    </row>
    <row r="459">
      <c r="A459" s="225"/>
      <c r="B459" s="213"/>
      <c r="C459" s="356"/>
      <c r="D459" s="330"/>
      <c r="E459" s="157"/>
      <c r="F459" s="12"/>
    </row>
    <row r="460">
      <c r="A460" s="225"/>
      <c r="B460" s="213"/>
      <c r="C460" s="356"/>
      <c r="D460" s="330"/>
      <c r="E460" s="157"/>
      <c r="F460" s="12"/>
    </row>
    <row r="461">
      <c r="A461" s="225"/>
      <c r="B461" s="213"/>
      <c r="C461" s="356"/>
      <c r="D461" s="330"/>
      <c r="E461" s="157"/>
      <c r="F461" s="12"/>
    </row>
    <row r="462">
      <c r="A462" s="225"/>
      <c r="B462" s="213"/>
      <c r="C462" s="356"/>
      <c r="D462" s="330"/>
      <c r="E462" s="157"/>
      <c r="F462" s="12"/>
    </row>
    <row r="463">
      <c r="A463" s="225"/>
      <c r="B463" s="213"/>
      <c r="C463" s="356"/>
      <c r="D463" s="330"/>
      <c r="E463" s="157"/>
      <c r="F463" s="12"/>
    </row>
    <row r="464">
      <c r="A464" s="225"/>
      <c r="B464" s="213"/>
      <c r="C464" s="356"/>
      <c r="D464" s="330"/>
      <c r="E464" s="157"/>
      <c r="F464" s="12"/>
    </row>
    <row r="465">
      <c r="A465" s="225"/>
      <c r="B465" s="213"/>
      <c r="C465" s="356"/>
      <c r="D465" s="330"/>
      <c r="E465" s="157"/>
      <c r="F465" s="12"/>
    </row>
    <row r="466">
      <c r="A466" s="225"/>
      <c r="B466" s="213"/>
      <c r="C466" s="356"/>
      <c r="D466" s="330"/>
      <c r="E466" s="157"/>
      <c r="F466" s="12"/>
    </row>
    <row r="467">
      <c r="A467" s="225"/>
      <c r="B467" s="213"/>
      <c r="C467" s="356"/>
      <c r="D467" s="330"/>
      <c r="E467" s="157"/>
      <c r="F467" s="12"/>
    </row>
    <row r="468">
      <c r="A468" s="225"/>
      <c r="B468" s="213"/>
      <c r="C468" s="356"/>
      <c r="D468" s="330"/>
      <c r="E468" s="157"/>
      <c r="F468" s="12"/>
    </row>
    <row r="469">
      <c r="A469" s="225"/>
      <c r="B469" s="213"/>
      <c r="C469" s="356"/>
      <c r="D469" s="330"/>
      <c r="E469" s="157"/>
      <c r="F469" s="12"/>
    </row>
    <row r="470">
      <c r="A470" s="225"/>
      <c r="B470" s="213"/>
      <c r="C470" s="356"/>
      <c r="D470" s="330"/>
      <c r="E470" s="157"/>
      <c r="F470" s="12"/>
    </row>
    <row r="471">
      <c r="A471" s="225"/>
      <c r="B471" s="213"/>
      <c r="C471" s="356"/>
      <c r="D471" s="330"/>
      <c r="E471" s="157"/>
      <c r="F471" s="12"/>
    </row>
    <row r="472">
      <c r="A472" s="225"/>
      <c r="B472" s="213"/>
      <c r="C472" s="356"/>
      <c r="D472" s="330"/>
      <c r="E472" s="157"/>
      <c r="F472" s="12"/>
    </row>
    <row r="473">
      <c r="A473" s="225"/>
      <c r="B473" s="213"/>
      <c r="C473" s="356"/>
      <c r="D473" s="330"/>
      <c r="E473" s="157"/>
      <c r="F473" s="12"/>
    </row>
    <row r="474">
      <c r="A474" s="225"/>
      <c r="B474" s="213"/>
      <c r="C474" s="356"/>
      <c r="D474" s="330"/>
      <c r="E474" s="157"/>
      <c r="F474" s="12"/>
    </row>
    <row r="475">
      <c r="A475" s="225"/>
      <c r="B475" s="213"/>
      <c r="C475" s="356"/>
      <c r="D475" s="330"/>
      <c r="E475" s="157"/>
      <c r="F475" s="12"/>
    </row>
    <row r="476">
      <c r="A476" s="225"/>
      <c r="B476" s="213"/>
      <c r="C476" s="356"/>
      <c r="D476" s="330"/>
      <c r="E476" s="157"/>
      <c r="F476" s="12"/>
    </row>
    <row r="477">
      <c r="A477" s="225"/>
      <c r="B477" s="213"/>
      <c r="C477" s="356"/>
      <c r="D477" s="330"/>
      <c r="E477" s="157"/>
      <c r="F477" s="12"/>
    </row>
    <row r="478">
      <c r="A478" s="225"/>
      <c r="B478" s="213"/>
      <c r="C478" s="356"/>
      <c r="D478" s="330"/>
      <c r="E478" s="157"/>
      <c r="F478" s="12"/>
    </row>
    <row r="479">
      <c r="A479" s="225"/>
      <c r="B479" s="213"/>
      <c r="C479" s="356"/>
      <c r="D479" s="330"/>
      <c r="E479" s="157"/>
      <c r="F479" s="12"/>
    </row>
    <row r="480">
      <c r="A480" s="225"/>
      <c r="B480" s="213"/>
      <c r="C480" s="356"/>
      <c r="D480" s="330"/>
      <c r="E480" s="157"/>
      <c r="F480" s="12"/>
    </row>
    <row r="481">
      <c r="A481" s="225"/>
      <c r="B481" s="213"/>
      <c r="C481" s="356"/>
      <c r="D481" s="330"/>
      <c r="E481" s="157"/>
      <c r="F481" s="12"/>
    </row>
    <row r="482">
      <c r="A482" s="225"/>
      <c r="B482" s="213"/>
      <c r="C482" s="356"/>
      <c r="D482" s="330"/>
      <c r="E482" s="157"/>
      <c r="F482" s="12"/>
    </row>
    <row r="483">
      <c r="A483" s="225"/>
      <c r="B483" s="213"/>
      <c r="C483" s="356"/>
      <c r="D483" s="330"/>
      <c r="E483" s="157"/>
      <c r="F483" s="12"/>
    </row>
    <row r="484">
      <c r="A484" s="225"/>
      <c r="B484" s="213"/>
      <c r="C484" s="356"/>
      <c r="D484" s="330"/>
      <c r="E484" s="157"/>
      <c r="F484" s="12"/>
    </row>
    <row r="485">
      <c r="A485" s="225"/>
      <c r="B485" s="213"/>
      <c r="C485" s="356"/>
      <c r="D485" s="330"/>
      <c r="E485" s="157"/>
      <c r="F485" s="12"/>
    </row>
    <row r="486">
      <c r="A486" s="225"/>
      <c r="B486" s="213"/>
      <c r="C486" s="356"/>
      <c r="D486" s="330"/>
      <c r="E486" s="157"/>
      <c r="F486" s="12"/>
    </row>
    <row r="487">
      <c r="A487" s="225"/>
      <c r="B487" s="213"/>
      <c r="C487" s="356"/>
      <c r="D487" s="330"/>
      <c r="E487" s="157"/>
      <c r="F487" s="12"/>
    </row>
    <row r="488">
      <c r="A488" s="225"/>
      <c r="B488" s="213"/>
      <c r="C488" s="356"/>
      <c r="D488" s="330"/>
      <c r="E488" s="157"/>
      <c r="F488" s="12"/>
    </row>
    <row r="489">
      <c r="A489" s="225"/>
      <c r="B489" s="213"/>
      <c r="C489" s="356"/>
      <c r="D489" s="330"/>
      <c r="E489" s="157"/>
      <c r="F489" s="12"/>
    </row>
    <row r="490">
      <c r="A490" s="225"/>
      <c r="B490" s="213"/>
      <c r="C490" s="356"/>
      <c r="D490" s="330"/>
      <c r="E490" s="157"/>
      <c r="F490" s="12"/>
    </row>
    <row r="491">
      <c r="A491" s="225"/>
      <c r="B491" s="213"/>
      <c r="C491" s="356"/>
      <c r="D491" s="330"/>
      <c r="E491" s="157"/>
      <c r="F491" s="12"/>
    </row>
    <row r="492">
      <c r="A492" s="225"/>
      <c r="B492" s="213"/>
      <c r="C492" s="356"/>
      <c r="D492" s="330"/>
      <c r="E492" s="157"/>
      <c r="F492" s="12"/>
    </row>
    <row r="493">
      <c r="A493" s="225"/>
      <c r="B493" s="213"/>
      <c r="C493" s="356"/>
      <c r="D493" s="330"/>
      <c r="E493" s="157"/>
      <c r="F493" s="12"/>
    </row>
    <row r="494">
      <c r="A494" s="225"/>
      <c r="B494" s="213"/>
      <c r="C494" s="356"/>
      <c r="D494" s="330"/>
      <c r="E494" s="157"/>
      <c r="F494" s="12"/>
    </row>
    <row r="495">
      <c r="A495" s="225"/>
      <c r="B495" s="213"/>
      <c r="C495" s="356"/>
      <c r="D495" s="330"/>
      <c r="E495" s="157"/>
      <c r="F495" s="12"/>
    </row>
    <row r="496">
      <c r="A496" s="225"/>
      <c r="B496" s="213"/>
      <c r="C496" s="356"/>
      <c r="D496" s="330"/>
      <c r="E496" s="157"/>
      <c r="F496" s="12"/>
    </row>
    <row r="497">
      <c r="A497" s="225"/>
      <c r="B497" s="213"/>
      <c r="C497" s="356"/>
      <c r="D497" s="330"/>
      <c r="E497" s="157"/>
      <c r="F497" s="12"/>
    </row>
    <row r="498">
      <c r="A498" s="225"/>
      <c r="B498" s="213"/>
      <c r="C498" s="356"/>
      <c r="D498" s="330"/>
      <c r="E498" s="157"/>
      <c r="F498" s="12"/>
    </row>
    <row r="499">
      <c r="A499" s="225"/>
      <c r="B499" s="213"/>
      <c r="C499" s="356"/>
      <c r="D499" s="330"/>
      <c r="E499" s="157"/>
      <c r="F499" s="12"/>
    </row>
    <row r="500">
      <c r="A500" s="225"/>
      <c r="B500" s="213"/>
      <c r="C500" s="356"/>
      <c r="D500" s="330"/>
      <c r="E500" s="157"/>
      <c r="F500" s="12"/>
    </row>
    <row r="501">
      <c r="A501" s="225"/>
      <c r="B501" s="213"/>
      <c r="C501" s="356"/>
      <c r="D501" s="330"/>
      <c r="E501" s="157"/>
      <c r="F501" s="12"/>
    </row>
    <row r="502">
      <c r="A502" s="225"/>
      <c r="B502" s="213"/>
      <c r="C502" s="356"/>
      <c r="D502" s="330"/>
      <c r="E502" s="157"/>
      <c r="F502" s="12"/>
    </row>
    <row r="503">
      <c r="A503" s="225"/>
      <c r="B503" s="213"/>
      <c r="C503" s="356"/>
      <c r="D503" s="330"/>
      <c r="E503" s="157"/>
      <c r="F503" s="12"/>
    </row>
    <row r="504">
      <c r="A504" s="225"/>
      <c r="B504" s="213"/>
      <c r="C504" s="356"/>
      <c r="D504" s="330"/>
      <c r="E504" s="157"/>
      <c r="F504" s="12"/>
    </row>
    <row r="505">
      <c r="A505" s="225"/>
      <c r="B505" s="213"/>
      <c r="C505" s="356"/>
      <c r="D505" s="330"/>
      <c r="E505" s="157"/>
      <c r="F505" s="12"/>
    </row>
    <row r="506">
      <c r="A506" s="225"/>
      <c r="B506" s="213"/>
      <c r="C506" s="356"/>
      <c r="D506" s="330"/>
      <c r="E506" s="157"/>
      <c r="F506" s="12"/>
    </row>
    <row r="507">
      <c r="A507" s="225"/>
      <c r="B507" s="213"/>
      <c r="C507" s="356"/>
      <c r="D507" s="330"/>
      <c r="E507" s="157"/>
      <c r="F507" s="12"/>
    </row>
    <row r="508">
      <c r="A508" s="225"/>
      <c r="B508" s="213"/>
      <c r="C508" s="356"/>
      <c r="D508" s="330"/>
      <c r="E508" s="157"/>
      <c r="F508" s="12"/>
    </row>
    <row r="509">
      <c r="A509" s="225"/>
      <c r="B509" s="213"/>
      <c r="C509" s="356"/>
      <c r="D509" s="330"/>
      <c r="E509" s="157"/>
      <c r="F509" s="12"/>
    </row>
    <row r="510">
      <c r="A510" s="225"/>
      <c r="B510" s="213"/>
      <c r="C510" s="356"/>
      <c r="D510" s="330"/>
      <c r="E510" s="157"/>
      <c r="F510" s="12"/>
    </row>
    <row r="511">
      <c r="A511" s="225"/>
      <c r="B511" s="213"/>
      <c r="C511" s="356"/>
      <c r="D511" s="330"/>
      <c r="E511" s="157"/>
      <c r="F511" s="12"/>
    </row>
    <row r="512">
      <c r="A512" s="225"/>
      <c r="B512" s="213"/>
      <c r="C512" s="356"/>
      <c r="D512" s="330"/>
      <c r="E512" s="157"/>
      <c r="F512" s="12"/>
    </row>
    <row r="513">
      <c r="A513" s="225"/>
      <c r="B513" s="213"/>
      <c r="C513" s="356"/>
      <c r="D513" s="330"/>
      <c r="E513" s="157"/>
      <c r="F513" s="12"/>
    </row>
    <row r="514">
      <c r="A514" s="225"/>
      <c r="B514" s="213"/>
      <c r="C514" s="356"/>
      <c r="D514" s="330"/>
      <c r="E514" s="157"/>
      <c r="F514" s="12"/>
    </row>
    <row r="515">
      <c r="A515" s="225"/>
      <c r="B515" s="213"/>
      <c r="C515" s="356"/>
      <c r="D515" s="330"/>
      <c r="E515" s="157"/>
      <c r="F515" s="12"/>
    </row>
    <row r="516">
      <c r="A516" s="225"/>
      <c r="B516" s="213"/>
      <c r="C516" s="356"/>
      <c r="D516" s="330"/>
      <c r="E516" s="157"/>
      <c r="F516" s="12"/>
    </row>
    <row r="517">
      <c r="A517" s="225"/>
      <c r="B517" s="213"/>
      <c r="C517" s="356"/>
      <c r="D517" s="330"/>
      <c r="E517" s="157"/>
      <c r="F517" s="12"/>
    </row>
    <row r="518">
      <c r="A518" s="225"/>
      <c r="B518" s="213"/>
      <c r="C518" s="356"/>
      <c r="D518" s="330"/>
      <c r="E518" s="157"/>
      <c r="F518" s="12"/>
    </row>
    <row r="519">
      <c r="A519" s="225"/>
      <c r="B519" s="213"/>
      <c r="C519" s="356"/>
      <c r="D519" s="330"/>
      <c r="E519" s="157"/>
      <c r="F519" s="12"/>
    </row>
    <row r="520">
      <c r="A520" s="225"/>
      <c r="B520" s="213"/>
      <c r="C520" s="356"/>
      <c r="D520" s="330"/>
      <c r="E520" s="157"/>
      <c r="F520" s="12"/>
    </row>
    <row r="521">
      <c r="A521" s="225"/>
      <c r="B521" s="213"/>
      <c r="C521" s="356"/>
      <c r="D521" s="330"/>
      <c r="E521" s="157"/>
      <c r="F521" s="12"/>
    </row>
    <row r="522">
      <c r="A522" s="225"/>
      <c r="B522" s="213"/>
      <c r="C522" s="356"/>
      <c r="D522" s="330"/>
      <c r="E522" s="157"/>
      <c r="F522" s="12"/>
    </row>
    <row r="523">
      <c r="A523" s="225"/>
      <c r="B523" s="213"/>
      <c r="C523" s="356"/>
      <c r="D523" s="330"/>
      <c r="E523" s="157"/>
      <c r="F523" s="12"/>
    </row>
    <row r="524">
      <c r="A524" s="225"/>
      <c r="B524" s="213"/>
      <c r="C524" s="356"/>
      <c r="D524" s="330"/>
      <c r="E524" s="157"/>
      <c r="F524" s="12"/>
    </row>
    <row r="525">
      <c r="A525" s="225"/>
      <c r="B525" s="213"/>
      <c r="C525" s="356"/>
      <c r="D525" s="330"/>
      <c r="E525" s="157"/>
      <c r="F525" s="12"/>
    </row>
    <row r="526">
      <c r="A526" s="225"/>
      <c r="B526" s="213"/>
      <c r="C526" s="356"/>
      <c r="D526" s="330"/>
      <c r="E526" s="157"/>
      <c r="F526" s="12"/>
    </row>
    <row r="527">
      <c r="A527" s="225"/>
      <c r="B527" s="213"/>
      <c r="C527" s="356"/>
      <c r="D527" s="330"/>
      <c r="E527" s="157"/>
      <c r="F527" s="12"/>
    </row>
    <row r="528">
      <c r="A528" s="225"/>
      <c r="B528" s="213"/>
      <c r="C528" s="356"/>
      <c r="D528" s="330"/>
      <c r="E528" s="157"/>
      <c r="F528" s="12"/>
    </row>
    <row r="529">
      <c r="A529" s="225"/>
      <c r="B529" s="213"/>
      <c r="C529" s="356"/>
      <c r="D529" s="330"/>
      <c r="E529" s="157"/>
      <c r="F529" s="12"/>
    </row>
    <row r="530">
      <c r="A530" s="225"/>
      <c r="B530" s="213"/>
      <c r="C530" s="356"/>
      <c r="D530" s="330"/>
      <c r="E530" s="157"/>
      <c r="F530" s="12"/>
    </row>
    <row r="531">
      <c r="A531" s="225"/>
      <c r="B531" s="213"/>
      <c r="C531" s="356"/>
      <c r="D531" s="330"/>
      <c r="E531" s="157"/>
      <c r="F531" s="12"/>
    </row>
    <row r="532">
      <c r="A532" s="225"/>
      <c r="B532" s="213"/>
      <c r="C532" s="356"/>
      <c r="D532" s="330"/>
      <c r="E532" s="157"/>
      <c r="F532" s="12"/>
    </row>
    <row r="533">
      <c r="A533" s="225"/>
      <c r="B533" s="213"/>
      <c r="C533" s="356"/>
      <c r="D533" s="330"/>
      <c r="E533" s="157"/>
      <c r="F533" s="12"/>
    </row>
    <row r="534">
      <c r="A534" s="225"/>
      <c r="B534" s="213"/>
      <c r="C534" s="356"/>
      <c r="D534" s="330"/>
      <c r="E534" s="157"/>
      <c r="F534" s="12"/>
    </row>
    <row r="535">
      <c r="A535" s="225"/>
      <c r="B535" s="213"/>
      <c r="C535" s="356"/>
      <c r="D535" s="330"/>
      <c r="E535" s="157"/>
      <c r="F535" s="12"/>
    </row>
    <row r="536">
      <c r="A536" s="225"/>
      <c r="B536" s="213"/>
      <c r="C536" s="356"/>
      <c r="D536" s="330"/>
      <c r="E536" s="157"/>
      <c r="F536" s="12"/>
    </row>
    <row r="537">
      <c r="A537" s="225"/>
      <c r="B537" s="213"/>
      <c r="C537" s="356"/>
      <c r="D537" s="330"/>
      <c r="E537" s="157"/>
      <c r="F537" s="12"/>
    </row>
    <row r="538">
      <c r="A538" s="225"/>
      <c r="B538" s="213"/>
      <c r="C538" s="356"/>
      <c r="D538" s="330"/>
      <c r="E538" s="157"/>
      <c r="F538" s="12"/>
    </row>
    <row r="539">
      <c r="A539" s="225"/>
      <c r="B539" s="213"/>
      <c r="C539" s="356"/>
      <c r="D539" s="330"/>
      <c r="E539" s="157"/>
      <c r="F539" s="12"/>
    </row>
    <row r="540">
      <c r="A540" s="225"/>
      <c r="B540" s="213"/>
      <c r="C540" s="356"/>
      <c r="D540" s="330"/>
      <c r="E540" s="157"/>
      <c r="F540" s="12"/>
    </row>
    <row r="541">
      <c r="A541" s="225"/>
      <c r="B541" s="213"/>
      <c r="C541" s="356"/>
      <c r="D541" s="330"/>
      <c r="E541" s="157"/>
      <c r="F541" s="12"/>
    </row>
    <row r="542">
      <c r="A542" s="225"/>
      <c r="B542" s="213"/>
      <c r="C542" s="356"/>
      <c r="D542" s="330"/>
      <c r="E542" s="157"/>
      <c r="F542" s="12"/>
    </row>
    <row r="543">
      <c r="A543" s="225"/>
      <c r="B543" s="213"/>
      <c r="C543" s="356"/>
      <c r="D543" s="330"/>
      <c r="E543" s="157"/>
      <c r="F543" s="12"/>
    </row>
    <row r="544">
      <c r="A544" s="225"/>
      <c r="B544" s="213"/>
      <c r="C544" s="356"/>
      <c r="D544" s="330"/>
      <c r="E544" s="157"/>
      <c r="F544" s="12"/>
    </row>
    <row r="545">
      <c r="A545" s="225"/>
      <c r="B545" s="213"/>
      <c r="C545" s="356"/>
      <c r="D545" s="330"/>
      <c r="E545" s="157"/>
      <c r="F545" s="12"/>
    </row>
    <row r="546">
      <c r="A546" s="225"/>
      <c r="B546" s="213"/>
      <c r="C546" s="356"/>
      <c r="D546" s="330"/>
      <c r="E546" s="157"/>
      <c r="F546" s="12"/>
    </row>
    <row r="547">
      <c r="A547" s="225"/>
      <c r="B547" s="213"/>
      <c r="C547" s="356"/>
      <c r="D547" s="330"/>
      <c r="E547" s="157"/>
      <c r="F547" s="12"/>
    </row>
    <row r="548">
      <c r="A548" s="225"/>
      <c r="B548" s="213"/>
      <c r="C548" s="356"/>
      <c r="D548" s="330"/>
      <c r="E548" s="157"/>
      <c r="F548" s="12"/>
    </row>
    <row r="549">
      <c r="A549" s="225"/>
      <c r="B549" s="213"/>
      <c r="C549" s="356"/>
      <c r="D549" s="330"/>
      <c r="E549" s="157"/>
      <c r="F549" s="12"/>
    </row>
    <row r="550">
      <c r="A550" s="225"/>
      <c r="B550" s="213"/>
      <c r="C550" s="356"/>
      <c r="D550" s="330"/>
      <c r="E550" s="157"/>
      <c r="F550" s="12"/>
    </row>
    <row r="551">
      <c r="A551" s="225"/>
      <c r="B551" s="213"/>
      <c r="C551" s="356"/>
      <c r="D551" s="330"/>
      <c r="E551" s="157"/>
      <c r="F551" s="12"/>
    </row>
    <row r="552">
      <c r="A552" s="225"/>
      <c r="B552" s="213"/>
      <c r="C552" s="356"/>
      <c r="D552" s="330"/>
      <c r="E552" s="157"/>
      <c r="F552" s="12"/>
    </row>
    <row r="553">
      <c r="A553" s="225"/>
      <c r="B553" s="213"/>
      <c r="C553" s="356"/>
      <c r="D553" s="330"/>
      <c r="E553" s="157"/>
      <c r="F553" s="12"/>
    </row>
    <row r="554">
      <c r="A554" s="225"/>
      <c r="B554" s="213"/>
      <c r="C554" s="356"/>
      <c r="D554" s="330"/>
      <c r="E554" s="157"/>
      <c r="F554" s="12"/>
    </row>
    <row r="555">
      <c r="A555" s="225"/>
      <c r="B555" s="213"/>
      <c r="C555" s="356"/>
      <c r="D555" s="330"/>
      <c r="E555" s="157"/>
      <c r="F555" s="12"/>
    </row>
    <row r="556">
      <c r="A556" s="225"/>
      <c r="B556" s="213"/>
      <c r="C556" s="356"/>
      <c r="D556" s="330"/>
      <c r="E556" s="157"/>
      <c r="F556" s="12"/>
    </row>
    <row r="557">
      <c r="A557" s="225"/>
      <c r="B557" s="213"/>
      <c r="C557" s="356"/>
      <c r="D557" s="330"/>
      <c r="E557" s="157"/>
      <c r="F557" s="12"/>
    </row>
    <row r="558">
      <c r="A558" s="225"/>
      <c r="B558" s="213"/>
      <c r="C558" s="356"/>
      <c r="D558" s="330"/>
      <c r="E558" s="157"/>
      <c r="F558" s="12"/>
    </row>
    <row r="559">
      <c r="A559" s="225"/>
      <c r="B559" s="213"/>
      <c r="C559" s="356"/>
      <c r="D559" s="330"/>
      <c r="E559" s="157"/>
      <c r="F559" s="12"/>
    </row>
    <row r="560">
      <c r="A560" s="225"/>
      <c r="B560" s="213"/>
      <c r="C560" s="356"/>
      <c r="D560" s="330"/>
      <c r="E560" s="157"/>
      <c r="F560" s="12"/>
    </row>
    <row r="561">
      <c r="A561" s="225"/>
      <c r="B561" s="213"/>
      <c r="C561" s="356"/>
      <c r="D561" s="330"/>
      <c r="E561" s="157"/>
      <c r="F561" s="12"/>
    </row>
    <row r="562">
      <c r="A562" s="225"/>
      <c r="B562" s="213"/>
      <c r="C562" s="356"/>
      <c r="D562" s="330"/>
      <c r="E562" s="157"/>
      <c r="F562" s="12"/>
    </row>
    <row r="563">
      <c r="A563" s="225"/>
      <c r="B563" s="213"/>
      <c r="C563" s="356"/>
      <c r="D563" s="330"/>
      <c r="E563" s="157"/>
      <c r="F563" s="12"/>
    </row>
    <row r="564">
      <c r="A564" s="225"/>
      <c r="B564" s="213"/>
      <c r="C564" s="356"/>
      <c r="D564" s="330"/>
      <c r="E564" s="157"/>
      <c r="F564" s="12"/>
    </row>
    <row r="565">
      <c r="A565" s="225"/>
      <c r="B565" s="213"/>
      <c r="C565" s="356"/>
      <c r="D565" s="330"/>
      <c r="E565" s="157"/>
      <c r="F565" s="12"/>
    </row>
    <row r="566">
      <c r="A566" s="225"/>
      <c r="B566" s="213"/>
      <c r="C566" s="356"/>
      <c r="D566" s="330"/>
      <c r="E566" s="157"/>
      <c r="F566" s="12"/>
    </row>
    <row r="567">
      <c r="A567" s="225"/>
      <c r="B567" s="213"/>
      <c r="C567" s="356"/>
      <c r="D567" s="330"/>
      <c r="E567" s="157"/>
      <c r="F567" s="12"/>
    </row>
    <row r="568">
      <c r="A568" s="225"/>
      <c r="B568" s="213"/>
      <c r="C568" s="356"/>
      <c r="D568" s="330"/>
      <c r="E568" s="157"/>
      <c r="F568" s="12"/>
    </row>
    <row r="569">
      <c r="A569" s="225"/>
      <c r="B569" s="213"/>
      <c r="C569" s="356"/>
      <c r="D569" s="330"/>
      <c r="E569" s="157"/>
      <c r="F569" s="12"/>
    </row>
    <row r="570">
      <c r="A570" s="225"/>
      <c r="B570" s="213"/>
      <c r="C570" s="356"/>
      <c r="D570" s="330"/>
      <c r="E570" s="157"/>
      <c r="F570" s="12"/>
    </row>
    <row r="571">
      <c r="A571" s="225"/>
      <c r="B571" s="213"/>
      <c r="C571" s="356"/>
      <c r="D571" s="330"/>
      <c r="E571" s="157"/>
      <c r="F571" s="12"/>
    </row>
    <row r="572">
      <c r="A572" s="225"/>
      <c r="B572" s="213"/>
      <c r="C572" s="356"/>
      <c r="D572" s="330"/>
      <c r="E572" s="157"/>
      <c r="F572" s="12"/>
    </row>
    <row r="573">
      <c r="A573" s="225"/>
      <c r="B573" s="213"/>
      <c r="C573" s="356"/>
      <c r="D573" s="330"/>
      <c r="E573" s="157"/>
      <c r="F573" s="12"/>
    </row>
    <row r="574">
      <c r="A574" s="225"/>
      <c r="B574" s="213"/>
      <c r="C574" s="356"/>
      <c r="D574" s="330"/>
      <c r="E574" s="157"/>
      <c r="F574" s="12"/>
    </row>
    <row r="575">
      <c r="A575" s="225"/>
      <c r="B575" s="213"/>
      <c r="C575" s="356"/>
      <c r="D575" s="330"/>
      <c r="E575" s="157"/>
      <c r="F575" s="12"/>
    </row>
    <row r="576">
      <c r="A576" s="225"/>
      <c r="B576" s="213"/>
      <c r="C576" s="356"/>
      <c r="D576" s="330"/>
      <c r="E576" s="157"/>
      <c r="F576" s="12"/>
    </row>
    <row r="577">
      <c r="A577" s="225"/>
      <c r="B577" s="213"/>
      <c r="C577" s="356"/>
      <c r="D577" s="330"/>
      <c r="E577" s="157"/>
      <c r="F577" s="12"/>
    </row>
    <row r="578">
      <c r="A578" s="225"/>
      <c r="B578" s="213"/>
      <c r="C578" s="356"/>
      <c r="D578" s="330"/>
      <c r="E578" s="157"/>
      <c r="F578" s="12"/>
    </row>
    <row r="579">
      <c r="A579" s="225"/>
      <c r="B579" s="213"/>
      <c r="C579" s="356"/>
      <c r="D579" s="330"/>
      <c r="E579" s="157"/>
      <c r="F579" s="12"/>
    </row>
    <row r="580">
      <c r="A580" s="225"/>
      <c r="B580" s="213"/>
      <c r="C580" s="356"/>
      <c r="D580" s="330"/>
      <c r="E580" s="157"/>
      <c r="F580" s="12"/>
    </row>
    <row r="581">
      <c r="A581" s="225"/>
      <c r="B581" s="213"/>
      <c r="C581" s="356"/>
      <c r="D581" s="330"/>
      <c r="E581" s="157"/>
      <c r="F581" s="12"/>
    </row>
    <row r="582">
      <c r="A582" s="225"/>
      <c r="B582" s="213"/>
      <c r="C582" s="356"/>
      <c r="D582" s="330"/>
      <c r="E582" s="157"/>
      <c r="F582" s="12"/>
    </row>
    <row r="583">
      <c r="A583" s="225"/>
      <c r="B583" s="213"/>
      <c r="C583" s="356"/>
      <c r="D583" s="330"/>
      <c r="E583" s="157"/>
      <c r="F583" s="12"/>
    </row>
    <row r="584">
      <c r="A584" s="225"/>
      <c r="B584" s="213"/>
      <c r="C584" s="356"/>
      <c r="D584" s="330"/>
      <c r="E584" s="157"/>
      <c r="F584" s="12"/>
    </row>
    <row r="585">
      <c r="A585" s="225"/>
      <c r="B585" s="213"/>
      <c r="C585" s="356"/>
      <c r="D585" s="330"/>
      <c r="E585" s="157"/>
      <c r="F585" s="12"/>
    </row>
    <row r="586">
      <c r="A586" s="225"/>
      <c r="B586" s="213"/>
      <c r="C586" s="356"/>
      <c r="D586" s="330"/>
      <c r="E586" s="157"/>
      <c r="F586" s="12"/>
    </row>
    <row r="587">
      <c r="A587" s="225"/>
      <c r="B587" s="213"/>
      <c r="C587" s="356"/>
      <c r="D587" s="330"/>
      <c r="E587" s="157"/>
      <c r="F587" s="12"/>
    </row>
    <row r="588">
      <c r="A588" s="225"/>
      <c r="B588" s="213"/>
      <c r="C588" s="356"/>
      <c r="D588" s="330"/>
      <c r="E588" s="157"/>
      <c r="F588" s="12"/>
    </row>
    <row r="589">
      <c r="A589" s="225"/>
      <c r="B589" s="213"/>
      <c r="C589" s="356"/>
      <c r="D589" s="330"/>
      <c r="E589" s="157"/>
      <c r="F589" s="12"/>
    </row>
    <row r="590">
      <c r="A590" s="225"/>
      <c r="B590" s="213"/>
      <c r="C590" s="356"/>
      <c r="D590" s="330"/>
      <c r="E590" s="157"/>
      <c r="F590" s="12"/>
    </row>
    <row r="591">
      <c r="A591" s="225"/>
      <c r="B591" s="213"/>
      <c r="C591" s="356"/>
      <c r="D591" s="330"/>
      <c r="E591" s="157"/>
      <c r="F591" s="12"/>
    </row>
    <row r="592">
      <c r="A592" s="225"/>
      <c r="B592" s="213"/>
      <c r="C592" s="356"/>
      <c r="D592" s="330"/>
      <c r="E592" s="157"/>
      <c r="F592" s="12"/>
    </row>
    <row r="593">
      <c r="A593" s="225"/>
      <c r="B593" s="213"/>
      <c r="C593" s="356"/>
      <c r="D593" s="330"/>
      <c r="E593" s="157"/>
      <c r="F593" s="12"/>
    </row>
    <row r="594">
      <c r="A594" s="225"/>
      <c r="B594" s="213"/>
      <c r="C594" s="356"/>
      <c r="D594" s="330"/>
      <c r="E594" s="157"/>
      <c r="F594" s="12"/>
    </row>
    <row r="595">
      <c r="A595" s="225"/>
      <c r="B595" s="213"/>
      <c r="C595" s="356"/>
      <c r="D595" s="330"/>
      <c r="E595" s="157"/>
      <c r="F595" s="12"/>
    </row>
    <row r="596">
      <c r="A596" s="225"/>
      <c r="B596" s="213"/>
      <c r="C596" s="356"/>
      <c r="D596" s="330"/>
      <c r="E596" s="157"/>
      <c r="F596" s="12"/>
    </row>
    <row r="597">
      <c r="A597" s="225"/>
      <c r="B597" s="213"/>
      <c r="C597" s="356"/>
      <c r="D597" s="330"/>
      <c r="E597" s="157"/>
      <c r="F597" s="12"/>
    </row>
    <row r="598">
      <c r="A598" s="225"/>
      <c r="B598" s="213"/>
      <c r="C598" s="356"/>
      <c r="D598" s="330"/>
      <c r="E598" s="157"/>
      <c r="F598" s="12"/>
    </row>
    <row r="599">
      <c r="A599" s="225"/>
      <c r="B599" s="213"/>
      <c r="C599" s="356"/>
      <c r="D599" s="330"/>
      <c r="E599" s="157"/>
      <c r="F599" s="12"/>
    </row>
    <row r="600">
      <c r="A600" s="225"/>
      <c r="B600" s="213"/>
      <c r="C600" s="356"/>
      <c r="D600" s="330"/>
      <c r="E600" s="157"/>
      <c r="F600" s="12"/>
    </row>
    <row r="601">
      <c r="A601" s="225"/>
      <c r="B601" s="213"/>
      <c r="C601" s="356"/>
      <c r="D601" s="330"/>
      <c r="E601" s="157"/>
      <c r="F601" s="12"/>
    </row>
    <row r="602">
      <c r="A602" s="225"/>
      <c r="B602" s="213"/>
      <c r="C602" s="356"/>
      <c r="D602" s="330"/>
      <c r="E602" s="157"/>
      <c r="F602" s="12"/>
    </row>
    <row r="603">
      <c r="A603" s="225"/>
      <c r="B603" s="213"/>
      <c r="C603" s="356"/>
      <c r="D603" s="330"/>
      <c r="E603" s="157"/>
      <c r="F603" s="12"/>
    </row>
    <row r="604">
      <c r="A604" s="225"/>
      <c r="B604" s="213"/>
      <c r="C604" s="356"/>
      <c r="D604" s="330"/>
      <c r="E604" s="157"/>
      <c r="F604" s="12"/>
    </row>
    <row r="605">
      <c r="A605" s="225"/>
      <c r="B605" s="213"/>
      <c r="C605" s="356"/>
      <c r="D605" s="330"/>
      <c r="E605" s="157"/>
      <c r="F605" s="12"/>
    </row>
    <row r="606">
      <c r="A606" s="225"/>
      <c r="B606" s="213"/>
      <c r="C606" s="356"/>
      <c r="D606" s="330"/>
      <c r="E606" s="157"/>
      <c r="F606" s="12"/>
    </row>
    <row r="607">
      <c r="A607" s="225"/>
      <c r="B607" s="213"/>
      <c r="C607" s="356"/>
      <c r="D607" s="330"/>
      <c r="E607" s="157"/>
      <c r="F607" s="12"/>
    </row>
    <row r="608">
      <c r="A608" s="225"/>
      <c r="B608" s="213"/>
      <c r="C608" s="356"/>
      <c r="D608" s="330"/>
      <c r="E608" s="157"/>
      <c r="F608" s="12"/>
    </row>
    <row r="609">
      <c r="A609" s="225"/>
      <c r="B609" s="213"/>
      <c r="C609" s="356"/>
      <c r="D609" s="330"/>
      <c r="E609" s="157"/>
      <c r="F609" s="12"/>
    </row>
    <row r="610">
      <c r="A610" s="225"/>
      <c r="B610" s="213"/>
      <c r="C610" s="356"/>
      <c r="D610" s="330"/>
      <c r="E610" s="157"/>
      <c r="F610" s="12"/>
    </row>
    <row r="611">
      <c r="A611" s="225"/>
      <c r="B611" s="213"/>
      <c r="C611" s="356"/>
      <c r="D611" s="330"/>
      <c r="E611" s="157"/>
      <c r="F611" s="12"/>
    </row>
    <row r="612">
      <c r="A612" s="225"/>
      <c r="B612" s="213"/>
      <c r="C612" s="356"/>
      <c r="D612" s="330"/>
      <c r="E612" s="157"/>
      <c r="F612" s="12"/>
    </row>
    <row r="613">
      <c r="A613" s="225"/>
      <c r="B613" s="213"/>
      <c r="C613" s="356"/>
      <c r="D613" s="330"/>
      <c r="E613" s="157"/>
      <c r="F613" s="12"/>
    </row>
    <row r="614">
      <c r="A614" s="225"/>
      <c r="B614" s="213"/>
      <c r="C614" s="356"/>
      <c r="D614" s="330"/>
      <c r="E614" s="157"/>
      <c r="F614" s="12"/>
    </row>
    <row r="615">
      <c r="A615" s="225"/>
      <c r="B615" s="213"/>
      <c r="C615" s="356"/>
      <c r="D615" s="330"/>
      <c r="E615" s="157"/>
      <c r="F615" s="12"/>
    </row>
    <row r="616">
      <c r="A616" s="225"/>
      <c r="B616" s="213"/>
      <c r="C616" s="356"/>
      <c r="D616" s="330"/>
      <c r="E616" s="157"/>
      <c r="F616" s="12"/>
    </row>
    <row r="617">
      <c r="A617" s="225"/>
      <c r="B617" s="213"/>
      <c r="C617" s="356"/>
      <c r="D617" s="330"/>
      <c r="E617" s="157"/>
      <c r="F617" s="12"/>
    </row>
    <row r="618">
      <c r="A618" s="225"/>
      <c r="B618" s="213"/>
      <c r="C618" s="356"/>
      <c r="D618" s="330"/>
      <c r="E618" s="157"/>
      <c r="F618" s="12"/>
    </row>
    <row r="619">
      <c r="A619" s="225"/>
      <c r="B619" s="213"/>
      <c r="C619" s="356"/>
      <c r="D619" s="330"/>
      <c r="E619" s="157"/>
      <c r="F619" s="12"/>
    </row>
    <row r="620">
      <c r="A620" s="225"/>
      <c r="B620" s="213"/>
      <c r="C620" s="356"/>
      <c r="D620" s="330"/>
      <c r="E620" s="157"/>
      <c r="F620" s="12"/>
    </row>
    <row r="621">
      <c r="A621" s="225"/>
      <c r="B621" s="213"/>
      <c r="C621" s="356"/>
      <c r="D621" s="330"/>
      <c r="E621" s="157"/>
      <c r="F621" s="12"/>
    </row>
    <row r="622">
      <c r="A622" s="225"/>
      <c r="B622" s="213"/>
      <c r="C622" s="356"/>
      <c r="D622" s="330"/>
      <c r="E622" s="157"/>
      <c r="F622" s="12"/>
    </row>
    <row r="623">
      <c r="A623" s="225"/>
      <c r="B623" s="213"/>
      <c r="C623" s="356"/>
      <c r="D623" s="330"/>
      <c r="E623" s="157"/>
      <c r="F623" s="12"/>
    </row>
    <row r="624">
      <c r="A624" s="225"/>
      <c r="B624" s="213"/>
      <c r="C624" s="356"/>
      <c r="D624" s="330"/>
      <c r="E624" s="157"/>
      <c r="F624" s="12"/>
    </row>
    <row r="625">
      <c r="A625" s="225"/>
      <c r="B625" s="213"/>
      <c r="C625" s="356"/>
      <c r="D625" s="330"/>
      <c r="E625" s="157"/>
      <c r="F625" s="12"/>
    </row>
    <row r="626">
      <c r="A626" s="225"/>
      <c r="B626" s="213"/>
      <c r="C626" s="356"/>
      <c r="D626" s="330"/>
      <c r="E626" s="157"/>
      <c r="F626" s="12"/>
    </row>
    <row r="627">
      <c r="A627" s="225"/>
      <c r="B627" s="213"/>
      <c r="C627" s="356"/>
      <c r="D627" s="330"/>
      <c r="E627" s="157"/>
      <c r="F627" s="12"/>
    </row>
    <row r="628">
      <c r="A628" s="225"/>
      <c r="B628" s="213"/>
      <c r="C628" s="356"/>
      <c r="D628" s="330"/>
      <c r="E628" s="157"/>
      <c r="F628" s="12"/>
    </row>
    <row r="629">
      <c r="A629" s="225"/>
      <c r="B629" s="213"/>
      <c r="C629" s="356"/>
      <c r="D629" s="330"/>
      <c r="E629" s="157"/>
      <c r="F629" s="12"/>
    </row>
    <row r="630">
      <c r="A630" s="225"/>
      <c r="B630" s="213"/>
      <c r="C630" s="356"/>
      <c r="D630" s="330"/>
      <c r="E630" s="157"/>
      <c r="F630" s="12"/>
    </row>
    <row r="631">
      <c r="A631" s="225"/>
      <c r="B631" s="213"/>
      <c r="C631" s="356"/>
      <c r="D631" s="330"/>
      <c r="E631" s="157"/>
      <c r="F631" s="12"/>
    </row>
    <row r="632">
      <c r="A632" s="225"/>
      <c r="B632" s="213"/>
      <c r="C632" s="356"/>
      <c r="D632" s="330"/>
      <c r="E632" s="157"/>
      <c r="F632" s="12"/>
    </row>
    <row r="633">
      <c r="A633" s="225"/>
      <c r="B633" s="213"/>
      <c r="C633" s="356"/>
      <c r="D633" s="330"/>
      <c r="E633" s="157"/>
      <c r="F633" s="12"/>
    </row>
    <row r="634">
      <c r="A634" s="225"/>
      <c r="B634" s="213"/>
      <c r="C634" s="356"/>
      <c r="D634" s="330"/>
      <c r="E634" s="157"/>
      <c r="F634" s="12"/>
    </row>
    <row r="635">
      <c r="A635" s="225"/>
      <c r="B635" s="213"/>
      <c r="C635" s="356"/>
      <c r="D635" s="330"/>
      <c r="E635" s="157"/>
      <c r="F635" s="12"/>
    </row>
    <row r="636">
      <c r="A636" s="225"/>
      <c r="B636" s="213"/>
      <c r="C636" s="356"/>
      <c r="D636" s="330"/>
      <c r="E636" s="157"/>
      <c r="F636" s="12"/>
    </row>
    <row r="637">
      <c r="A637" s="225"/>
      <c r="B637" s="213"/>
      <c r="C637" s="356"/>
      <c r="D637" s="330"/>
      <c r="E637" s="157"/>
      <c r="F637" s="12"/>
    </row>
    <row r="638">
      <c r="A638" s="225"/>
      <c r="B638" s="213"/>
      <c r="C638" s="356"/>
      <c r="D638" s="330"/>
      <c r="E638" s="157"/>
      <c r="F638" s="12"/>
    </row>
    <row r="639">
      <c r="A639" s="225"/>
      <c r="B639" s="213"/>
      <c r="C639" s="356"/>
      <c r="D639" s="330"/>
      <c r="E639" s="157"/>
      <c r="F639" s="12"/>
    </row>
    <row r="640">
      <c r="A640" s="225"/>
      <c r="B640" s="213"/>
      <c r="C640" s="356"/>
      <c r="D640" s="330"/>
      <c r="E640" s="157"/>
      <c r="F640" s="12"/>
    </row>
    <row r="641">
      <c r="A641" s="225"/>
      <c r="B641" s="213"/>
      <c r="C641" s="356"/>
      <c r="D641" s="330"/>
      <c r="E641" s="157"/>
      <c r="F641" s="12"/>
    </row>
    <row r="642">
      <c r="A642" s="225"/>
      <c r="B642" s="213"/>
      <c r="C642" s="356"/>
      <c r="D642" s="330"/>
      <c r="E642" s="157"/>
      <c r="F642" s="12"/>
    </row>
    <row r="643">
      <c r="A643" s="225"/>
      <c r="B643" s="213"/>
      <c r="C643" s="356"/>
      <c r="D643" s="330"/>
      <c r="E643" s="157"/>
      <c r="F643" s="12"/>
    </row>
    <row r="644">
      <c r="A644" s="225"/>
      <c r="B644" s="213"/>
      <c r="C644" s="356"/>
      <c r="D644" s="330"/>
      <c r="E644" s="157"/>
      <c r="F644" s="12"/>
    </row>
    <row r="645">
      <c r="A645" s="225"/>
      <c r="B645" s="213"/>
      <c r="C645" s="356"/>
      <c r="D645" s="330"/>
      <c r="E645" s="157"/>
      <c r="F645" s="12"/>
    </row>
    <row r="646">
      <c r="A646" s="225"/>
      <c r="B646" s="213"/>
      <c r="C646" s="356"/>
      <c r="D646" s="330"/>
      <c r="E646" s="157"/>
      <c r="F646" s="12"/>
    </row>
    <row r="647">
      <c r="A647" s="225"/>
      <c r="B647" s="213"/>
      <c r="C647" s="356"/>
      <c r="D647" s="330"/>
      <c r="E647" s="157"/>
      <c r="F647" s="12"/>
    </row>
    <row r="648">
      <c r="A648" s="225"/>
      <c r="B648" s="213"/>
      <c r="C648" s="356"/>
      <c r="D648" s="330"/>
      <c r="E648" s="157"/>
      <c r="F648" s="12"/>
    </row>
    <row r="649">
      <c r="A649" s="225"/>
      <c r="B649" s="213"/>
      <c r="C649" s="356"/>
      <c r="D649" s="330"/>
      <c r="E649" s="157"/>
      <c r="F649" s="12"/>
    </row>
    <row r="650">
      <c r="A650" s="225"/>
      <c r="B650" s="213"/>
      <c r="C650" s="356"/>
      <c r="D650" s="330"/>
      <c r="E650" s="157"/>
      <c r="F650" s="12"/>
    </row>
    <row r="651">
      <c r="A651" s="225"/>
      <c r="B651" s="213"/>
      <c r="C651" s="356"/>
      <c r="D651" s="330"/>
      <c r="E651" s="157"/>
      <c r="F651" s="12"/>
    </row>
    <row r="652">
      <c r="A652" s="225"/>
      <c r="B652" s="213"/>
      <c r="C652" s="356"/>
      <c r="D652" s="330"/>
      <c r="E652" s="157"/>
      <c r="F652" s="12"/>
    </row>
    <row r="653">
      <c r="A653" s="225"/>
      <c r="B653" s="213"/>
      <c r="C653" s="356"/>
      <c r="D653" s="330"/>
      <c r="E653" s="157"/>
      <c r="F653" s="12"/>
    </row>
    <row r="654">
      <c r="A654" s="225"/>
      <c r="B654" s="213"/>
      <c r="C654" s="356"/>
      <c r="D654" s="330"/>
      <c r="E654" s="157"/>
      <c r="F654" s="12"/>
    </row>
    <row r="655">
      <c r="A655" s="225"/>
      <c r="B655" s="213"/>
      <c r="C655" s="356"/>
      <c r="D655" s="330"/>
      <c r="E655" s="157"/>
      <c r="F655" s="12"/>
    </row>
    <row r="656">
      <c r="A656" s="225"/>
      <c r="B656" s="213"/>
      <c r="C656" s="356"/>
      <c r="D656" s="330"/>
      <c r="E656" s="157"/>
      <c r="F656" s="12"/>
    </row>
    <row r="657">
      <c r="A657" s="225"/>
      <c r="B657" s="213"/>
      <c r="C657" s="356"/>
      <c r="D657" s="330"/>
      <c r="E657" s="157"/>
      <c r="F657" s="12"/>
    </row>
    <row r="658">
      <c r="A658" s="225"/>
      <c r="B658" s="213"/>
      <c r="C658" s="356"/>
      <c r="D658" s="330"/>
      <c r="E658" s="157"/>
      <c r="F658" s="12"/>
    </row>
    <row r="659">
      <c r="A659" s="225"/>
      <c r="B659" s="213"/>
      <c r="C659" s="356"/>
      <c r="D659" s="330"/>
      <c r="E659" s="157"/>
      <c r="F659" s="12"/>
    </row>
    <row r="660">
      <c r="A660" s="225"/>
      <c r="B660" s="213"/>
      <c r="C660" s="356"/>
      <c r="D660" s="330"/>
      <c r="E660" s="157"/>
      <c r="F660" s="12"/>
    </row>
    <row r="661">
      <c r="A661" s="225"/>
      <c r="B661" s="213"/>
      <c r="C661" s="356"/>
      <c r="D661" s="330"/>
      <c r="E661" s="157"/>
      <c r="F661" s="12"/>
    </row>
    <row r="662">
      <c r="A662" s="225"/>
      <c r="B662" s="213"/>
      <c r="C662" s="356"/>
      <c r="D662" s="330"/>
      <c r="E662" s="157"/>
      <c r="F662" s="12"/>
    </row>
    <row r="663">
      <c r="A663" s="225"/>
      <c r="B663" s="213"/>
      <c r="C663" s="356"/>
      <c r="D663" s="330"/>
      <c r="E663" s="157"/>
      <c r="F663" s="12"/>
    </row>
    <row r="664">
      <c r="A664" s="225"/>
      <c r="B664" s="213"/>
      <c r="C664" s="356"/>
      <c r="D664" s="330"/>
      <c r="E664" s="157"/>
      <c r="F664" s="12"/>
    </row>
    <row r="665">
      <c r="A665" s="225"/>
      <c r="B665" s="213"/>
      <c r="C665" s="356"/>
      <c r="D665" s="330"/>
      <c r="E665" s="157"/>
      <c r="F665" s="12"/>
    </row>
    <row r="666">
      <c r="A666" s="225"/>
      <c r="B666" s="213"/>
      <c r="C666" s="356"/>
      <c r="D666" s="330"/>
      <c r="E666" s="157"/>
      <c r="F666" s="12"/>
    </row>
    <row r="667">
      <c r="A667" s="225"/>
      <c r="B667" s="213"/>
      <c r="C667" s="356"/>
      <c r="D667" s="330"/>
      <c r="E667" s="157"/>
      <c r="F667" s="12"/>
    </row>
    <row r="668">
      <c r="A668" s="225"/>
      <c r="B668" s="213"/>
      <c r="C668" s="356"/>
      <c r="D668" s="330"/>
      <c r="E668" s="157"/>
      <c r="F668" s="12"/>
    </row>
    <row r="669">
      <c r="A669" s="225"/>
      <c r="B669" s="213"/>
      <c r="C669" s="356"/>
      <c r="D669" s="330"/>
      <c r="E669" s="157"/>
      <c r="F669" s="12"/>
    </row>
    <row r="670">
      <c r="A670" s="225"/>
      <c r="B670" s="213"/>
      <c r="C670" s="356"/>
      <c r="D670" s="330"/>
      <c r="E670" s="157"/>
      <c r="F670" s="12"/>
    </row>
    <row r="671">
      <c r="A671" s="225"/>
      <c r="B671" s="213"/>
      <c r="C671" s="356"/>
      <c r="D671" s="330"/>
      <c r="E671" s="157"/>
      <c r="F671" s="12"/>
    </row>
    <row r="672">
      <c r="A672" s="225"/>
      <c r="B672" s="213"/>
      <c r="C672" s="356"/>
      <c r="D672" s="330"/>
      <c r="E672" s="157"/>
      <c r="F672" s="12"/>
    </row>
    <row r="673">
      <c r="A673" s="225"/>
      <c r="B673" s="213"/>
      <c r="C673" s="356"/>
      <c r="D673" s="330"/>
      <c r="E673" s="157"/>
      <c r="F673" s="12"/>
    </row>
    <row r="674">
      <c r="A674" s="225"/>
      <c r="B674" s="213"/>
      <c r="C674" s="356"/>
      <c r="D674" s="330"/>
      <c r="E674" s="157"/>
      <c r="F674" s="12"/>
    </row>
    <row r="675">
      <c r="A675" s="225"/>
      <c r="B675" s="213"/>
      <c r="C675" s="356"/>
      <c r="D675" s="330"/>
      <c r="E675" s="157"/>
      <c r="F675" s="12"/>
    </row>
    <row r="676">
      <c r="A676" s="225"/>
      <c r="B676" s="213"/>
      <c r="C676" s="356"/>
      <c r="D676" s="330"/>
      <c r="E676" s="157"/>
      <c r="F676" s="12"/>
    </row>
    <row r="677">
      <c r="A677" s="225"/>
      <c r="B677" s="213"/>
      <c r="C677" s="356"/>
      <c r="D677" s="330"/>
      <c r="E677" s="157"/>
      <c r="F677" s="12"/>
    </row>
    <row r="678">
      <c r="A678" s="225"/>
      <c r="B678" s="213"/>
      <c r="C678" s="356"/>
      <c r="D678" s="330"/>
      <c r="E678" s="157"/>
      <c r="F678" s="12"/>
    </row>
    <row r="679">
      <c r="A679" s="225"/>
      <c r="B679" s="213"/>
      <c r="C679" s="356"/>
      <c r="D679" s="330"/>
      <c r="E679" s="157"/>
      <c r="F679" s="12"/>
    </row>
    <row r="680">
      <c r="A680" s="225"/>
      <c r="B680" s="213"/>
      <c r="C680" s="356"/>
      <c r="D680" s="330"/>
      <c r="E680" s="157"/>
      <c r="F680" s="12"/>
    </row>
    <row r="681">
      <c r="A681" s="225"/>
      <c r="B681" s="213"/>
      <c r="C681" s="356"/>
      <c r="D681" s="330"/>
      <c r="E681" s="157"/>
      <c r="F681" s="12"/>
    </row>
    <row r="682">
      <c r="A682" s="225"/>
      <c r="B682" s="213"/>
      <c r="C682" s="356"/>
      <c r="D682" s="330"/>
      <c r="E682" s="157"/>
      <c r="F682" s="12"/>
    </row>
    <row r="683">
      <c r="A683" s="225"/>
      <c r="B683" s="213"/>
      <c r="C683" s="356"/>
      <c r="D683" s="330"/>
      <c r="E683" s="157"/>
      <c r="F683" s="12"/>
    </row>
    <row r="684">
      <c r="A684" s="225"/>
      <c r="B684" s="213"/>
      <c r="C684" s="356"/>
      <c r="D684" s="330"/>
      <c r="E684" s="157"/>
      <c r="F684" s="12"/>
    </row>
    <row r="685">
      <c r="A685" s="225"/>
      <c r="B685" s="213"/>
      <c r="C685" s="356"/>
      <c r="D685" s="330"/>
      <c r="E685" s="157"/>
      <c r="F685" s="12"/>
    </row>
    <row r="686">
      <c r="A686" s="225"/>
      <c r="B686" s="213"/>
      <c r="C686" s="356"/>
      <c r="D686" s="330"/>
      <c r="E686" s="157"/>
      <c r="F686" s="12"/>
    </row>
    <row r="687">
      <c r="A687" s="225"/>
      <c r="B687" s="213"/>
      <c r="C687" s="356"/>
      <c r="D687" s="330"/>
      <c r="E687" s="157"/>
      <c r="F687" s="12"/>
    </row>
    <row r="688">
      <c r="A688" s="225"/>
      <c r="B688" s="213"/>
      <c r="C688" s="356"/>
      <c r="D688" s="330"/>
      <c r="E688" s="157"/>
      <c r="F688" s="12"/>
    </row>
    <row r="689">
      <c r="A689" s="225"/>
      <c r="B689" s="213"/>
      <c r="C689" s="356"/>
      <c r="D689" s="330"/>
      <c r="E689" s="157"/>
      <c r="F689" s="12"/>
    </row>
    <row r="690">
      <c r="A690" s="225"/>
      <c r="B690" s="213"/>
      <c r="C690" s="356"/>
      <c r="D690" s="330"/>
      <c r="E690" s="157"/>
      <c r="F690" s="12"/>
    </row>
    <row r="691">
      <c r="A691" s="225"/>
      <c r="B691" s="213"/>
      <c r="C691" s="356"/>
      <c r="D691" s="330"/>
      <c r="E691" s="157"/>
      <c r="F691" s="12"/>
    </row>
    <row r="692">
      <c r="A692" s="225"/>
      <c r="B692" s="213"/>
      <c r="C692" s="356"/>
      <c r="D692" s="330"/>
      <c r="E692" s="157"/>
      <c r="F692" s="12"/>
    </row>
    <row r="693">
      <c r="A693" s="225"/>
      <c r="B693" s="213"/>
      <c r="C693" s="356"/>
      <c r="D693" s="330"/>
      <c r="E693" s="157"/>
      <c r="F693" s="12"/>
    </row>
    <row r="694">
      <c r="A694" s="225"/>
      <c r="B694" s="213"/>
      <c r="C694" s="356"/>
      <c r="D694" s="330"/>
      <c r="E694" s="157"/>
      <c r="F694" s="12"/>
    </row>
    <row r="695">
      <c r="A695" s="225"/>
      <c r="B695" s="213"/>
      <c r="C695" s="356"/>
      <c r="D695" s="330"/>
      <c r="E695" s="157"/>
      <c r="F695" s="12"/>
    </row>
    <row r="696">
      <c r="A696" s="225"/>
      <c r="B696" s="213"/>
      <c r="C696" s="356"/>
      <c r="D696" s="330"/>
      <c r="E696" s="157"/>
      <c r="F696" s="12"/>
    </row>
    <row r="697">
      <c r="A697" s="225"/>
      <c r="B697" s="213"/>
      <c r="C697" s="356"/>
      <c r="D697" s="330"/>
      <c r="E697" s="157"/>
      <c r="F697" s="12"/>
    </row>
    <row r="698">
      <c r="A698" s="225"/>
      <c r="B698" s="213"/>
      <c r="C698" s="356"/>
      <c r="D698" s="330"/>
      <c r="E698" s="157"/>
      <c r="F698" s="12"/>
    </row>
    <row r="699">
      <c r="A699" s="225"/>
      <c r="B699" s="213"/>
      <c r="C699" s="356"/>
      <c r="D699" s="330"/>
      <c r="E699" s="157"/>
      <c r="F699" s="12"/>
    </row>
    <row r="700">
      <c r="A700" s="225"/>
      <c r="B700" s="213"/>
      <c r="C700" s="356"/>
      <c r="D700" s="330"/>
      <c r="E700" s="157"/>
      <c r="F700" s="12"/>
    </row>
    <row r="701">
      <c r="A701" s="225"/>
      <c r="B701" s="213"/>
      <c r="C701" s="356"/>
      <c r="D701" s="330"/>
      <c r="E701" s="157"/>
      <c r="F701" s="12"/>
    </row>
    <row r="702">
      <c r="A702" s="225"/>
      <c r="B702" s="213"/>
      <c r="C702" s="356"/>
      <c r="D702" s="330"/>
      <c r="E702" s="157"/>
      <c r="F702" s="12"/>
    </row>
    <row r="703">
      <c r="A703" s="225"/>
      <c r="B703" s="213"/>
      <c r="C703" s="356"/>
      <c r="D703" s="330"/>
      <c r="E703" s="157"/>
      <c r="F703" s="12"/>
    </row>
    <row r="704">
      <c r="A704" s="225"/>
      <c r="B704" s="213"/>
      <c r="C704" s="356"/>
      <c r="D704" s="330"/>
      <c r="E704" s="157"/>
      <c r="F704" s="12"/>
    </row>
    <row r="705">
      <c r="A705" s="225"/>
      <c r="B705" s="213"/>
      <c r="C705" s="356"/>
      <c r="D705" s="330"/>
      <c r="E705" s="157"/>
      <c r="F705" s="12"/>
    </row>
    <row r="706">
      <c r="A706" s="225"/>
      <c r="B706" s="213"/>
      <c r="C706" s="356"/>
      <c r="D706" s="330"/>
      <c r="E706" s="157"/>
      <c r="F706" s="12"/>
    </row>
    <row r="707">
      <c r="A707" s="225"/>
      <c r="B707" s="213"/>
      <c r="C707" s="356"/>
      <c r="D707" s="330"/>
      <c r="E707" s="157"/>
      <c r="F707" s="12"/>
    </row>
    <row r="708">
      <c r="A708" s="225"/>
      <c r="B708" s="213"/>
      <c r="C708" s="356"/>
      <c r="D708" s="330"/>
      <c r="E708" s="157"/>
      <c r="F708" s="12"/>
    </row>
    <row r="709">
      <c r="A709" s="225"/>
      <c r="B709" s="213"/>
      <c r="C709" s="356"/>
      <c r="D709" s="330"/>
      <c r="E709" s="157"/>
      <c r="F709" s="12"/>
    </row>
    <row r="710">
      <c r="A710" s="225"/>
      <c r="B710" s="213"/>
      <c r="C710" s="356"/>
      <c r="D710" s="330"/>
      <c r="E710" s="157"/>
      <c r="F710" s="12"/>
    </row>
    <row r="711">
      <c r="A711" s="225"/>
      <c r="B711" s="213"/>
      <c r="C711" s="356"/>
      <c r="D711" s="330"/>
      <c r="E711" s="157"/>
      <c r="F711" s="12"/>
    </row>
    <row r="712">
      <c r="A712" s="225"/>
      <c r="B712" s="213"/>
      <c r="C712" s="356"/>
      <c r="D712" s="330"/>
      <c r="E712" s="157"/>
      <c r="F712" s="12"/>
    </row>
    <row r="713">
      <c r="A713" s="225"/>
      <c r="B713" s="213"/>
      <c r="C713" s="356"/>
      <c r="D713" s="330"/>
      <c r="E713" s="157"/>
      <c r="F713" s="12"/>
    </row>
    <row r="714">
      <c r="A714" s="225"/>
      <c r="B714" s="213"/>
      <c r="C714" s="356"/>
      <c r="D714" s="330"/>
      <c r="E714" s="157"/>
      <c r="F714" s="12"/>
    </row>
    <row r="715">
      <c r="A715" s="225"/>
      <c r="B715" s="213"/>
      <c r="C715" s="356"/>
      <c r="D715" s="330"/>
      <c r="E715" s="157"/>
      <c r="F715" s="12"/>
    </row>
    <row r="716">
      <c r="A716" s="225"/>
      <c r="B716" s="213"/>
      <c r="C716" s="356"/>
      <c r="D716" s="330"/>
      <c r="E716" s="157"/>
      <c r="F716" s="12"/>
    </row>
    <row r="717">
      <c r="A717" s="225"/>
      <c r="B717" s="213"/>
      <c r="C717" s="356"/>
      <c r="D717" s="330"/>
      <c r="E717" s="157"/>
      <c r="F717" s="12"/>
    </row>
    <row r="718">
      <c r="A718" s="225"/>
      <c r="B718" s="213"/>
      <c r="C718" s="356"/>
      <c r="D718" s="330"/>
      <c r="E718" s="157"/>
      <c r="F718" s="12"/>
    </row>
    <row r="719">
      <c r="A719" s="225"/>
      <c r="B719" s="213"/>
      <c r="C719" s="356"/>
      <c r="D719" s="330"/>
      <c r="E719" s="157"/>
      <c r="F719" s="12"/>
    </row>
    <row r="720">
      <c r="A720" s="225"/>
      <c r="B720" s="213"/>
      <c r="C720" s="356"/>
      <c r="D720" s="330"/>
      <c r="E720" s="157"/>
      <c r="F720" s="12"/>
    </row>
    <row r="721">
      <c r="A721" s="225"/>
      <c r="B721" s="213"/>
      <c r="C721" s="356"/>
      <c r="D721" s="330"/>
      <c r="E721" s="157"/>
      <c r="F721" s="12"/>
    </row>
    <row r="722">
      <c r="A722" s="225"/>
      <c r="B722" s="213"/>
      <c r="C722" s="356"/>
      <c r="D722" s="330"/>
      <c r="E722" s="157"/>
      <c r="F722" s="12"/>
    </row>
    <row r="723">
      <c r="A723" s="225"/>
      <c r="B723" s="213"/>
      <c r="C723" s="356"/>
      <c r="D723" s="330"/>
      <c r="E723" s="157"/>
      <c r="F723" s="12"/>
    </row>
    <row r="724">
      <c r="A724" s="225"/>
      <c r="B724" s="213"/>
      <c r="C724" s="356"/>
      <c r="D724" s="330"/>
      <c r="E724" s="157"/>
      <c r="F724" s="12"/>
    </row>
    <row r="725">
      <c r="A725" s="225"/>
      <c r="B725" s="213"/>
      <c r="C725" s="356"/>
      <c r="D725" s="330"/>
      <c r="E725" s="157"/>
      <c r="F725" s="12"/>
    </row>
    <row r="726">
      <c r="A726" s="225"/>
      <c r="B726" s="213"/>
      <c r="C726" s="356"/>
      <c r="D726" s="330"/>
      <c r="E726" s="157"/>
      <c r="F726" s="12"/>
    </row>
    <row r="727">
      <c r="A727" s="225"/>
      <c r="B727" s="213"/>
      <c r="C727" s="356"/>
      <c r="D727" s="330"/>
      <c r="E727" s="157"/>
      <c r="F727" s="12"/>
    </row>
    <row r="728">
      <c r="A728" s="225"/>
      <c r="B728" s="213"/>
      <c r="C728" s="356"/>
      <c r="D728" s="330"/>
      <c r="E728" s="157"/>
      <c r="F728" s="12"/>
    </row>
    <row r="729">
      <c r="A729" s="225"/>
      <c r="B729" s="213"/>
      <c r="C729" s="356"/>
      <c r="D729" s="330"/>
      <c r="E729" s="157"/>
      <c r="F729" s="12"/>
    </row>
    <row r="730">
      <c r="A730" s="225"/>
      <c r="B730" s="213"/>
      <c r="C730" s="356"/>
      <c r="D730" s="330"/>
      <c r="E730" s="157"/>
      <c r="F730" s="12"/>
    </row>
    <row r="731">
      <c r="A731" s="225"/>
      <c r="B731" s="213"/>
      <c r="C731" s="356"/>
      <c r="D731" s="330"/>
      <c r="E731" s="157"/>
      <c r="F731" s="12"/>
    </row>
    <row r="732">
      <c r="A732" s="225"/>
      <c r="B732" s="213"/>
      <c r="C732" s="356"/>
      <c r="D732" s="330"/>
      <c r="E732" s="157"/>
      <c r="F732" s="12"/>
    </row>
    <row r="733">
      <c r="A733" s="225"/>
      <c r="B733" s="213"/>
      <c r="C733" s="356"/>
      <c r="D733" s="330"/>
      <c r="E733" s="157"/>
      <c r="F733" s="12"/>
    </row>
    <row r="734">
      <c r="A734" s="225"/>
      <c r="B734" s="213"/>
      <c r="C734" s="356"/>
      <c r="D734" s="330"/>
      <c r="E734" s="157"/>
      <c r="F734" s="12"/>
    </row>
    <row r="735">
      <c r="A735" s="225"/>
      <c r="B735" s="213"/>
      <c r="C735" s="356"/>
      <c r="D735" s="330"/>
      <c r="E735" s="157"/>
      <c r="F735" s="12"/>
    </row>
    <row r="736">
      <c r="A736" s="225"/>
      <c r="B736" s="213"/>
      <c r="C736" s="356"/>
      <c r="D736" s="330"/>
      <c r="E736" s="157"/>
      <c r="F736" s="12"/>
    </row>
    <row r="737">
      <c r="A737" s="225"/>
      <c r="B737" s="213"/>
      <c r="C737" s="356"/>
      <c r="D737" s="330"/>
      <c r="E737" s="157"/>
      <c r="F737" s="12"/>
    </row>
    <row r="738">
      <c r="A738" s="225"/>
      <c r="B738" s="213"/>
      <c r="C738" s="356"/>
      <c r="D738" s="330"/>
      <c r="E738" s="157"/>
      <c r="F738" s="12"/>
    </row>
    <row r="739">
      <c r="A739" s="225"/>
      <c r="B739" s="213"/>
      <c r="C739" s="356"/>
      <c r="D739" s="330"/>
      <c r="E739" s="157"/>
      <c r="F739" s="12"/>
    </row>
    <row r="740">
      <c r="A740" s="225"/>
      <c r="B740" s="213"/>
      <c r="C740" s="356"/>
      <c r="D740" s="330"/>
      <c r="E740" s="157"/>
      <c r="F740" s="12"/>
    </row>
    <row r="741">
      <c r="A741" s="225"/>
      <c r="B741" s="213"/>
      <c r="C741" s="356"/>
      <c r="D741" s="330"/>
      <c r="E741" s="157"/>
      <c r="F741" s="12"/>
    </row>
    <row r="742">
      <c r="A742" s="225"/>
      <c r="B742" s="213"/>
      <c r="C742" s="356"/>
      <c r="D742" s="330"/>
      <c r="E742" s="157"/>
      <c r="F742" s="12"/>
    </row>
    <row r="743">
      <c r="A743" s="225"/>
      <c r="B743" s="213"/>
      <c r="C743" s="356"/>
      <c r="D743" s="330"/>
      <c r="E743" s="157"/>
      <c r="F743" s="12"/>
    </row>
    <row r="744">
      <c r="A744" s="225"/>
      <c r="B744" s="213"/>
      <c r="C744" s="356"/>
      <c r="D744" s="330"/>
      <c r="E744" s="157"/>
      <c r="F744" s="12"/>
    </row>
    <row r="745">
      <c r="A745" s="225"/>
      <c r="B745" s="213"/>
      <c r="C745" s="356"/>
      <c r="D745" s="330"/>
      <c r="E745" s="157"/>
      <c r="F745" s="12"/>
    </row>
    <row r="746">
      <c r="A746" s="225"/>
      <c r="B746" s="213"/>
      <c r="C746" s="356"/>
      <c r="D746" s="330"/>
      <c r="E746" s="157"/>
      <c r="F746" s="12"/>
    </row>
    <row r="747">
      <c r="A747" s="225"/>
      <c r="B747" s="213"/>
      <c r="C747" s="356"/>
      <c r="D747" s="330"/>
      <c r="E747" s="157"/>
      <c r="F747" s="12"/>
    </row>
    <row r="748">
      <c r="A748" s="225"/>
      <c r="B748" s="213"/>
      <c r="C748" s="356"/>
      <c r="D748" s="330"/>
      <c r="E748" s="157"/>
      <c r="F748" s="12"/>
    </row>
    <row r="749">
      <c r="A749" s="225"/>
      <c r="B749" s="213"/>
      <c r="C749" s="356"/>
      <c r="D749" s="330"/>
      <c r="E749" s="157"/>
      <c r="F749" s="12"/>
    </row>
    <row r="750">
      <c r="A750" s="225"/>
      <c r="B750" s="213"/>
      <c r="C750" s="356"/>
      <c r="D750" s="330"/>
      <c r="E750" s="157"/>
      <c r="F750" s="12"/>
    </row>
    <row r="751">
      <c r="A751" s="225"/>
      <c r="B751" s="213"/>
      <c r="C751" s="356"/>
      <c r="D751" s="330"/>
      <c r="E751" s="157"/>
      <c r="F751" s="12"/>
    </row>
    <row r="752">
      <c r="A752" s="225"/>
      <c r="B752" s="213"/>
      <c r="C752" s="356"/>
      <c r="D752" s="330"/>
      <c r="E752" s="157"/>
      <c r="F752" s="12"/>
    </row>
    <row r="753">
      <c r="A753" s="225"/>
      <c r="B753" s="213"/>
      <c r="C753" s="356"/>
      <c r="D753" s="330"/>
      <c r="E753" s="157"/>
      <c r="F753" s="12"/>
    </row>
    <row r="754">
      <c r="A754" s="225"/>
      <c r="B754" s="213"/>
      <c r="C754" s="356"/>
      <c r="D754" s="330"/>
      <c r="E754" s="157"/>
      <c r="F754" s="12"/>
    </row>
    <row r="755">
      <c r="A755" s="225"/>
      <c r="B755" s="213"/>
      <c r="C755" s="356"/>
      <c r="D755" s="330"/>
      <c r="E755" s="157"/>
      <c r="F755" s="12"/>
    </row>
    <row r="756">
      <c r="A756" s="225"/>
      <c r="B756" s="213"/>
      <c r="C756" s="356"/>
      <c r="D756" s="330"/>
      <c r="E756" s="157"/>
      <c r="F756" s="12"/>
    </row>
    <row r="757">
      <c r="A757" s="225"/>
      <c r="B757" s="213"/>
      <c r="C757" s="356"/>
      <c r="D757" s="330"/>
      <c r="E757" s="157"/>
      <c r="F757" s="12"/>
    </row>
    <row r="758">
      <c r="A758" s="225"/>
      <c r="B758" s="213"/>
      <c r="C758" s="356"/>
      <c r="D758" s="330"/>
      <c r="E758" s="157"/>
      <c r="F758" s="12"/>
    </row>
    <row r="759">
      <c r="A759" s="225"/>
      <c r="B759" s="213"/>
      <c r="C759" s="356"/>
      <c r="D759" s="330"/>
      <c r="E759" s="157"/>
      <c r="F759" s="12"/>
    </row>
    <row r="760">
      <c r="A760" s="225"/>
      <c r="B760" s="213"/>
      <c r="C760" s="356"/>
      <c r="D760" s="330"/>
      <c r="E760" s="157"/>
      <c r="F760" s="12"/>
    </row>
    <row r="761">
      <c r="A761" s="225"/>
      <c r="B761" s="213"/>
      <c r="C761" s="356"/>
      <c r="D761" s="330"/>
      <c r="E761" s="157"/>
      <c r="F761" s="12"/>
    </row>
    <row r="762">
      <c r="A762" s="225"/>
      <c r="B762" s="213"/>
      <c r="C762" s="356"/>
      <c r="D762" s="330"/>
      <c r="E762" s="157"/>
      <c r="F762" s="12"/>
    </row>
    <row r="763">
      <c r="A763" s="225"/>
      <c r="B763" s="213"/>
      <c r="C763" s="356"/>
      <c r="D763" s="330"/>
      <c r="E763" s="157"/>
      <c r="F763" s="12"/>
    </row>
    <row r="764">
      <c r="A764" s="225"/>
      <c r="B764" s="213"/>
      <c r="C764" s="356"/>
      <c r="D764" s="330"/>
      <c r="E764" s="157"/>
      <c r="F764" s="12"/>
    </row>
    <row r="765">
      <c r="A765" s="225"/>
      <c r="B765" s="213"/>
      <c r="C765" s="356"/>
      <c r="D765" s="330"/>
      <c r="E765" s="157"/>
      <c r="F765" s="12"/>
    </row>
    <row r="766">
      <c r="A766" s="225"/>
      <c r="B766" s="213"/>
      <c r="C766" s="356"/>
      <c r="D766" s="330"/>
      <c r="E766" s="157"/>
      <c r="F766" s="12"/>
    </row>
    <row r="767">
      <c r="A767" s="225"/>
      <c r="B767" s="213"/>
      <c r="C767" s="356"/>
      <c r="D767" s="330"/>
      <c r="E767" s="157"/>
      <c r="F767" s="12"/>
    </row>
    <row r="768">
      <c r="A768" s="225"/>
      <c r="B768" s="213"/>
      <c r="C768" s="356"/>
      <c r="D768" s="330"/>
      <c r="E768" s="157"/>
      <c r="F768" s="12"/>
    </row>
    <row r="769">
      <c r="A769" s="225"/>
      <c r="B769" s="213"/>
      <c r="C769" s="356"/>
      <c r="D769" s="330"/>
      <c r="E769" s="157"/>
      <c r="F769" s="12"/>
    </row>
    <row r="770">
      <c r="A770" s="225"/>
      <c r="B770" s="213"/>
      <c r="C770" s="356"/>
      <c r="D770" s="330"/>
      <c r="E770" s="157"/>
      <c r="F770" s="12"/>
    </row>
    <row r="771">
      <c r="A771" s="225"/>
      <c r="B771" s="213"/>
      <c r="C771" s="356"/>
      <c r="D771" s="330"/>
      <c r="E771" s="157"/>
      <c r="F771" s="12"/>
    </row>
    <row r="772">
      <c r="A772" s="225"/>
      <c r="B772" s="213"/>
      <c r="C772" s="356"/>
      <c r="D772" s="330"/>
      <c r="E772" s="157"/>
      <c r="F772" s="12"/>
    </row>
    <row r="773">
      <c r="A773" s="225"/>
      <c r="B773" s="213"/>
      <c r="C773" s="356"/>
      <c r="D773" s="330"/>
      <c r="E773" s="157"/>
      <c r="F773" s="12"/>
    </row>
    <row r="774">
      <c r="A774" s="225"/>
      <c r="B774" s="213"/>
      <c r="C774" s="356"/>
      <c r="D774" s="330"/>
      <c r="E774" s="157"/>
      <c r="F774" s="12"/>
    </row>
    <row r="775">
      <c r="A775" s="225"/>
      <c r="B775" s="213"/>
      <c r="C775" s="356"/>
      <c r="D775" s="330"/>
      <c r="E775" s="157"/>
      <c r="F775" s="12"/>
    </row>
    <row r="776">
      <c r="A776" s="225"/>
      <c r="B776" s="213"/>
      <c r="C776" s="356"/>
      <c r="D776" s="330"/>
      <c r="E776" s="157"/>
      <c r="F776" s="12"/>
    </row>
    <row r="777">
      <c r="A777" s="225"/>
      <c r="B777" s="213"/>
      <c r="C777" s="356"/>
      <c r="D777" s="330"/>
      <c r="E777" s="157"/>
      <c r="F777" s="12"/>
    </row>
    <row r="778">
      <c r="A778" s="225"/>
      <c r="B778" s="213"/>
      <c r="C778" s="356"/>
      <c r="D778" s="330"/>
      <c r="E778" s="157"/>
      <c r="F778" s="12"/>
    </row>
    <row r="779">
      <c r="A779" s="225"/>
      <c r="B779" s="213"/>
      <c r="C779" s="356"/>
      <c r="D779" s="330"/>
      <c r="E779" s="157"/>
      <c r="F779" s="12"/>
    </row>
    <row r="780">
      <c r="A780" s="225"/>
      <c r="B780" s="213"/>
      <c r="C780" s="356"/>
      <c r="D780" s="330"/>
      <c r="E780" s="157"/>
      <c r="F780" s="12"/>
    </row>
    <row r="781">
      <c r="A781" s="225"/>
      <c r="B781" s="213"/>
      <c r="C781" s="356"/>
      <c r="D781" s="330"/>
      <c r="E781" s="157"/>
      <c r="F781" s="12"/>
    </row>
    <row r="782">
      <c r="A782" s="225"/>
      <c r="B782" s="213"/>
      <c r="C782" s="356"/>
      <c r="D782" s="330"/>
      <c r="E782" s="157"/>
      <c r="F782" s="12"/>
    </row>
    <row r="783">
      <c r="A783" s="225"/>
      <c r="B783" s="213"/>
      <c r="C783" s="356"/>
      <c r="D783" s="330"/>
      <c r="E783" s="157"/>
      <c r="F783" s="12"/>
    </row>
    <row r="784">
      <c r="A784" s="225"/>
      <c r="B784" s="213"/>
      <c r="C784" s="356"/>
      <c r="D784" s="330"/>
      <c r="E784" s="157"/>
      <c r="F784" s="12"/>
    </row>
    <row r="785">
      <c r="A785" s="225"/>
      <c r="B785" s="213"/>
      <c r="C785" s="356"/>
      <c r="D785" s="330"/>
      <c r="E785" s="157"/>
      <c r="F785" s="12"/>
    </row>
    <row r="786">
      <c r="A786" s="225"/>
      <c r="B786" s="213"/>
      <c r="C786" s="356"/>
      <c r="D786" s="330"/>
      <c r="E786" s="157"/>
      <c r="F786" s="12"/>
    </row>
    <row r="787">
      <c r="A787" s="225"/>
      <c r="B787" s="213"/>
      <c r="C787" s="356"/>
      <c r="D787" s="330"/>
      <c r="E787" s="157"/>
      <c r="F787" s="12"/>
    </row>
    <row r="788">
      <c r="A788" s="225"/>
      <c r="B788" s="213"/>
      <c r="C788" s="356"/>
      <c r="D788" s="330"/>
      <c r="E788" s="157"/>
      <c r="F788" s="12"/>
    </row>
    <row r="789">
      <c r="A789" s="225"/>
      <c r="B789" s="213"/>
      <c r="C789" s="356"/>
      <c r="D789" s="330"/>
      <c r="E789" s="157"/>
      <c r="F789" s="12"/>
    </row>
    <row r="790">
      <c r="A790" s="225"/>
      <c r="B790" s="213"/>
      <c r="C790" s="356"/>
      <c r="D790" s="330"/>
      <c r="E790" s="157"/>
      <c r="F790" s="12"/>
    </row>
    <row r="791">
      <c r="A791" s="225"/>
      <c r="B791" s="213"/>
      <c r="C791" s="356"/>
      <c r="D791" s="330"/>
      <c r="E791" s="157"/>
      <c r="F791" s="12"/>
    </row>
    <row r="792">
      <c r="A792" s="225"/>
      <c r="B792" s="213"/>
      <c r="C792" s="356"/>
      <c r="D792" s="330"/>
      <c r="E792" s="157"/>
      <c r="F792" s="12"/>
    </row>
    <row r="793">
      <c r="A793" s="225"/>
      <c r="B793" s="213"/>
      <c r="C793" s="356"/>
      <c r="D793" s="330"/>
      <c r="E793" s="157"/>
      <c r="F793" s="12"/>
    </row>
    <row r="794">
      <c r="A794" s="225"/>
      <c r="B794" s="213"/>
      <c r="C794" s="356"/>
      <c r="D794" s="330"/>
      <c r="E794" s="157"/>
      <c r="F794" s="12"/>
    </row>
    <row r="795">
      <c r="A795" s="225"/>
      <c r="B795" s="213"/>
      <c r="C795" s="356"/>
      <c r="D795" s="330"/>
      <c r="E795" s="157"/>
      <c r="F795" s="12"/>
    </row>
    <row r="796">
      <c r="A796" s="225"/>
      <c r="B796" s="213"/>
      <c r="C796" s="356"/>
      <c r="D796" s="330"/>
      <c r="E796" s="157"/>
      <c r="F796" s="12"/>
    </row>
    <row r="797">
      <c r="A797" s="225"/>
      <c r="B797" s="213"/>
      <c r="C797" s="356"/>
      <c r="D797" s="330"/>
      <c r="E797" s="157"/>
      <c r="F797" s="12"/>
    </row>
    <row r="798">
      <c r="A798" s="225"/>
      <c r="B798" s="213"/>
      <c r="C798" s="356"/>
      <c r="D798" s="330"/>
      <c r="E798" s="157"/>
      <c r="F798" s="12"/>
    </row>
    <row r="799">
      <c r="A799" s="225"/>
      <c r="B799" s="213"/>
      <c r="C799" s="356"/>
      <c r="D799" s="330"/>
      <c r="E799" s="157"/>
      <c r="F799" s="12"/>
    </row>
    <row r="800">
      <c r="A800" s="225"/>
      <c r="B800" s="213"/>
      <c r="C800" s="356"/>
      <c r="D800" s="330"/>
      <c r="E800" s="157"/>
      <c r="F800" s="12"/>
    </row>
    <row r="801">
      <c r="A801" s="225"/>
      <c r="B801" s="213"/>
      <c r="C801" s="356"/>
      <c r="D801" s="330"/>
      <c r="E801" s="157"/>
      <c r="F801" s="12"/>
    </row>
    <row r="802">
      <c r="A802" s="225"/>
      <c r="B802" s="213"/>
      <c r="C802" s="356"/>
      <c r="D802" s="330"/>
      <c r="E802" s="157"/>
      <c r="F802" s="12"/>
    </row>
    <row r="803">
      <c r="A803" s="225"/>
      <c r="B803" s="213"/>
      <c r="C803" s="356"/>
      <c r="D803" s="330"/>
      <c r="E803" s="157"/>
      <c r="F803" s="12"/>
    </row>
    <row r="804">
      <c r="A804" s="225"/>
      <c r="B804" s="213"/>
      <c r="C804" s="356"/>
      <c r="D804" s="330"/>
      <c r="E804" s="157"/>
      <c r="F804" s="12"/>
    </row>
    <row r="805">
      <c r="A805" s="225"/>
      <c r="B805" s="213"/>
      <c r="C805" s="356"/>
      <c r="D805" s="330"/>
      <c r="E805" s="157"/>
      <c r="F805" s="12"/>
    </row>
    <row r="806">
      <c r="A806" s="225"/>
      <c r="B806" s="213"/>
      <c r="C806" s="356"/>
      <c r="D806" s="330"/>
      <c r="E806" s="157"/>
      <c r="F806" s="12"/>
    </row>
    <row r="807">
      <c r="A807" s="225"/>
      <c r="B807" s="213"/>
      <c r="C807" s="356"/>
      <c r="D807" s="330"/>
      <c r="E807" s="157"/>
      <c r="F807" s="12"/>
    </row>
    <row r="808">
      <c r="A808" s="225"/>
      <c r="B808" s="213"/>
      <c r="C808" s="356"/>
      <c r="D808" s="330"/>
      <c r="E808" s="157"/>
      <c r="F808" s="12"/>
    </row>
    <row r="809">
      <c r="A809" s="225"/>
      <c r="B809" s="213"/>
      <c r="C809" s="356"/>
      <c r="D809" s="330"/>
      <c r="E809" s="157"/>
      <c r="F809" s="12"/>
    </row>
    <row r="810">
      <c r="A810" s="225"/>
      <c r="B810" s="213"/>
      <c r="C810" s="356"/>
      <c r="D810" s="330"/>
      <c r="E810" s="157"/>
      <c r="F810" s="12"/>
    </row>
    <row r="811">
      <c r="A811" s="225"/>
      <c r="B811" s="213"/>
      <c r="C811" s="356"/>
      <c r="D811" s="330"/>
      <c r="E811" s="157"/>
      <c r="F811" s="12"/>
    </row>
    <row r="812">
      <c r="A812" s="225"/>
      <c r="B812" s="213"/>
      <c r="C812" s="356"/>
      <c r="D812" s="330"/>
      <c r="E812" s="157"/>
      <c r="F812" s="12"/>
    </row>
    <row r="813">
      <c r="A813" s="225"/>
      <c r="B813" s="213"/>
      <c r="C813" s="356"/>
      <c r="D813" s="330"/>
      <c r="E813" s="157"/>
      <c r="F813" s="12"/>
    </row>
    <row r="814">
      <c r="A814" s="225"/>
      <c r="B814" s="213"/>
      <c r="C814" s="356"/>
      <c r="D814" s="330"/>
      <c r="E814" s="157"/>
      <c r="F814" s="12"/>
    </row>
    <row r="815">
      <c r="A815" s="225"/>
      <c r="B815" s="213"/>
      <c r="C815" s="356"/>
      <c r="D815" s="330"/>
      <c r="E815" s="157"/>
      <c r="F815" s="12"/>
    </row>
    <row r="816">
      <c r="A816" s="225"/>
      <c r="B816" s="213"/>
      <c r="C816" s="356"/>
      <c r="D816" s="330"/>
      <c r="E816" s="157"/>
      <c r="F816" s="12"/>
    </row>
    <row r="817">
      <c r="A817" s="225"/>
      <c r="B817" s="213"/>
      <c r="C817" s="356"/>
      <c r="D817" s="330"/>
      <c r="E817" s="157"/>
      <c r="F817" s="12"/>
    </row>
    <row r="818">
      <c r="A818" s="225"/>
      <c r="B818" s="213"/>
      <c r="C818" s="356"/>
      <c r="D818" s="330"/>
      <c r="E818" s="157"/>
      <c r="F818" s="12"/>
    </row>
    <row r="819">
      <c r="A819" s="225"/>
      <c r="B819" s="213"/>
      <c r="C819" s="356"/>
      <c r="D819" s="330"/>
      <c r="E819" s="157"/>
      <c r="F819" s="12"/>
    </row>
    <row r="820">
      <c r="A820" s="225"/>
      <c r="B820" s="213"/>
      <c r="C820" s="356"/>
      <c r="D820" s="330"/>
      <c r="E820" s="157"/>
      <c r="F820" s="12"/>
    </row>
    <row r="821">
      <c r="A821" s="225"/>
      <c r="B821" s="213"/>
      <c r="C821" s="356"/>
      <c r="D821" s="330"/>
      <c r="E821" s="157"/>
      <c r="F821" s="12"/>
    </row>
    <row r="822">
      <c r="A822" s="225"/>
      <c r="B822" s="213"/>
      <c r="C822" s="356"/>
      <c r="D822" s="330"/>
      <c r="E822" s="157"/>
      <c r="F822" s="12"/>
    </row>
    <row r="823">
      <c r="A823" s="225"/>
      <c r="B823" s="213"/>
      <c r="C823" s="356"/>
      <c r="D823" s="330"/>
      <c r="E823" s="157"/>
      <c r="F823" s="12"/>
    </row>
    <row r="824">
      <c r="A824" s="225"/>
      <c r="B824" s="213"/>
      <c r="C824" s="356"/>
      <c r="D824" s="330"/>
      <c r="E824" s="157"/>
      <c r="F824" s="12"/>
    </row>
    <row r="825">
      <c r="A825" s="225"/>
      <c r="B825" s="213"/>
      <c r="C825" s="356"/>
      <c r="D825" s="330"/>
      <c r="E825" s="157"/>
      <c r="F825" s="12"/>
    </row>
    <row r="826">
      <c r="A826" s="225"/>
      <c r="B826" s="213"/>
      <c r="C826" s="356"/>
      <c r="D826" s="330"/>
      <c r="E826" s="157"/>
      <c r="F826" s="12"/>
    </row>
    <row r="827">
      <c r="A827" s="225"/>
      <c r="B827" s="213"/>
      <c r="C827" s="356"/>
      <c r="D827" s="330"/>
      <c r="E827" s="157"/>
      <c r="F827" s="12"/>
    </row>
    <row r="828">
      <c r="A828" s="225"/>
      <c r="B828" s="213"/>
      <c r="C828" s="356"/>
      <c r="D828" s="330"/>
      <c r="E828" s="157"/>
      <c r="F828" s="12"/>
    </row>
    <row r="829">
      <c r="A829" s="225"/>
      <c r="B829" s="213"/>
      <c r="C829" s="356"/>
      <c r="D829" s="330"/>
      <c r="E829" s="157"/>
      <c r="F829" s="12"/>
    </row>
    <row r="830">
      <c r="A830" s="225"/>
      <c r="B830" s="213"/>
      <c r="C830" s="356"/>
      <c r="D830" s="330"/>
      <c r="E830" s="157"/>
      <c r="F830" s="12"/>
    </row>
    <row r="831">
      <c r="A831" s="225"/>
      <c r="B831" s="213"/>
      <c r="C831" s="356"/>
      <c r="D831" s="330"/>
      <c r="E831" s="157"/>
      <c r="F831" s="12"/>
    </row>
    <row r="832">
      <c r="A832" s="225"/>
      <c r="B832" s="213"/>
      <c r="C832" s="356"/>
      <c r="D832" s="330"/>
      <c r="E832" s="157"/>
      <c r="F832" s="12"/>
    </row>
    <row r="833">
      <c r="A833" s="225"/>
      <c r="B833" s="213"/>
      <c r="C833" s="356"/>
      <c r="D833" s="330"/>
      <c r="E833" s="157"/>
      <c r="F833" s="12"/>
    </row>
    <row r="834">
      <c r="A834" s="225"/>
      <c r="B834" s="213"/>
      <c r="C834" s="356"/>
      <c r="D834" s="330"/>
      <c r="E834" s="157"/>
      <c r="F834" s="12"/>
    </row>
    <row r="835">
      <c r="A835" s="225"/>
      <c r="B835" s="213"/>
      <c r="C835" s="356"/>
      <c r="D835" s="330"/>
      <c r="E835" s="157"/>
      <c r="F835" s="12"/>
    </row>
    <row r="836">
      <c r="A836" s="225"/>
      <c r="B836" s="213"/>
      <c r="C836" s="356"/>
      <c r="D836" s="330"/>
      <c r="E836" s="157"/>
      <c r="F836" s="12"/>
    </row>
    <row r="837">
      <c r="A837" s="225"/>
      <c r="B837" s="213"/>
      <c r="C837" s="356"/>
      <c r="D837" s="330"/>
      <c r="E837" s="157"/>
      <c r="F837" s="12"/>
    </row>
    <row r="838">
      <c r="A838" s="225"/>
      <c r="B838" s="213"/>
      <c r="C838" s="356"/>
      <c r="D838" s="330"/>
      <c r="E838" s="157"/>
      <c r="F838" s="12"/>
    </row>
    <row r="839">
      <c r="A839" s="225"/>
      <c r="B839" s="213"/>
      <c r="C839" s="356"/>
      <c r="D839" s="330"/>
      <c r="E839" s="157"/>
      <c r="F839" s="12"/>
    </row>
    <row r="840">
      <c r="A840" s="225"/>
      <c r="B840" s="213"/>
      <c r="C840" s="356"/>
      <c r="D840" s="330"/>
      <c r="E840" s="157"/>
      <c r="F840" s="12"/>
    </row>
    <row r="841">
      <c r="A841" s="225"/>
      <c r="B841" s="213"/>
      <c r="C841" s="356"/>
      <c r="D841" s="330"/>
      <c r="E841" s="157"/>
      <c r="F841" s="12"/>
    </row>
    <row r="842">
      <c r="A842" s="225"/>
      <c r="B842" s="213"/>
      <c r="C842" s="356"/>
      <c r="D842" s="330"/>
      <c r="E842" s="157"/>
      <c r="F842" s="12"/>
    </row>
    <row r="843">
      <c r="A843" s="225"/>
      <c r="B843" s="213"/>
      <c r="C843" s="356"/>
      <c r="D843" s="330"/>
      <c r="E843" s="157"/>
      <c r="F843" s="12"/>
    </row>
    <row r="844">
      <c r="A844" s="225"/>
      <c r="B844" s="213"/>
      <c r="C844" s="356"/>
      <c r="D844" s="330"/>
      <c r="E844" s="157"/>
      <c r="F844" s="12"/>
    </row>
    <row r="845">
      <c r="A845" s="225"/>
      <c r="B845" s="213"/>
      <c r="C845" s="356"/>
      <c r="D845" s="330"/>
      <c r="E845" s="157"/>
      <c r="F845" s="12"/>
    </row>
    <row r="846">
      <c r="A846" s="225"/>
      <c r="B846" s="213"/>
      <c r="C846" s="356"/>
      <c r="D846" s="330"/>
      <c r="E846" s="157"/>
      <c r="F846" s="12"/>
    </row>
    <row r="847">
      <c r="A847" s="225"/>
      <c r="B847" s="213"/>
      <c r="C847" s="356"/>
      <c r="D847" s="330"/>
      <c r="E847" s="157"/>
      <c r="F847" s="12"/>
    </row>
    <row r="848">
      <c r="A848" s="225"/>
      <c r="B848" s="213"/>
      <c r="C848" s="356"/>
      <c r="D848" s="330"/>
      <c r="E848" s="157"/>
      <c r="F848" s="12"/>
    </row>
    <row r="849">
      <c r="A849" s="225"/>
      <c r="B849" s="213"/>
      <c r="C849" s="356"/>
      <c r="D849" s="330"/>
      <c r="E849" s="157"/>
      <c r="F849" s="12"/>
    </row>
    <row r="850">
      <c r="A850" s="225"/>
      <c r="B850" s="213"/>
      <c r="C850" s="356"/>
      <c r="D850" s="330"/>
      <c r="E850" s="157"/>
      <c r="F850" s="12"/>
    </row>
    <row r="851">
      <c r="A851" s="225"/>
      <c r="B851" s="213"/>
      <c r="C851" s="356"/>
      <c r="D851" s="330"/>
      <c r="E851" s="157"/>
      <c r="F851" s="12"/>
    </row>
    <row r="852">
      <c r="A852" s="225"/>
      <c r="B852" s="213"/>
      <c r="C852" s="356"/>
      <c r="D852" s="330"/>
      <c r="E852" s="157"/>
      <c r="F852" s="12"/>
    </row>
    <row r="853">
      <c r="A853" s="225"/>
      <c r="B853" s="213"/>
      <c r="C853" s="356"/>
      <c r="D853" s="330"/>
      <c r="E853" s="157"/>
      <c r="F853" s="12"/>
    </row>
    <row r="854">
      <c r="A854" s="225"/>
      <c r="B854" s="213"/>
      <c r="C854" s="356"/>
      <c r="D854" s="330"/>
      <c r="E854" s="157"/>
      <c r="F854" s="12"/>
    </row>
    <row r="855">
      <c r="A855" s="225"/>
      <c r="B855" s="213"/>
      <c r="C855" s="356"/>
      <c r="D855" s="330"/>
      <c r="E855" s="157"/>
      <c r="F855" s="12"/>
    </row>
    <row r="856">
      <c r="A856" s="225"/>
      <c r="B856" s="213"/>
      <c r="C856" s="356"/>
      <c r="D856" s="330"/>
      <c r="E856" s="157"/>
      <c r="F856" s="12"/>
    </row>
    <row r="857">
      <c r="A857" s="225"/>
      <c r="B857" s="213"/>
      <c r="C857" s="356"/>
      <c r="D857" s="330"/>
      <c r="E857" s="157"/>
      <c r="F857" s="12"/>
    </row>
    <row r="858">
      <c r="A858" s="225"/>
      <c r="B858" s="213"/>
      <c r="C858" s="356"/>
      <c r="D858" s="330"/>
      <c r="E858" s="157"/>
      <c r="F858" s="12"/>
    </row>
    <row r="859">
      <c r="A859" s="225"/>
      <c r="B859" s="213"/>
      <c r="C859" s="356"/>
      <c r="D859" s="330"/>
      <c r="E859" s="157"/>
      <c r="F859" s="12"/>
    </row>
    <row r="860">
      <c r="A860" s="225"/>
      <c r="B860" s="213"/>
      <c r="C860" s="356"/>
      <c r="D860" s="330"/>
      <c r="E860" s="157"/>
      <c r="F860" s="12"/>
    </row>
    <row r="861">
      <c r="A861" s="225"/>
      <c r="B861" s="213"/>
      <c r="C861" s="356"/>
      <c r="D861" s="330"/>
      <c r="E861" s="157"/>
      <c r="F861" s="12"/>
    </row>
    <row r="862">
      <c r="A862" s="225"/>
      <c r="B862" s="213"/>
      <c r="C862" s="356"/>
      <c r="D862" s="330"/>
      <c r="E862" s="157"/>
      <c r="F862" s="12"/>
    </row>
    <row r="863">
      <c r="A863" s="225"/>
      <c r="B863" s="213"/>
      <c r="C863" s="356"/>
      <c r="D863" s="330"/>
      <c r="E863" s="157"/>
      <c r="F863" s="12"/>
    </row>
    <row r="864">
      <c r="A864" s="225"/>
      <c r="B864" s="213"/>
      <c r="C864" s="356"/>
      <c r="D864" s="330"/>
      <c r="E864" s="157"/>
      <c r="F864" s="12"/>
    </row>
    <row r="865">
      <c r="A865" s="225"/>
      <c r="B865" s="213"/>
      <c r="C865" s="356"/>
      <c r="D865" s="330"/>
      <c r="E865" s="157"/>
      <c r="F865" s="12"/>
    </row>
    <row r="866">
      <c r="A866" s="225"/>
      <c r="B866" s="213"/>
      <c r="C866" s="356"/>
      <c r="D866" s="330"/>
      <c r="E866" s="157"/>
      <c r="F866" s="12"/>
    </row>
    <row r="867">
      <c r="A867" s="225"/>
      <c r="B867" s="213"/>
      <c r="C867" s="356"/>
      <c r="D867" s="330"/>
      <c r="E867" s="157"/>
      <c r="F867" s="12"/>
    </row>
    <row r="868">
      <c r="A868" s="225"/>
      <c r="B868" s="213"/>
      <c r="C868" s="356"/>
      <c r="D868" s="330"/>
      <c r="E868" s="157"/>
      <c r="F868" s="12"/>
    </row>
    <row r="869">
      <c r="A869" s="225"/>
      <c r="B869" s="213"/>
      <c r="C869" s="356"/>
      <c r="D869" s="330"/>
      <c r="E869" s="157"/>
      <c r="F869" s="12"/>
    </row>
    <row r="870">
      <c r="A870" s="225"/>
      <c r="B870" s="213"/>
      <c r="C870" s="356"/>
      <c r="D870" s="330"/>
      <c r="E870" s="157"/>
      <c r="F870" s="12"/>
    </row>
    <row r="871">
      <c r="A871" s="225"/>
      <c r="B871" s="213"/>
      <c r="C871" s="356"/>
      <c r="D871" s="330"/>
      <c r="E871" s="157"/>
      <c r="F871" s="12"/>
    </row>
    <row r="872">
      <c r="A872" s="225"/>
      <c r="B872" s="213"/>
      <c r="C872" s="356"/>
      <c r="D872" s="330"/>
      <c r="E872" s="157"/>
      <c r="F872" s="12"/>
    </row>
    <row r="873">
      <c r="A873" s="225"/>
      <c r="B873" s="213"/>
      <c r="C873" s="356"/>
      <c r="D873" s="330"/>
      <c r="E873" s="157"/>
      <c r="F873" s="12"/>
    </row>
    <row r="874">
      <c r="A874" s="225"/>
      <c r="B874" s="213"/>
      <c r="C874" s="356"/>
      <c r="D874" s="330"/>
      <c r="E874" s="157"/>
      <c r="F874" s="12"/>
    </row>
    <row r="875">
      <c r="A875" s="225"/>
      <c r="B875" s="213"/>
      <c r="C875" s="356"/>
      <c r="D875" s="330"/>
      <c r="E875" s="157"/>
      <c r="F875" s="12"/>
    </row>
    <row r="876">
      <c r="A876" s="225"/>
      <c r="B876" s="213"/>
      <c r="C876" s="356"/>
      <c r="D876" s="330"/>
      <c r="E876" s="157"/>
      <c r="F876" s="12"/>
    </row>
    <row r="877">
      <c r="A877" s="225"/>
      <c r="B877" s="213"/>
      <c r="C877" s="356"/>
      <c r="D877" s="330"/>
      <c r="E877" s="157"/>
      <c r="F877" s="12"/>
    </row>
    <row r="878">
      <c r="A878" s="225"/>
      <c r="B878" s="213"/>
      <c r="C878" s="356"/>
      <c r="D878" s="330"/>
      <c r="E878" s="157"/>
      <c r="F878" s="12"/>
    </row>
    <row r="879">
      <c r="A879" s="225"/>
      <c r="B879" s="213"/>
      <c r="C879" s="356"/>
      <c r="D879" s="330"/>
      <c r="E879" s="157"/>
      <c r="F879" s="12"/>
    </row>
    <row r="880">
      <c r="A880" s="225"/>
      <c r="B880" s="213"/>
      <c r="C880" s="356"/>
      <c r="D880" s="330"/>
      <c r="E880" s="157"/>
      <c r="F880" s="12"/>
    </row>
    <row r="881">
      <c r="A881" s="225"/>
      <c r="B881" s="213"/>
      <c r="C881" s="356"/>
      <c r="D881" s="330"/>
      <c r="E881" s="157"/>
      <c r="F881" s="12"/>
    </row>
    <row r="882">
      <c r="A882" s="225"/>
      <c r="B882" s="213"/>
      <c r="C882" s="356"/>
      <c r="D882" s="330"/>
      <c r="E882" s="157"/>
      <c r="F882" s="12"/>
    </row>
    <row r="883">
      <c r="A883" s="225"/>
      <c r="B883" s="213"/>
      <c r="C883" s="356"/>
      <c r="D883" s="330"/>
      <c r="E883" s="157"/>
      <c r="F883" s="12"/>
    </row>
    <row r="884">
      <c r="A884" s="225"/>
      <c r="B884" s="213"/>
      <c r="C884" s="356"/>
      <c r="D884" s="330"/>
      <c r="E884" s="157"/>
      <c r="F884" s="12"/>
    </row>
    <row r="885">
      <c r="A885" s="225"/>
      <c r="B885" s="213"/>
      <c r="C885" s="356"/>
      <c r="D885" s="330"/>
      <c r="E885" s="157"/>
      <c r="F885" s="12"/>
    </row>
    <row r="886">
      <c r="A886" s="225"/>
      <c r="B886" s="213"/>
      <c r="C886" s="356"/>
      <c r="D886" s="330"/>
      <c r="E886" s="157"/>
      <c r="F886" s="12"/>
    </row>
    <row r="887">
      <c r="A887" s="225"/>
      <c r="B887" s="213"/>
      <c r="C887" s="356"/>
      <c r="D887" s="330"/>
      <c r="E887" s="157"/>
      <c r="F887" s="12"/>
    </row>
    <row r="888">
      <c r="A888" s="225"/>
      <c r="B888" s="213"/>
      <c r="C888" s="356"/>
      <c r="D888" s="330"/>
      <c r="E888" s="157"/>
      <c r="F888" s="12"/>
    </row>
    <row r="889">
      <c r="A889" s="225"/>
      <c r="B889" s="213"/>
      <c r="C889" s="356"/>
      <c r="D889" s="330"/>
      <c r="E889" s="157"/>
      <c r="F889" s="12"/>
    </row>
    <row r="890">
      <c r="A890" s="225"/>
      <c r="B890" s="213"/>
      <c r="C890" s="356"/>
      <c r="D890" s="330"/>
      <c r="E890" s="157"/>
      <c r="F890" s="12"/>
    </row>
    <row r="891">
      <c r="A891" s="225"/>
      <c r="B891" s="213"/>
      <c r="C891" s="356"/>
      <c r="D891" s="330"/>
      <c r="E891" s="157"/>
      <c r="F891" s="12"/>
    </row>
    <row r="892">
      <c r="A892" s="225"/>
      <c r="B892" s="213"/>
      <c r="C892" s="356"/>
      <c r="D892" s="330"/>
      <c r="E892" s="157"/>
      <c r="F892" s="12"/>
    </row>
    <row r="893">
      <c r="A893" s="225"/>
      <c r="B893" s="213"/>
      <c r="C893" s="356"/>
      <c r="D893" s="330"/>
      <c r="E893" s="157"/>
      <c r="F893" s="12"/>
    </row>
    <row r="894">
      <c r="A894" s="225"/>
      <c r="B894" s="213"/>
      <c r="C894" s="356"/>
      <c r="D894" s="330"/>
      <c r="E894" s="157"/>
      <c r="F894" s="12"/>
    </row>
    <row r="895">
      <c r="A895" s="225"/>
      <c r="B895" s="213"/>
      <c r="C895" s="356"/>
      <c r="D895" s="330"/>
      <c r="E895" s="157"/>
      <c r="F895" s="12"/>
    </row>
    <row r="896">
      <c r="A896" s="225"/>
      <c r="B896" s="213"/>
      <c r="C896" s="356"/>
      <c r="D896" s="330"/>
      <c r="E896" s="157"/>
      <c r="F896" s="12"/>
    </row>
    <row r="897">
      <c r="A897" s="225"/>
      <c r="B897" s="213"/>
      <c r="C897" s="356"/>
      <c r="D897" s="330"/>
      <c r="E897" s="157"/>
      <c r="F897" s="12"/>
    </row>
    <row r="898">
      <c r="A898" s="225"/>
      <c r="B898" s="213"/>
      <c r="C898" s="356"/>
      <c r="D898" s="330"/>
      <c r="E898" s="157"/>
      <c r="F898" s="12"/>
    </row>
    <row r="899">
      <c r="A899" s="225"/>
      <c r="B899" s="213"/>
      <c r="C899" s="356"/>
      <c r="D899" s="330"/>
      <c r="E899" s="157"/>
      <c r="F899" s="12"/>
    </row>
    <row r="900">
      <c r="A900" s="225"/>
      <c r="B900" s="213"/>
      <c r="C900" s="356"/>
      <c r="D900" s="330"/>
      <c r="E900" s="157"/>
      <c r="F900" s="12"/>
    </row>
    <row r="901">
      <c r="A901" s="225"/>
      <c r="B901" s="213"/>
      <c r="C901" s="356"/>
      <c r="D901" s="330"/>
      <c r="E901" s="157"/>
      <c r="F901" s="12"/>
    </row>
    <row r="902">
      <c r="A902" s="225"/>
      <c r="B902" s="213"/>
      <c r="C902" s="356"/>
      <c r="D902" s="330"/>
      <c r="E902" s="157"/>
      <c r="F902" s="12"/>
    </row>
    <row r="903">
      <c r="A903" s="225"/>
      <c r="B903" s="213"/>
      <c r="C903" s="356"/>
      <c r="D903" s="330"/>
      <c r="E903" s="157"/>
      <c r="F903" s="12"/>
    </row>
    <row r="904">
      <c r="A904" s="225"/>
      <c r="B904" s="213"/>
      <c r="C904" s="356"/>
      <c r="D904" s="330"/>
      <c r="E904" s="157"/>
      <c r="F904" s="12"/>
    </row>
    <row r="905">
      <c r="A905" s="225"/>
      <c r="B905" s="213"/>
      <c r="C905" s="356"/>
      <c r="D905" s="330"/>
      <c r="E905" s="157"/>
      <c r="F905" s="12"/>
    </row>
    <row r="906">
      <c r="A906" s="225"/>
      <c r="B906" s="213"/>
      <c r="C906" s="356"/>
      <c r="D906" s="330"/>
      <c r="E906" s="157"/>
      <c r="F906" s="12"/>
    </row>
    <row r="907">
      <c r="A907" s="225"/>
      <c r="B907" s="213"/>
      <c r="C907" s="356"/>
      <c r="D907" s="330"/>
      <c r="E907" s="157"/>
      <c r="F907" s="12"/>
    </row>
    <row r="908">
      <c r="A908" s="225"/>
      <c r="B908" s="213"/>
      <c r="C908" s="356"/>
      <c r="D908" s="330"/>
      <c r="E908" s="157"/>
      <c r="F908" s="12"/>
    </row>
    <row r="909">
      <c r="A909" s="225"/>
      <c r="B909" s="213"/>
      <c r="C909" s="356"/>
      <c r="D909" s="330"/>
      <c r="E909" s="157"/>
      <c r="F909" s="12"/>
    </row>
    <row r="910">
      <c r="A910" s="225"/>
      <c r="B910" s="213"/>
      <c r="C910" s="356"/>
      <c r="D910" s="330"/>
      <c r="E910" s="157"/>
      <c r="F910" s="12"/>
    </row>
    <row r="911">
      <c r="A911" s="225"/>
      <c r="B911" s="213"/>
      <c r="C911" s="356"/>
      <c r="D911" s="330"/>
      <c r="E911" s="157"/>
      <c r="F911" s="12"/>
    </row>
    <row r="912">
      <c r="A912" s="225"/>
      <c r="B912" s="213"/>
      <c r="C912" s="356"/>
      <c r="D912" s="330"/>
      <c r="E912" s="157"/>
      <c r="F912" s="12"/>
    </row>
    <row r="913">
      <c r="A913" s="225"/>
      <c r="B913" s="213"/>
      <c r="C913" s="356"/>
      <c r="D913" s="330"/>
      <c r="E913" s="157"/>
      <c r="F913" s="12"/>
    </row>
    <row r="914">
      <c r="A914" s="225"/>
      <c r="B914" s="213"/>
      <c r="C914" s="356"/>
      <c r="D914" s="330"/>
      <c r="E914" s="157"/>
      <c r="F914" s="12"/>
    </row>
    <row r="915">
      <c r="A915" s="225"/>
      <c r="B915" s="213"/>
      <c r="C915" s="356"/>
      <c r="D915" s="330"/>
      <c r="E915" s="157"/>
      <c r="F915" s="12"/>
    </row>
    <row r="916">
      <c r="A916" s="225"/>
      <c r="B916" s="213"/>
      <c r="C916" s="356"/>
      <c r="D916" s="330"/>
      <c r="E916" s="157"/>
      <c r="F916" s="12"/>
    </row>
    <row r="917">
      <c r="A917" s="225"/>
      <c r="B917" s="213"/>
      <c r="C917" s="356"/>
      <c r="D917" s="330"/>
      <c r="E917" s="157"/>
      <c r="F917" s="12"/>
    </row>
    <row r="918">
      <c r="A918" s="225"/>
      <c r="B918" s="213"/>
      <c r="C918" s="356"/>
      <c r="D918" s="330"/>
      <c r="E918" s="157"/>
      <c r="F918" s="12"/>
    </row>
    <row r="919">
      <c r="A919" s="225"/>
      <c r="B919" s="213"/>
      <c r="C919" s="356"/>
      <c r="D919" s="330"/>
      <c r="E919" s="157"/>
      <c r="F919" s="12"/>
    </row>
    <row r="920">
      <c r="A920" s="225"/>
      <c r="B920" s="213"/>
      <c r="C920" s="356"/>
      <c r="D920" s="330"/>
      <c r="E920" s="157"/>
      <c r="F920" s="12"/>
    </row>
    <row r="921">
      <c r="A921" s="225"/>
      <c r="B921" s="213"/>
      <c r="C921" s="356"/>
      <c r="D921" s="330"/>
      <c r="E921" s="157"/>
      <c r="F921" s="12"/>
    </row>
    <row r="922">
      <c r="A922" s="225"/>
      <c r="B922" s="213"/>
      <c r="C922" s="356"/>
      <c r="D922" s="330"/>
      <c r="E922" s="157"/>
      <c r="F922" s="12"/>
    </row>
    <row r="923">
      <c r="A923" s="225"/>
      <c r="B923" s="213"/>
      <c r="C923" s="356"/>
      <c r="D923" s="330"/>
      <c r="E923" s="157"/>
      <c r="F923" s="12"/>
    </row>
    <row r="924">
      <c r="A924" s="225"/>
      <c r="B924" s="213"/>
      <c r="C924" s="356"/>
      <c r="D924" s="330"/>
      <c r="E924" s="157"/>
      <c r="F924" s="12"/>
    </row>
    <row r="925">
      <c r="A925" s="225"/>
      <c r="B925" s="213"/>
      <c r="C925" s="356"/>
      <c r="D925" s="330"/>
      <c r="E925" s="157"/>
      <c r="F925" s="12"/>
    </row>
    <row r="926">
      <c r="A926" s="225"/>
      <c r="B926" s="213"/>
      <c r="C926" s="356"/>
      <c r="D926" s="330"/>
      <c r="E926" s="157"/>
      <c r="F926" s="12"/>
    </row>
    <row r="927">
      <c r="A927" s="225"/>
      <c r="B927" s="213"/>
      <c r="C927" s="356"/>
      <c r="D927" s="330"/>
      <c r="E927" s="157"/>
      <c r="F927" s="12"/>
    </row>
    <row r="928">
      <c r="A928" s="225"/>
      <c r="B928" s="213"/>
      <c r="C928" s="356"/>
      <c r="D928" s="330"/>
      <c r="E928" s="157"/>
      <c r="F928" s="12"/>
    </row>
    <row r="929">
      <c r="A929" s="225"/>
      <c r="B929" s="213"/>
      <c r="C929" s="356"/>
      <c r="D929" s="330"/>
      <c r="E929" s="157"/>
      <c r="F929" s="12"/>
    </row>
    <row r="930">
      <c r="A930" s="225"/>
      <c r="B930" s="213"/>
      <c r="C930" s="356"/>
      <c r="D930" s="330"/>
      <c r="E930" s="157"/>
      <c r="F930" s="12"/>
    </row>
    <row r="931">
      <c r="A931" s="225"/>
      <c r="B931" s="213"/>
      <c r="C931" s="356"/>
      <c r="D931" s="330"/>
      <c r="E931" s="157"/>
      <c r="F931" s="12"/>
    </row>
    <row r="932">
      <c r="A932" s="225"/>
      <c r="B932" s="213"/>
      <c r="C932" s="356"/>
      <c r="D932" s="330"/>
      <c r="E932" s="157"/>
      <c r="F932" s="12"/>
    </row>
    <row r="933">
      <c r="A933" s="225"/>
      <c r="B933" s="213"/>
      <c r="C933" s="356"/>
      <c r="D933" s="330"/>
      <c r="E933" s="157"/>
      <c r="F933" s="12"/>
    </row>
    <row r="934">
      <c r="A934" s="225"/>
      <c r="B934" s="213"/>
      <c r="C934" s="356"/>
      <c r="D934" s="330"/>
      <c r="E934" s="157"/>
      <c r="F934" s="12"/>
    </row>
    <row r="935">
      <c r="A935" s="225"/>
      <c r="B935" s="213"/>
      <c r="C935" s="356"/>
      <c r="D935" s="330"/>
      <c r="E935" s="157"/>
      <c r="F935" s="12"/>
    </row>
    <row r="936">
      <c r="A936" s="225"/>
      <c r="B936" s="213"/>
      <c r="C936" s="356"/>
      <c r="D936" s="330"/>
      <c r="E936" s="157"/>
      <c r="F936" s="12"/>
    </row>
    <row r="937">
      <c r="A937" s="225"/>
      <c r="B937" s="213"/>
      <c r="C937" s="356"/>
      <c r="D937" s="330"/>
      <c r="E937" s="157"/>
      <c r="F937" s="12"/>
    </row>
    <row r="938">
      <c r="A938" s="225"/>
      <c r="B938" s="213"/>
      <c r="C938" s="356"/>
      <c r="D938" s="330"/>
      <c r="E938" s="157"/>
      <c r="F938" s="12"/>
    </row>
    <row r="939">
      <c r="A939" s="225"/>
      <c r="B939" s="213"/>
      <c r="C939" s="356"/>
      <c r="D939" s="330"/>
      <c r="E939" s="157"/>
      <c r="F939" s="12"/>
    </row>
    <row r="940">
      <c r="A940" s="225"/>
      <c r="B940" s="213"/>
      <c r="C940" s="356"/>
      <c r="D940" s="330"/>
      <c r="E940" s="157"/>
      <c r="F940" s="12"/>
    </row>
    <row r="941">
      <c r="A941" s="225"/>
      <c r="B941" s="213"/>
      <c r="C941" s="356"/>
      <c r="D941" s="330"/>
      <c r="E941" s="157"/>
      <c r="F941" s="12"/>
    </row>
    <row r="942">
      <c r="A942" s="225"/>
      <c r="B942" s="213"/>
      <c r="C942" s="356"/>
      <c r="D942" s="330"/>
      <c r="E942" s="157"/>
      <c r="F942" s="12"/>
    </row>
    <row r="943">
      <c r="A943" s="225"/>
      <c r="B943" s="213"/>
      <c r="C943" s="356"/>
      <c r="D943" s="330"/>
      <c r="E943" s="157"/>
      <c r="F943" s="12"/>
    </row>
    <row r="944">
      <c r="A944" s="225"/>
      <c r="B944" s="213"/>
      <c r="C944" s="356"/>
      <c r="D944" s="330"/>
      <c r="E944" s="157"/>
      <c r="F944" s="12"/>
    </row>
    <row r="945">
      <c r="A945" s="225"/>
      <c r="B945" s="213"/>
      <c r="C945" s="356"/>
      <c r="D945" s="330"/>
      <c r="E945" s="157"/>
      <c r="F945" s="12"/>
    </row>
    <row r="946">
      <c r="A946" s="225"/>
      <c r="B946" s="213"/>
      <c r="C946" s="356"/>
      <c r="D946" s="330"/>
      <c r="E946" s="157"/>
      <c r="F946" s="12"/>
    </row>
    <row r="947">
      <c r="A947" s="225"/>
      <c r="B947" s="213"/>
      <c r="C947" s="356"/>
      <c r="D947" s="330"/>
      <c r="E947" s="157"/>
      <c r="F947" s="12"/>
    </row>
    <row r="948">
      <c r="A948" s="225"/>
      <c r="B948" s="213"/>
      <c r="C948" s="356"/>
      <c r="D948" s="330"/>
      <c r="E948" s="157"/>
      <c r="F948" s="12"/>
    </row>
    <row r="949">
      <c r="A949" s="225"/>
      <c r="B949" s="213"/>
      <c r="C949" s="356"/>
      <c r="D949" s="330"/>
      <c r="E949" s="157"/>
      <c r="F949" s="12"/>
    </row>
    <row r="950">
      <c r="A950" s="225"/>
      <c r="B950" s="213"/>
      <c r="C950" s="356"/>
      <c r="D950" s="330"/>
      <c r="E950" s="157"/>
      <c r="F950" s="12"/>
    </row>
    <row r="951">
      <c r="A951" s="225"/>
      <c r="B951" s="213"/>
      <c r="C951" s="356"/>
      <c r="D951" s="330"/>
      <c r="E951" s="157"/>
      <c r="F951" s="12"/>
    </row>
    <row r="952">
      <c r="A952" s="225"/>
      <c r="B952" s="213"/>
      <c r="C952" s="356"/>
      <c r="D952" s="330"/>
      <c r="E952" s="157"/>
      <c r="F952" s="12"/>
    </row>
    <row r="953">
      <c r="A953" s="225"/>
      <c r="B953" s="213"/>
      <c r="C953" s="356"/>
      <c r="D953" s="330"/>
      <c r="E953" s="157"/>
      <c r="F953" s="12"/>
    </row>
    <row r="954">
      <c r="A954" s="225"/>
      <c r="B954" s="213"/>
      <c r="C954" s="356"/>
      <c r="D954" s="330"/>
      <c r="E954" s="157"/>
      <c r="F954" s="12"/>
    </row>
    <row r="955">
      <c r="A955" s="225"/>
      <c r="B955" s="213"/>
      <c r="C955" s="356"/>
      <c r="D955" s="330"/>
      <c r="E955" s="157"/>
      <c r="F955" s="12"/>
    </row>
    <row r="956">
      <c r="A956" s="225"/>
      <c r="B956" s="213"/>
      <c r="C956" s="356"/>
      <c r="D956" s="330"/>
      <c r="E956" s="157"/>
      <c r="F956" s="12"/>
    </row>
    <row r="957">
      <c r="A957" s="225"/>
      <c r="B957" s="213"/>
      <c r="C957" s="356"/>
      <c r="D957" s="330"/>
      <c r="E957" s="157"/>
      <c r="F957" s="12"/>
    </row>
    <row r="958">
      <c r="A958" s="225"/>
      <c r="B958" s="213"/>
      <c r="C958" s="356"/>
      <c r="D958" s="330"/>
      <c r="E958" s="157"/>
      <c r="F958" s="12"/>
    </row>
    <row r="959">
      <c r="A959" s="225"/>
      <c r="B959" s="213"/>
      <c r="C959" s="356"/>
      <c r="D959" s="330"/>
      <c r="E959" s="157"/>
      <c r="F959" s="12"/>
    </row>
    <row r="960">
      <c r="A960" s="225"/>
      <c r="B960" s="213"/>
      <c r="C960" s="356"/>
      <c r="D960" s="330"/>
      <c r="E960" s="157"/>
      <c r="F960" s="12"/>
    </row>
    <row r="961">
      <c r="A961" s="225"/>
      <c r="B961" s="213"/>
      <c r="C961" s="356"/>
      <c r="D961" s="330"/>
      <c r="E961" s="157"/>
      <c r="F961" s="12"/>
    </row>
    <row r="962">
      <c r="A962" s="225"/>
      <c r="B962" s="213"/>
      <c r="C962" s="356"/>
      <c r="D962" s="330"/>
      <c r="E962" s="157"/>
      <c r="F962" s="12"/>
    </row>
    <row r="963">
      <c r="A963" s="225"/>
      <c r="B963" s="213"/>
      <c r="C963" s="356"/>
      <c r="D963" s="330"/>
      <c r="E963" s="157"/>
      <c r="F963" s="12"/>
    </row>
    <row r="964">
      <c r="A964" s="225"/>
      <c r="B964" s="213"/>
      <c r="C964" s="356"/>
      <c r="D964" s="330"/>
      <c r="E964" s="157"/>
      <c r="F964" s="12"/>
    </row>
    <row r="965">
      <c r="A965" s="225"/>
      <c r="B965" s="213"/>
      <c r="C965" s="356"/>
      <c r="D965" s="330"/>
      <c r="E965" s="157"/>
      <c r="F965" s="12"/>
    </row>
    <row r="966">
      <c r="A966" s="225"/>
      <c r="B966" s="213"/>
      <c r="C966" s="356"/>
      <c r="D966" s="330"/>
      <c r="E966" s="157"/>
      <c r="F966" s="12"/>
    </row>
    <row r="967">
      <c r="A967" s="225"/>
      <c r="B967" s="213"/>
      <c r="C967" s="356"/>
      <c r="D967" s="330"/>
      <c r="E967" s="157"/>
      <c r="F967" s="12"/>
    </row>
    <row r="968">
      <c r="A968" s="225"/>
      <c r="B968" s="213"/>
      <c r="C968" s="356"/>
      <c r="D968" s="330"/>
      <c r="E968" s="157"/>
      <c r="F968" s="12"/>
    </row>
    <row r="969">
      <c r="A969" s="225"/>
      <c r="B969" s="213"/>
      <c r="C969" s="356"/>
      <c r="D969" s="330"/>
      <c r="E969" s="157"/>
      <c r="F969" s="12"/>
    </row>
    <row r="970">
      <c r="A970" s="225"/>
      <c r="B970" s="213"/>
      <c r="C970" s="356"/>
      <c r="D970" s="330"/>
      <c r="E970" s="157"/>
      <c r="F970" s="12"/>
    </row>
    <row r="971">
      <c r="A971" s="225"/>
      <c r="B971" s="213"/>
      <c r="C971" s="356"/>
      <c r="D971" s="330"/>
      <c r="E971" s="157"/>
      <c r="F971" s="12"/>
    </row>
    <row r="972">
      <c r="A972" s="225"/>
      <c r="B972" s="213"/>
      <c r="C972" s="356"/>
      <c r="D972" s="330"/>
      <c r="E972" s="157"/>
      <c r="F972" s="12"/>
    </row>
    <row r="973">
      <c r="A973" s="225"/>
      <c r="B973" s="213"/>
      <c r="C973" s="356"/>
      <c r="D973" s="330"/>
      <c r="E973" s="157"/>
      <c r="F973" s="12"/>
    </row>
    <row r="974">
      <c r="A974" s="225"/>
      <c r="B974" s="213"/>
      <c r="C974" s="356"/>
      <c r="D974" s="330"/>
      <c r="E974" s="157"/>
      <c r="F974" s="12"/>
    </row>
    <row r="975">
      <c r="A975" s="225"/>
      <c r="B975" s="213"/>
      <c r="C975" s="356"/>
      <c r="D975" s="330"/>
      <c r="E975" s="157"/>
      <c r="F975" s="12"/>
    </row>
    <row r="976">
      <c r="A976" s="225"/>
      <c r="B976" s="213"/>
      <c r="C976" s="356"/>
      <c r="D976" s="330"/>
      <c r="E976" s="157"/>
      <c r="F976" s="12"/>
    </row>
    <row r="977">
      <c r="A977" s="225"/>
      <c r="B977" s="213"/>
      <c r="C977" s="356"/>
      <c r="D977" s="330"/>
      <c r="E977" s="157"/>
      <c r="F977" s="12"/>
    </row>
    <row r="978">
      <c r="A978" s="225"/>
      <c r="B978" s="213"/>
      <c r="C978" s="356"/>
      <c r="D978" s="330"/>
      <c r="E978" s="157"/>
      <c r="F978" s="12"/>
    </row>
    <row r="979">
      <c r="A979" s="225"/>
      <c r="B979" s="213"/>
      <c r="C979" s="356"/>
      <c r="D979" s="330"/>
      <c r="E979" s="157"/>
      <c r="F979" s="12"/>
    </row>
    <row r="980">
      <c r="A980" s="225"/>
      <c r="B980" s="213"/>
      <c r="C980" s="356"/>
      <c r="D980" s="330"/>
      <c r="E980" s="157"/>
      <c r="F980" s="12"/>
    </row>
    <row r="981">
      <c r="A981" s="225"/>
      <c r="B981" s="213"/>
      <c r="C981" s="356"/>
      <c r="D981" s="330"/>
      <c r="E981" s="157"/>
      <c r="F981" s="12"/>
    </row>
    <row r="982">
      <c r="A982" s="225"/>
      <c r="B982" s="213"/>
      <c r="C982" s="356"/>
      <c r="D982" s="330"/>
      <c r="E982" s="157"/>
      <c r="F982" s="12"/>
    </row>
    <row r="983">
      <c r="A983" s="225"/>
      <c r="B983" s="213"/>
      <c r="C983" s="356"/>
      <c r="D983" s="330"/>
      <c r="E983" s="157"/>
      <c r="F983" s="12"/>
    </row>
    <row r="984">
      <c r="A984" s="225"/>
      <c r="B984" s="213"/>
      <c r="C984" s="356"/>
      <c r="D984" s="330"/>
      <c r="E984" s="157"/>
      <c r="F984" s="12"/>
    </row>
    <row r="985">
      <c r="A985" s="225"/>
      <c r="B985" s="213"/>
      <c r="C985" s="356"/>
      <c r="D985" s="330"/>
      <c r="E985" s="157"/>
      <c r="F985" s="12"/>
    </row>
    <row r="986">
      <c r="A986" s="225"/>
      <c r="B986" s="213"/>
      <c r="C986" s="356"/>
      <c r="D986" s="330"/>
      <c r="E986" s="157"/>
      <c r="F986" s="12"/>
    </row>
    <row r="987">
      <c r="A987" s="225"/>
      <c r="B987" s="213"/>
      <c r="C987" s="356"/>
      <c r="D987" s="330"/>
      <c r="E987" s="157"/>
      <c r="F987" s="12"/>
    </row>
    <row r="988">
      <c r="A988" s="225"/>
      <c r="B988" s="213"/>
      <c r="C988" s="356"/>
      <c r="D988" s="330"/>
      <c r="E988" s="157"/>
      <c r="F988" s="12"/>
    </row>
    <row r="989">
      <c r="A989" s="225"/>
      <c r="B989" s="213"/>
      <c r="C989" s="356"/>
      <c r="D989" s="330"/>
      <c r="E989" s="157"/>
      <c r="F989" s="12"/>
    </row>
    <row r="990">
      <c r="A990" s="225"/>
      <c r="B990" s="213"/>
      <c r="C990" s="356"/>
      <c r="D990" s="330"/>
      <c r="E990" s="157"/>
      <c r="F990" s="12"/>
    </row>
    <row r="991">
      <c r="A991" s="225"/>
      <c r="B991" s="213"/>
      <c r="C991" s="356"/>
      <c r="D991" s="330"/>
      <c r="E991" s="157"/>
      <c r="F991" s="12"/>
    </row>
    <row r="992">
      <c r="A992" s="225"/>
      <c r="B992" s="213"/>
      <c r="C992" s="356"/>
      <c r="D992" s="330"/>
      <c r="E992" s="157"/>
      <c r="F992" s="12"/>
    </row>
    <row r="993">
      <c r="A993" s="225"/>
      <c r="B993" s="213"/>
      <c r="C993" s="356"/>
      <c r="D993" s="330"/>
      <c r="E993" s="157"/>
      <c r="F993" s="12"/>
    </row>
    <row r="994">
      <c r="A994" s="225"/>
      <c r="B994" s="213"/>
      <c r="C994" s="356"/>
      <c r="D994" s="330"/>
      <c r="E994" s="157"/>
      <c r="F994" s="12"/>
    </row>
    <row r="995">
      <c r="A995" s="225"/>
      <c r="B995" s="213"/>
      <c r="C995" s="356"/>
      <c r="D995" s="330"/>
      <c r="E995" s="157"/>
      <c r="F995" s="12"/>
    </row>
    <row r="996">
      <c r="A996" s="225"/>
      <c r="B996" s="213"/>
      <c r="C996" s="356"/>
      <c r="D996" s="330"/>
      <c r="E996" s="157"/>
      <c r="F996" s="12"/>
    </row>
    <row r="997">
      <c r="A997" s="225"/>
      <c r="B997" s="213"/>
      <c r="C997" s="356"/>
      <c r="D997" s="330"/>
      <c r="E997" s="157"/>
      <c r="F997" s="12"/>
    </row>
    <row r="998">
      <c r="A998" s="225"/>
      <c r="B998" s="213"/>
      <c r="C998" s="356"/>
      <c r="D998" s="330"/>
      <c r="E998" s="157"/>
      <c r="F998" s="12"/>
    </row>
    <row r="999">
      <c r="A999" s="225"/>
      <c r="B999" s="213"/>
      <c r="C999" s="356"/>
      <c r="D999" s="330"/>
      <c r="E999" s="157"/>
      <c r="F999" s="12"/>
    </row>
    <row r="1000">
      <c r="A1000" s="225"/>
      <c r="B1000" s="213"/>
      <c r="C1000" s="356"/>
      <c r="D1000" s="330"/>
      <c r="E1000" s="157"/>
      <c r="F1000" s="12"/>
    </row>
    <row r="1001">
      <c r="A1001" s="225"/>
      <c r="B1001" s="213"/>
      <c r="C1001" s="356"/>
      <c r="D1001" s="330"/>
      <c r="E1001" s="157"/>
      <c r="F1001" s="12"/>
    </row>
    <row r="1002">
      <c r="A1002" s="225"/>
      <c r="B1002" s="213"/>
      <c r="C1002" s="356"/>
      <c r="D1002" s="330"/>
      <c r="E1002" s="157"/>
      <c r="F1002" s="12"/>
    </row>
    <row r="1003">
      <c r="A1003" s="225"/>
      <c r="B1003" s="213"/>
      <c r="C1003" s="356"/>
      <c r="D1003" s="330"/>
      <c r="E1003" s="157"/>
      <c r="F1003" s="12"/>
    </row>
    <row r="1004">
      <c r="A1004" s="225"/>
      <c r="B1004" s="213"/>
      <c r="C1004" s="356"/>
      <c r="D1004" s="330"/>
      <c r="E1004" s="157"/>
      <c r="F1004" s="12"/>
    </row>
    <row r="1005">
      <c r="A1005" s="225"/>
      <c r="B1005" s="213"/>
      <c r="C1005" s="356"/>
      <c r="D1005" s="330"/>
      <c r="E1005" s="157"/>
      <c r="F1005" s="12"/>
    </row>
    <row r="1006">
      <c r="A1006" s="225"/>
      <c r="B1006" s="213"/>
      <c r="C1006" s="356"/>
      <c r="D1006" s="330"/>
      <c r="E1006" s="157"/>
      <c r="F1006" s="12"/>
    </row>
    <row r="1007">
      <c r="A1007" s="225"/>
      <c r="B1007" s="213"/>
      <c r="C1007" s="356"/>
      <c r="D1007" s="330"/>
      <c r="E1007" s="157"/>
      <c r="F1007" s="12"/>
    </row>
    <row r="1008">
      <c r="A1008" s="225"/>
      <c r="B1008" s="213"/>
      <c r="C1008" s="356"/>
      <c r="D1008" s="330"/>
      <c r="E1008" s="157"/>
      <c r="F1008" s="12"/>
    </row>
  </sheetData>
  <mergeCells count="40">
    <mergeCell ref="I11:I12"/>
    <mergeCell ref="I14:I15"/>
    <mergeCell ref="I16:I18"/>
    <mergeCell ref="I20:I28"/>
    <mergeCell ref="A27:D27"/>
    <mergeCell ref="A28:D28"/>
    <mergeCell ref="I29:I31"/>
    <mergeCell ref="A31:D31"/>
    <mergeCell ref="A29:D29"/>
    <mergeCell ref="A30:D30"/>
    <mergeCell ref="A32:D32"/>
    <mergeCell ref="A33:D33"/>
    <mergeCell ref="A34:D34"/>
    <mergeCell ref="A35:D35"/>
    <mergeCell ref="A36:D36"/>
    <mergeCell ref="A37:D37"/>
    <mergeCell ref="A38:D38"/>
    <mergeCell ref="A39:D39"/>
    <mergeCell ref="A40:D40"/>
    <mergeCell ref="A41:D41"/>
    <mergeCell ref="A42:D42"/>
    <mergeCell ref="A43:D43"/>
    <mergeCell ref="A44:D44"/>
    <mergeCell ref="A45:D45"/>
    <mergeCell ref="A46:D46"/>
    <mergeCell ref="A47:D47"/>
    <mergeCell ref="A48:D48"/>
    <mergeCell ref="A49:D49"/>
    <mergeCell ref="A50:D50"/>
    <mergeCell ref="A58:D58"/>
    <mergeCell ref="A59:D59"/>
    <mergeCell ref="A60:D60"/>
    <mergeCell ref="A61:D61"/>
    <mergeCell ref="A51:D51"/>
    <mergeCell ref="A52:D52"/>
    <mergeCell ref="A53:D53"/>
    <mergeCell ref="A54:D54"/>
    <mergeCell ref="A55:D55"/>
    <mergeCell ref="A56:D56"/>
    <mergeCell ref="A57:D57"/>
  </mergeCells>
  <conditionalFormatting sqref="B9:D24">
    <cfRule type="expression" dxfId="13" priority="1">
      <formula>$A9="Yes!"</formula>
    </cfRule>
  </conditionalFormatting>
  <conditionalFormatting sqref="A9:A24">
    <cfRule type="containsText" dxfId="15" priority="2" operator="containsText" text="Yes">
      <formula>NOT(ISERROR(SEARCH(("Yes"),(A9))))</formula>
    </cfRule>
  </conditionalFormatting>
  <conditionalFormatting sqref="A9:A24">
    <cfRule type="containsText" dxfId="14" priority="3" operator="containsText" text="No">
      <formula>NOT(ISERROR(SEARCH(("No"),(A9))))</formula>
    </cfRule>
  </conditionalFormatting>
  <drawing r:id="rId4"/>
  <legacyDrawing r:id="rId5"/>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0"/>
    <col customWidth="1" min="2" max="2" width="21.0"/>
    <col customWidth="1" min="3" max="3" width="18.75"/>
    <col customWidth="1" min="4" max="4" width="16.0"/>
    <col customWidth="1" min="7" max="7" width="20.5"/>
    <col customWidth="1" min="8" max="8" width="58.13"/>
    <col customWidth="1" min="9" max="9" width="16.63"/>
    <col hidden="1" min="10" max="10" width="12.63"/>
  </cols>
  <sheetData>
    <row r="1">
      <c r="A1" s="368" t="s">
        <v>864</v>
      </c>
      <c r="B1" s="369"/>
      <c r="C1" s="370"/>
      <c r="D1" s="371"/>
      <c r="E1" s="372"/>
      <c r="F1" s="373"/>
      <c r="G1" s="374"/>
      <c r="H1" s="374"/>
      <c r="I1" s="371"/>
      <c r="J1" s="371"/>
    </row>
    <row r="2">
      <c r="A2" s="152" t="s">
        <v>865</v>
      </c>
      <c r="B2" s="152"/>
      <c r="C2" s="152"/>
      <c r="D2" s="152"/>
      <c r="E2" s="152"/>
      <c r="F2" s="152"/>
      <c r="G2" s="152"/>
    </row>
    <row r="3">
      <c r="A3" s="152" t="s">
        <v>866</v>
      </c>
      <c r="B3" s="152"/>
      <c r="C3" s="152"/>
      <c r="D3" s="152"/>
      <c r="E3" s="152"/>
      <c r="F3" s="152"/>
      <c r="G3" s="152"/>
    </row>
    <row r="4">
      <c r="A4" s="152" t="s">
        <v>867</v>
      </c>
      <c r="B4" s="152"/>
      <c r="C4" s="152"/>
      <c r="D4" s="152"/>
      <c r="E4" s="152"/>
      <c r="F4" s="152"/>
      <c r="G4" s="152"/>
    </row>
    <row r="5">
      <c r="A5" s="152" t="s">
        <v>868</v>
      </c>
      <c r="B5" s="152"/>
      <c r="C5" s="152"/>
      <c r="D5" s="152"/>
      <c r="E5" s="152"/>
      <c r="F5" s="152"/>
      <c r="G5" s="152"/>
    </row>
    <row r="6">
      <c r="A6" s="152" t="s">
        <v>869</v>
      </c>
      <c r="B6" s="152"/>
      <c r="C6" s="152"/>
      <c r="D6" s="152"/>
      <c r="E6" s="152"/>
      <c r="F6" s="152"/>
      <c r="G6" s="152"/>
    </row>
    <row r="7">
      <c r="A7" s="153"/>
      <c r="B7" s="154"/>
      <c r="C7" s="155"/>
      <c r="D7" s="156"/>
      <c r="E7" s="157"/>
      <c r="F7" s="12"/>
    </row>
    <row r="8">
      <c r="A8" s="86" t="s">
        <v>199</v>
      </c>
      <c r="B8" s="159" t="s">
        <v>53</v>
      </c>
      <c r="C8" s="159" t="s">
        <v>200</v>
      </c>
      <c r="D8" s="159" t="s">
        <v>201</v>
      </c>
      <c r="E8" s="157"/>
      <c r="F8" s="160" t="s">
        <v>199</v>
      </c>
      <c r="G8" s="159" t="s">
        <v>53</v>
      </c>
      <c r="H8" s="162" t="s">
        <v>202</v>
      </c>
      <c r="I8" s="163" t="s">
        <v>203</v>
      </c>
    </row>
    <row r="9">
      <c r="A9" s="164" t="str">
        <f>if(UriKesh_Import!B5=true,"Yes!","No")</f>
        <v>Yes!</v>
      </c>
      <c r="B9" s="165" t="s">
        <v>218</v>
      </c>
      <c r="C9" s="166" t="s">
        <v>205</v>
      </c>
      <c r="D9" s="167" t="s">
        <v>206</v>
      </c>
      <c r="F9" s="354" t="str">
        <f>if(UriKesh_Import!B24=true,"Yes!","No")</f>
        <v>Yes!</v>
      </c>
      <c r="G9" s="375" t="s">
        <v>495</v>
      </c>
      <c r="H9" s="247" t="s">
        <v>870</v>
      </c>
      <c r="I9" s="193" t="s">
        <v>209</v>
      </c>
      <c r="J9" s="172">
        <f>COUNTif(F9,"Yes!")</f>
        <v>1</v>
      </c>
    </row>
    <row r="10">
      <c r="A10" s="173" t="str">
        <f>if(UriKesh_Import!B6=true,"Yes!","No")</f>
        <v>Yes!</v>
      </c>
      <c r="B10" s="174" t="s">
        <v>563</v>
      </c>
      <c r="C10" s="175" t="s">
        <v>212</v>
      </c>
      <c r="D10" s="176" t="s">
        <v>206</v>
      </c>
      <c r="F10" s="177" t="str">
        <f>if(UriKesh_Import!B25=true,"Yes!","No")</f>
        <v>Yes!</v>
      </c>
      <c r="G10" s="376" t="s">
        <v>593</v>
      </c>
      <c r="H10" s="178" t="s">
        <v>871</v>
      </c>
      <c r="I10" s="171" t="s">
        <v>267</v>
      </c>
      <c r="J10" s="172">
        <f>COUNTif(F10:F13,"Yes!")</f>
        <v>2</v>
      </c>
    </row>
    <row r="11">
      <c r="A11" s="173" t="str">
        <f>if(UriKesh_Import!B7=true,"Yes!","No")</f>
        <v>Yes!</v>
      </c>
      <c r="B11" s="174" t="s">
        <v>298</v>
      </c>
      <c r="C11" s="175" t="s">
        <v>217</v>
      </c>
      <c r="D11" s="176" t="s">
        <v>206</v>
      </c>
      <c r="F11" s="183" t="str">
        <f>if(UriKesh_Import!B26=true,"Yes!","No")</f>
        <v>No</v>
      </c>
      <c r="G11" s="377" t="s">
        <v>246</v>
      </c>
      <c r="H11" s="185" t="s">
        <v>872</v>
      </c>
      <c r="I11" s="182"/>
      <c r="J11" s="172"/>
    </row>
    <row r="12">
      <c r="A12" s="173" t="str">
        <f>if(UriKesh_Import!B8=true,"Yes!","No")</f>
        <v>Yes!</v>
      </c>
      <c r="B12" s="174" t="s">
        <v>624</v>
      </c>
      <c r="C12" s="175" t="s">
        <v>221</v>
      </c>
      <c r="D12" s="176" t="s">
        <v>222</v>
      </c>
      <c r="F12" s="179" t="str">
        <f>if(UriKesh_Import!B27=true,"Yes!","No")</f>
        <v>Yes!</v>
      </c>
      <c r="G12" s="378" t="s">
        <v>380</v>
      </c>
      <c r="H12" s="181" t="s">
        <v>873</v>
      </c>
      <c r="I12" s="182"/>
      <c r="J12" s="172"/>
    </row>
    <row r="13">
      <c r="A13" s="173" t="str">
        <f>if(UriKesh_Import!B9=true,"Yes!","No")</f>
        <v>Yes!</v>
      </c>
      <c r="B13" s="174" t="s">
        <v>396</v>
      </c>
      <c r="C13" s="175" t="s">
        <v>226</v>
      </c>
      <c r="D13" s="176" t="s">
        <v>874</v>
      </c>
      <c r="F13" s="207" t="str">
        <f>if(UriKesh_Import!B28=true,"Yes!","No")</f>
        <v>No</v>
      </c>
      <c r="G13" s="379" t="s">
        <v>528</v>
      </c>
      <c r="H13" s="210" t="s">
        <v>875</v>
      </c>
      <c r="I13" s="189"/>
      <c r="J13" s="172"/>
    </row>
    <row r="14">
      <c r="A14" s="173" t="str">
        <f>if(UriKesh_Import!B10=true,"Yes!","No")</f>
        <v>Yes!</v>
      </c>
      <c r="B14" s="174" t="s">
        <v>223</v>
      </c>
      <c r="C14" s="175" t="s">
        <v>247</v>
      </c>
      <c r="D14" s="176" t="s">
        <v>876</v>
      </c>
      <c r="F14" s="194" t="str">
        <f>if(UriKesh_Import!B29=true,"Yes!","No")</f>
        <v>No</v>
      </c>
      <c r="G14" s="380" t="s">
        <v>239</v>
      </c>
      <c r="H14" s="196" t="s">
        <v>877</v>
      </c>
      <c r="I14" s="250" t="s">
        <v>281</v>
      </c>
      <c r="J14" s="172">
        <f>COUNTif(F14:F15,"Yes!")</f>
        <v>0</v>
      </c>
    </row>
    <row r="15">
      <c r="A15" s="173" t="str">
        <f>if(UriKesh_Import!B11=true,"Yes!","No")</f>
        <v>Yes!</v>
      </c>
      <c r="B15" s="174" t="s">
        <v>391</v>
      </c>
      <c r="C15" s="175" t="s">
        <v>770</v>
      </c>
      <c r="D15" s="176" t="s">
        <v>232</v>
      </c>
      <c r="F15" s="207" t="str">
        <f>if(UriKesh_Import!B30=true,"Yes!","No")</f>
        <v>No</v>
      </c>
      <c r="G15" s="379" t="s">
        <v>878</v>
      </c>
      <c r="H15" s="210" t="s">
        <v>879</v>
      </c>
      <c r="I15" s="189"/>
      <c r="J15" s="172"/>
    </row>
    <row r="16">
      <c r="A16" s="173" t="str">
        <f>if(UriKesh_Import!B12=true,"Yes!","No")</f>
        <v>Yes!</v>
      </c>
      <c r="B16" s="174" t="s">
        <v>703</v>
      </c>
      <c r="C16" s="175" t="s">
        <v>247</v>
      </c>
      <c r="D16" s="176" t="s">
        <v>880</v>
      </c>
      <c r="F16" s="218" t="str">
        <f>if(UriKesh_Import!B31=true,"Yes!","No")</f>
        <v>No</v>
      </c>
      <c r="G16" s="381" t="s">
        <v>351</v>
      </c>
      <c r="H16" s="220" t="s">
        <v>881</v>
      </c>
      <c r="I16" s="221" t="s">
        <v>209</v>
      </c>
      <c r="J16" s="172">
        <f t="shared" ref="J16:J17" si="1">COUNTif(F16,"Yes!")</f>
        <v>0</v>
      </c>
    </row>
    <row r="17">
      <c r="A17" s="173" t="str">
        <f>if(UriKesh_Import!B13=true,"Yes!","No")</f>
        <v>Yes!</v>
      </c>
      <c r="B17" s="174" t="s">
        <v>265</v>
      </c>
      <c r="C17" s="175" t="s">
        <v>882</v>
      </c>
      <c r="D17" s="176" t="s">
        <v>883</v>
      </c>
      <c r="F17" s="190" t="str">
        <f>if(UriKesh_Import!B32=true,"Yes!","No")</f>
        <v>Yes!</v>
      </c>
      <c r="G17" s="375" t="s">
        <v>556</v>
      </c>
      <c r="H17" s="192" t="s">
        <v>884</v>
      </c>
      <c r="I17" s="193" t="s">
        <v>209</v>
      </c>
      <c r="J17" s="172">
        <f t="shared" si="1"/>
        <v>1</v>
      </c>
    </row>
    <row r="18">
      <c r="A18" s="173" t="str">
        <f>if(UriKesh_Import!B14=true,"Yes!","No")</f>
        <v>Yes!</v>
      </c>
      <c r="B18" s="174" t="s">
        <v>553</v>
      </c>
      <c r="C18" s="175" t="s">
        <v>462</v>
      </c>
      <c r="D18" s="176" t="s">
        <v>885</v>
      </c>
      <c r="F18" s="194" t="str">
        <f>if(UriKesh_Import!B33=true,"Yes!","No")</f>
        <v>No</v>
      </c>
      <c r="G18" s="380" t="s">
        <v>216</v>
      </c>
      <c r="H18" s="196" t="s">
        <v>886</v>
      </c>
      <c r="I18" s="250" t="s">
        <v>267</v>
      </c>
      <c r="J18" s="172">
        <f>COUNTif(F18:F21,"Yes!")</f>
        <v>1</v>
      </c>
    </row>
    <row r="19">
      <c r="A19" s="173" t="str">
        <f>if(UriKesh_Import!B15=true,"Yes!","No")</f>
        <v>Yes!</v>
      </c>
      <c r="B19" s="174" t="s">
        <v>262</v>
      </c>
      <c r="C19" s="175" t="s">
        <v>263</v>
      </c>
      <c r="D19" s="176" t="s">
        <v>887</v>
      </c>
      <c r="F19" s="179" t="str">
        <f>if(UriKesh_Import!B34=true,"Yes!","No")</f>
        <v>Yes!</v>
      </c>
      <c r="G19" s="378" t="s">
        <v>768</v>
      </c>
      <c r="H19" s="181" t="s">
        <v>888</v>
      </c>
      <c r="I19" s="182"/>
      <c r="J19" s="172"/>
    </row>
    <row r="20">
      <c r="A20" s="173" t="str">
        <f>if(UriKesh_Import!B16=true,"Yes!","No")</f>
        <v>Yes!</v>
      </c>
      <c r="B20" s="174" t="s">
        <v>467</v>
      </c>
      <c r="C20" s="175" t="s">
        <v>263</v>
      </c>
      <c r="D20" s="176" t="s">
        <v>889</v>
      </c>
      <c r="F20" s="183" t="str">
        <f>if(UriKesh_Import!B35=true,"Yes!","No")</f>
        <v>No</v>
      </c>
      <c r="G20" s="377" t="s">
        <v>225</v>
      </c>
      <c r="H20" s="185" t="s">
        <v>890</v>
      </c>
      <c r="I20" s="182"/>
      <c r="J20" s="172"/>
    </row>
    <row r="21">
      <c r="A21" s="173" t="str">
        <f>if(UriKesh_Import!B17=true,"Yes!","No")</f>
        <v>Yes!</v>
      </c>
      <c r="B21" s="174" t="s">
        <v>891</v>
      </c>
      <c r="C21" s="175" t="s">
        <v>269</v>
      </c>
      <c r="D21" s="176" t="s">
        <v>892</v>
      </c>
      <c r="F21" s="207" t="str">
        <f>if(UriKesh_Import!B36=true,"Yes!","No")</f>
        <v>No</v>
      </c>
      <c r="G21" s="379" t="s">
        <v>659</v>
      </c>
      <c r="H21" s="210" t="s">
        <v>893</v>
      </c>
      <c r="I21" s="189"/>
      <c r="J21" s="172"/>
    </row>
    <row r="22">
      <c r="A22" s="173" t="str">
        <f>if(UriKesh_Import!B18=true,"Yes!","No")</f>
        <v>No</v>
      </c>
      <c r="B22" s="174" t="s">
        <v>391</v>
      </c>
      <c r="C22" s="175" t="s">
        <v>394</v>
      </c>
      <c r="D22" s="176" t="s">
        <v>894</v>
      </c>
      <c r="F22" s="177" t="str">
        <f>if(UriKesh_Import!B37=true,"Yes!","No")</f>
        <v>Yes!</v>
      </c>
      <c r="G22" s="376" t="s">
        <v>346</v>
      </c>
      <c r="H22" s="178" t="s">
        <v>895</v>
      </c>
      <c r="I22" s="171" t="s">
        <v>267</v>
      </c>
      <c r="J22" s="172">
        <f>COUNTif(F22:F25,"Yes!")</f>
        <v>3</v>
      </c>
    </row>
    <row r="23">
      <c r="A23" s="173" t="str">
        <f>if(UriKesh_Import!B19=true,"Yes!","No")</f>
        <v>No</v>
      </c>
      <c r="B23" s="174" t="s">
        <v>897</v>
      </c>
      <c r="C23" s="175" t="s">
        <v>898</v>
      </c>
      <c r="D23" s="176" t="s">
        <v>899</v>
      </c>
      <c r="F23" s="179" t="str">
        <f>if(UriKesh_Import!B38=true,"Yes!","No")</f>
        <v>Yes!</v>
      </c>
      <c r="G23" s="378" t="s">
        <v>480</v>
      </c>
      <c r="H23" s="181" t="s">
        <v>900</v>
      </c>
      <c r="I23" s="182"/>
      <c r="J23" s="172"/>
    </row>
    <row r="24">
      <c r="A24" s="198" t="str">
        <f>If(Dashboard!$M12=TRUE,"Yes!","No")</f>
        <v>Yes!</v>
      </c>
      <c r="B24" s="365" t="s">
        <v>849</v>
      </c>
      <c r="C24" s="366"/>
      <c r="D24" s="367"/>
      <c r="F24" s="179" t="str">
        <f>if(UriKesh_Import!B39=true,"Yes!","No")</f>
        <v>Yes!</v>
      </c>
      <c r="G24" s="378" t="s">
        <v>223</v>
      </c>
      <c r="H24" s="181" t="s">
        <v>903</v>
      </c>
      <c r="I24" s="182"/>
      <c r="J24" s="172"/>
    </row>
    <row r="25">
      <c r="F25" s="207" t="str">
        <f>if(UriKesh_Import!B40=true,"Yes!","No")</f>
        <v>No</v>
      </c>
      <c r="G25" s="379" t="s">
        <v>362</v>
      </c>
      <c r="H25" s="210" t="s">
        <v>907</v>
      </c>
      <c r="I25" s="189"/>
      <c r="J25" s="172"/>
    </row>
    <row r="26">
      <c r="A26" s="202" t="s">
        <v>287</v>
      </c>
      <c r="F26" s="218" t="str">
        <f>if(UriKesh_Import!B41=true,"Yes!","No")</f>
        <v>No</v>
      </c>
      <c r="G26" s="381" t="s">
        <v>575</v>
      </c>
      <c r="H26" s="220" t="s">
        <v>908</v>
      </c>
      <c r="I26" s="294"/>
      <c r="J26" s="172"/>
    </row>
    <row r="27">
      <c r="A27" s="271" t="str">
        <f>IFERROR(__xludf.DUMMYFUNCTION("IFERROR(
  FILTER(
    FLATTEN({UriKesh_Import!C5:C20; UriKesh_Import!C24:C52; UriKesh_Import!A55:A90}),
    FLATTEN({UriKesh_Import!C5:C20; UriKesh_Import!C24:C52; UriKesh_Import!A55:A90}) &lt;&gt; """"
  ),
  """"
)"),"Delightful group, easy handoff")</f>
        <v>Delightful group, easy handoff</v>
      </c>
      <c r="B27" s="4"/>
      <c r="C27" s="4"/>
      <c r="D27" s="5"/>
      <c r="F27" s="218" t="str">
        <f>if(UriKesh_Import!B42=true,"Yes!","No")</f>
        <v>No</v>
      </c>
      <c r="G27" s="381" t="s">
        <v>343</v>
      </c>
      <c r="H27" s="220" t="s">
        <v>909</v>
      </c>
      <c r="I27" s="294"/>
      <c r="J27" s="172"/>
    </row>
    <row r="28">
      <c r="A28" s="272" t="str">
        <f>IFERROR(__xludf.DUMMYFUNCTION("""COMPUTED_VALUE"""),"Very engaged, only describing a stolen lamp and not mentioning it is magical or a genie - BW")</f>
        <v>Very engaged, only describing a stolen lamp and not mentioning it is magical or a genie - BW</v>
      </c>
      <c r="D28" s="182"/>
      <c r="F28" s="218" t="str">
        <f>if(UriKesh_Import!B43=true,"Yes!","No")</f>
        <v>No</v>
      </c>
      <c r="G28" s="381" t="s">
        <v>370</v>
      </c>
      <c r="H28" s="220" t="s">
        <v>911</v>
      </c>
      <c r="I28" s="294"/>
      <c r="J28" s="172"/>
    </row>
    <row r="29">
      <c r="A29" s="272" t="str">
        <f>IFERROR(__xludf.DUMMYFUNCTION("""COMPUTED_VALUE"""),"Very curious about last night and the burned theater. Engaged, excited, figuring out how to be a team. Also curious about what crimes may be tried at trial!")</f>
        <v>Very curious about last night and the burned theater. Engaged, excited, figuring out how to be a team. Also curious about what crimes may be tried at trial!</v>
      </c>
      <c r="D29" s="182"/>
      <c r="F29" s="190" t="str">
        <f>if(UriKesh_Import!B44=true,"Yes!","No")</f>
        <v>Yes!</v>
      </c>
      <c r="G29" s="375" t="s">
        <v>627</v>
      </c>
      <c r="H29" s="192" t="s">
        <v>912</v>
      </c>
      <c r="I29" s="193"/>
      <c r="J29" s="172"/>
    </row>
    <row r="30">
      <c r="A30" s="272" t="str">
        <f>IFERROR(__xludf.DUMMYFUNCTION("""COMPUTED_VALUE"""),"Party seemed very enthusiastic and immediately bought in, but Seeker did not participate in Grab-Bag storytelling - not sure if shy or just tired, seemed a little checked out watching fire - ESD")</f>
        <v>Party seemed very enthusiastic and immediately bought in, but Seeker did not participate in Grab-Bag storytelling - not sure if shy or just tired, seemed a little checked out watching fire - ESD</v>
      </c>
      <c r="D30" s="182"/>
      <c r="F30" s="218" t="str">
        <f>if(UriKesh_Import!B45=true,"Yes!","No")</f>
        <v>No</v>
      </c>
      <c r="G30" s="381" t="s">
        <v>663</v>
      </c>
      <c r="H30" s="220" t="s">
        <v>913</v>
      </c>
      <c r="I30" s="294"/>
      <c r="J30" s="172"/>
    </row>
    <row r="31">
      <c r="A31" s="272" t="str">
        <f>IFERROR(__xludf.DUMMYFUNCTION("""COMPUTED_VALUE"""),"Charmed, I'm sure challenge.  Gave the looking glass. All good! -EL")</f>
        <v>Charmed, I'm sure challenge.  Gave the looking glass. All good! -EL</v>
      </c>
      <c r="D31" s="182"/>
      <c r="F31" s="190" t="str">
        <f>if(UriKesh_Import!B46=true,"Yes!","No")</f>
        <v>Yes!</v>
      </c>
      <c r="G31" s="375" t="s">
        <v>365</v>
      </c>
      <c r="H31" s="192" t="s">
        <v>915</v>
      </c>
      <c r="I31" s="193" t="s">
        <v>209</v>
      </c>
      <c r="J31" s="172">
        <f t="shared" ref="J31:J32" si="2">COUNTif(F31,"Yes!")</f>
        <v>1</v>
      </c>
    </row>
    <row r="32">
      <c r="A32" s="272" t="str">
        <f>IFERROR(__xludf.DUMMYFUNCTION("""COMPUTED_VALUE"""),"Gave them the riddle. Sweet group.")</f>
        <v>Gave them the riddle. Sweet group.</v>
      </c>
      <c r="D32" s="182"/>
      <c r="F32" s="190" t="str">
        <f>if(UriKesh_Import!B47=true,"Yes!","No")</f>
        <v>Yes!</v>
      </c>
      <c r="G32" s="375" t="s">
        <v>795</v>
      </c>
      <c r="H32" s="192" t="s">
        <v>916</v>
      </c>
      <c r="I32" s="193" t="s">
        <v>209</v>
      </c>
      <c r="J32" s="172">
        <f t="shared" si="2"/>
        <v>1</v>
      </c>
    </row>
    <row r="33">
      <c r="A33" s="272" t="str">
        <f>IFERROR(__xludf.DUMMYFUNCTION("""COMPUTED_VALUE"""),"Chatted with traveler; she asked about the rum, I told her I couldn't possibly give it up.  I think we're on track to have the right interaction tomorrow.  --LN, Friday night / Went perfect. -LN, sat noon")</f>
        <v>Chatted with traveler; she asked about the rum, I told her I couldn't possibly give it up.  I think we're on track to have the right interaction tomorrow.  --LN, Friday night / Went perfect. -LN, sat noon</v>
      </c>
      <c r="D33" s="182"/>
      <c r="F33" s="186" t="str">
        <f>if(Dashboard!G12=true,"Yes!","No")</f>
        <v>Yes!</v>
      </c>
      <c r="G33" s="410" t="s">
        <v>302</v>
      </c>
      <c r="H33" s="188" t="s">
        <v>919</v>
      </c>
      <c r="I33" s="411"/>
      <c r="J33" s="172"/>
    </row>
    <row r="34">
      <c r="A34" s="272" t="str">
        <f>IFERROR(__xludf.DUMMYFUNCTION("""COMPUTED_VALUE"""),"Did the jingle challenge")</f>
        <v>Did the jingle challenge</v>
      </c>
      <c r="D34" s="182"/>
      <c r="F34" s="218" t="str">
        <f>if(UriKesh_Import!B49=true,"Yes!","No")</f>
        <v>No</v>
      </c>
      <c r="G34" s="381" t="s">
        <v>351</v>
      </c>
      <c r="H34" s="220" t="s">
        <v>921</v>
      </c>
      <c r="I34" s="221" t="s">
        <v>209</v>
      </c>
      <c r="J34" s="172">
        <f t="shared" ref="J34:J35" si="3">COUNTif(F34,"Yes!")</f>
        <v>0</v>
      </c>
    </row>
    <row r="35">
      <c r="A35" s="272" t="str">
        <f>IFERROR(__xludf.DUMMYFUNCTION("""COMPUTED_VALUE"""),"11am-ish.  Party seems pretty split between folks like Vinn always trying to lead, and the Seeker Gibran who really really really didn't want to lead and seemed unhappy when we isolated him to be one of the 2 people speaking in round two of the perfect sq"&amp;"uare challenge. JF")</f>
        <v>11am-ish.  Party seems pretty split between folks like Vinn always trying to lead, and the Seeker Gibran who really really really didn't want to lead and seemed unhappy when we isolated him to be one of the 2 people speaking in round two of the perfect square challenge. JF</v>
      </c>
      <c r="D35" s="182"/>
      <c r="F35" s="218" t="str">
        <f>if(UriKesh_Import!B50=true,"Yes!","No")</f>
        <v>No</v>
      </c>
      <c r="G35" s="381" t="s">
        <v>376</v>
      </c>
      <c r="H35" s="220" t="s">
        <v>924</v>
      </c>
      <c r="I35" s="221" t="s">
        <v>209</v>
      </c>
      <c r="J35" s="172">
        <f t="shared" si="3"/>
        <v>0</v>
      </c>
    </row>
    <row r="36">
      <c r="A36" s="272" t="str">
        <f>IFERROR(__xludf.DUMMYFUNCTION("""COMPUTED_VALUE"""),"Gave the wine stopper -they played double mute charades together well")</f>
        <v>Gave the wine stopper -they played double mute charades together well</v>
      </c>
      <c r="D36" s="182"/>
      <c r="E36" s="157"/>
      <c r="F36" s="153"/>
      <c r="G36" s="413"/>
      <c r="H36" s="414"/>
      <c r="I36" s="156"/>
      <c r="J36" s="172"/>
    </row>
    <row r="37">
      <c r="A37" s="272" t="str">
        <f>IFERROR(__xludf.DUMMYFUNCTION("""COMPUTED_VALUE"""),"The first pair were super descriptive and communicative.  They were pretty quick and clear. jag")</f>
        <v>The first pair were super descriptive and communicative.  They were pretty quick and clear. jag</v>
      </c>
      <c r="D37" s="182"/>
      <c r="E37" s="157"/>
      <c r="F37" s="153"/>
      <c r="G37" s="413"/>
      <c r="H37" s="414"/>
      <c r="I37" s="156"/>
      <c r="J37" s="172"/>
    </row>
    <row r="38">
      <c r="A38" s="272" t="str">
        <f>IFERROR(__xludf.DUMMYFUNCTION("""COMPUTED_VALUE"""),"Gave charge to 3 or 4 of the 5 party members; had a good connection (especially with the Seeker-Keeper) but made sure to also show my true complainy/self-centered nature.")</f>
        <v>Gave charge to 3 or 4 of the 5 party members; had a good connection (especially with the Seeker-Keeper) but made sure to also show my true complainy/self-centered nature.</v>
      </c>
      <c r="D38" s="182"/>
      <c r="E38" s="157"/>
      <c r="F38" s="153"/>
      <c r="G38" s="174"/>
      <c r="H38" s="175"/>
      <c r="I38" s="330"/>
      <c r="J38" s="172"/>
    </row>
    <row r="39">
      <c r="A39" s="272" t="str">
        <f>IFERROR(__xludf.DUMMYFUNCTION("""COMPUTED_VALUE"""),"spoke about Dora, gently disparaging Edwin, not a long enough chat - half check! fully complete midnight Sat - still resistant to interact w/ nobles!")</f>
        <v>spoke about Dora, gently disparaging Edwin, not a long enough chat - half check! fully complete midnight Sat - still resistant to interact w/ nobles!</v>
      </c>
      <c r="D39" s="182"/>
      <c r="E39" s="157"/>
      <c r="F39" s="153"/>
      <c r="I39" s="330"/>
      <c r="J39" s="172"/>
    </row>
    <row r="40">
      <c r="A40" s="272" t="str">
        <f>IFERROR(__xludf.DUMMYFUNCTION("""COMPUTED_VALUE"""),"Mentioned Dora's expensive rose garden and uncharacteristic spending.  Only 4 present and they seemed busy and preoccupied. ")</f>
        <v>Mentioned Dora's expensive rose garden and uncharacteristic spending.  Only 4 present and they seemed busy and preoccupied. </v>
      </c>
      <c r="D40" s="182"/>
      <c r="E40" s="157"/>
      <c r="F40" s="153"/>
      <c r="I40" s="330"/>
      <c r="J40" s="172"/>
    </row>
    <row r="41">
      <c r="A41" s="272" t="str">
        <f>IFERROR(__xludf.DUMMYFUNCTION("""COMPUTED_VALUE"""),"most of them listened intently, they asked if there was somewhere to ""buy the fertilizer"" but I said I don't want it anymore after Dora died - MFL")</f>
        <v>most of them listened intently, they asked if there was somewhere to "buy the fertilizer" but I said I don't want it anymore after Dora died - MFL</v>
      </c>
      <c r="D41" s="182"/>
      <c r="E41" s="157"/>
      <c r="F41" s="153"/>
      <c r="I41" s="330"/>
      <c r="J41" s="172"/>
    </row>
    <row r="42">
      <c r="A42" s="272" t="str">
        <f>IFERROR(__xludf.DUMMYFUNCTION("""COMPUTED_VALUE"""),"Sat lunch, VERY indirectly, not even sure they heard it...")</f>
        <v>Sat lunch, VERY indirectly, not even sure they heard it...</v>
      </c>
      <c r="D42" s="182"/>
      <c r="E42" s="157"/>
      <c r="F42" s="12"/>
    </row>
    <row r="43">
      <c r="A43" s="226" t="str">
        <f>IFERROR(__xludf.DUMMYFUNCTION("""COMPUTED_VALUE"""),"Talked mainly to Cody, other party members listened as well, they seemed to register everything. - ZT")</f>
        <v>Talked mainly to Cody, other party members listened as well, they seemed to register everything. - ZT</v>
      </c>
      <c r="D43" s="182"/>
      <c r="E43" s="157"/>
      <c r="F43" s="12"/>
    </row>
    <row r="44">
      <c r="A44" s="226" t="str">
        <f>IFERROR(__xludf.DUMMYFUNCTION("""COMPUTED_VALUE"""),"Talked with them at lunch. They were interested in the story about the seance and wanted to know if it had anything to do with the Court of Mirrors")</f>
        <v>Talked with them at lunch. They were interested in the story about the seance and wanted to know if it had anything to do with the Court of Mirrors</v>
      </c>
      <c r="D44" s="182"/>
      <c r="E44" s="157"/>
      <c r="F44" s="12"/>
    </row>
    <row r="45">
      <c r="A45" s="226" t="str">
        <f>IFERROR(__xludf.DUMMYFUNCTION("""COMPUTED_VALUE"""),"They hadn't heard of Eugenie or Theodora. I told them about the seance and they asked how old Theadora was when she dies and if she had any kids. We told her Edwin and they knew he was the guy in black with the hat. They asked a lot about the portal and h"&amp;"ow to open it. ")</f>
        <v>They hadn't heard of Eugenie or Theodora. I told them about the seance and they asked how old Theadora was when she dies and if she had any kids. We told her Edwin and they knew he was the guy in black with the hat. They asked a lot about the portal and how to open it. </v>
      </c>
      <c r="D45" s="182"/>
      <c r="E45" s="157"/>
      <c r="F45" s="12"/>
    </row>
    <row r="46">
      <c r="A46" s="226" t="str">
        <f>IFERROR(__xludf.DUMMYFUNCTION("""COMPUTED_VALUE"""),"took info they are very much thinking its a sunday problem")</f>
        <v>took info they are very much thinking its a sunday problem</v>
      </c>
      <c r="D46" s="182"/>
      <c r="E46" s="157"/>
      <c r="F46" s="12"/>
    </row>
    <row r="47">
      <c r="A47" s="226" t="str">
        <f>IFERROR(__xludf.DUMMYFUNCTION("""COMPUTED_VALUE"""),"Never saw them all day!")</f>
        <v>Never saw them all day!</v>
      </c>
      <c r="D47" s="182"/>
      <c r="E47" s="157"/>
      <c r="F47" s="12"/>
    </row>
    <row r="48">
      <c r="A48" s="226" t="str">
        <f>IFERROR(__xludf.DUMMYFUNCTION("""COMPUTED_VALUE"""),"More concerned w alt timeline but heard story and Urving pumped up a couple key details")</f>
        <v>More concerned w alt timeline but heard story and Urving pumped up a couple key details</v>
      </c>
      <c r="D48" s="182"/>
      <c r="E48" s="157"/>
      <c r="F48" s="12"/>
    </row>
    <row r="49">
      <c r="A49" s="226" t="str">
        <f>IFERROR(__xludf.DUMMYFUNCTION("""COMPUTED_VALUE"""),"Delivered the bag at the start of Apple Crisp. Told them that Kira recommended I give it to them (I never met the party prior).They pulled the items out, laughed at the smoke bombs, and then saw the green face paint. Immediately started connecting the dot"&amp;"s on the items. ")</f>
        <v>Delivered the bag at the start of Apple Crisp. Told them that Kira recommended I give it to them (I never met the party prior).They pulled the items out, laughed at the smoke bombs, and then saw the green face paint. Immediately started connecting the dots on the items. </v>
      </c>
      <c r="D49" s="182"/>
      <c r="E49" s="157"/>
      <c r="F49" s="12"/>
    </row>
    <row r="50">
      <c r="A50" s="226" t="str">
        <f>IFERROR(__xludf.DUMMYFUNCTION("""COMPUTED_VALUE"""),"Encountered chitters.  Ranger (Venn) did an amazing job soothing Katie.  Talked to her for a solid 5 minutes.  Two attacked me, but the rest of the party separated from Ranger and were trying to get by us,  Did fight eventually- Peggy Saturday 8-10")</f>
        <v>Encountered chitters.  Ranger (Venn) did an amazing job soothing Katie.  Talked to her for a solid 5 minutes.  Two attacked me, but the rest of the party separated from Ranger and were trying to get by us,  Did fight eventually- Peggy Saturday 8-10</v>
      </c>
      <c r="D50" s="182"/>
      <c r="E50" s="157"/>
      <c r="F50" s="12"/>
    </row>
    <row r="51">
      <c r="A51" s="226" t="str">
        <f>IFERROR(__xludf.DUMMYFUNCTION("""COMPUTED_VALUE"""),"party photo taken -Mirin")</f>
        <v>party photo taken -Mirin</v>
      </c>
      <c r="D51" s="182"/>
      <c r="E51" s="157"/>
      <c r="F51" s="12"/>
    </row>
    <row r="52">
      <c r="A52" s="226" t="str">
        <f>IFERROR(__xludf.DUMMYFUNCTION("""COMPUTED_VALUE"""),"Argued briefly with Clairia about splitting treasure from shared Chitter battle. They resolved it reasonably quickly. -HA")</f>
        <v>Argued briefly with Clairia about splitting treasure from shared Chitter battle. They resolved it reasonably quickly. -HA</v>
      </c>
      <c r="D52" s="182"/>
      <c r="E52" s="157"/>
      <c r="F52" s="12"/>
    </row>
    <row r="53">
      <c r="A53" s="226" t="str">
        <f>IFERROR(__xludf.DUMMYFUNCTION("""COMPUTED_VALUE"""),"Mistook Pansy for Poppy(score). Told them Poppy is lazy and barely does anything to keep the portal closed. -HA")</f>
        <v>Mistook Pansy for Poppy(score). Told them Poppy is lazy and barely does anything to keep the portal closed. -HA</v>
      </c>
      <c r="D53" s="182"/>
      <c r="E53" s="157"/>
      <c r="F53" s="12"/>
    </row>
    <row r="54">
      <c r="A54" s="226" t="str">
        <f>IFERROR(__xludf.DUMMYFUNCTION("""COMPUTED_VALUE"""),"At the Roamer Camp they Seemed in good spirits and very fun group.")</f>
        <v>At the Roamer Camp they Seemed in good spirits and very fun group.</v>
      </c>
      <c r="D54" s="182"/>
      <c r="E54" s="157"/>
      <c r="F54" s="12"/>
    </row>
    <row r="55">
      <c r="A55" s="226" t="str">
        <f>IFERROR(__xludf.DUMMYFUNCTION("""COMPUTED_VALUE"""),"Questioning of Poppy Golden about the court of mirrors went so far that she finally had to say that the court of mirrors would open over her dead body. Later they discussed hypothetically assassinating her. -LH")</f>
        <v>Questioning of Poppy Golden about the court of mirrors went so far that she finally had to say that the court of mirrors would open over her dead body. Later they discussed hypothetically assassinating her. -LH</v>
      </c>
      <c r="D55" s="182"/>
      <c r="E55" s="157"/>
      <c r="F55" s="12"/>
    </row>
    <row r="56">
      <c r="A56" s="226" t="str">
        <f>IFERROR(__xludf.DUMMYFUNCTION("""COMPUTED_VALUE"""),"2 members of the party split off and didn't not join the rest of their party in combat training at Valerius House.  Caster was clearly contemplating killing Poppy Golden to try to get the Court of Mirrors open.  -- Neal, 1pm Sat")</f>
        <v>2 members of the party split off and didn't not join the rest of their party in combat training at Valerius House.  Caster was clearly contemplating killing Poppy Golden to try to get the Court of Mirrors open.  -- Neal, 1pm Sat</v>
      </c>
      <c r="D56" s="182"/>
      <c r="E56" s="157"/>
      <c r="F56" s="12"/>
    </row>
    <row r="57">
      <c r="A57" s="226" t="str">
        <f>IFERROR(__xludf.DUMMYFUNCTION("""COMPUTED_VALUE"""),"Sold Alora's Medal to Buzzkill")</f>
        <v>Sold Alora's Medal to Buzzkill</v>
      </c>
      <c r="D57" s="182"/>
      <c r="E57" s="157"/>
      <c r="F57" s="12"/>
    </row>
    <row r="58">
      <c r="A58" s="226" t="str">
        <f>IFERROR(__xludf.DUMMYFUNCTION("""COMPUTED_VALUE"""),"Encountered party at marble maze. Down to 5. Tall man with hair bun was acting exasperated and frustrated - ""it's just basic trig"" with eye roll. Continued making subtle remarks and thanked me for ending. Tried to encourage the whole party regarding the"&amp;"ir attemps at changing tactics both in the puzzle and communication - MD")</f>
        <v>Encountered party at marble maze. Down to 5. Tall man with hair bun was acting exasperated and frustrated - "it's just basic trig" with eye roll. Continued making subtle remarks and thanked me for ending. Tried to encourage the whole party regarding their attemps at changing tactics both in the puzzle and communication - MD</v>
      </c>
      <c r="D58" s="182"/>
      <c r="E58" s="157"/>
      <c r="F58" s="12"/>
    </row>
    <row r="59">
      <c r="A59" s="226" t="str">
        <f>IFERROR(__xludf.DUMMYFUNCTION("""COMPUTED_VALUE"""),"Tried to force their way into the Court of Mirrors. Poppy gave them a piece of her mind. Once they came in properly, did well at the Gauntlet")</f>
        <v>Tried to force their way into the Court of Mirrors. Poppy gave them a piece of her mind. Once they came in properly, did well at the Gauntlet</v>
      </c>
      <c r="D59" s="182"/>
      <c r="E59" s="157"/>
      <c r="F59" s="12"/>
    </row>
    <row r="60">
      <c r="A60" s="422"/>
      <c r="D60" s="182"/>
      <c r="E60" s="157"/>
      <c r="F60" s="12"/>
    </row>
    <row r="61">
      <c r="A61" s="316"/>
      <c r="B61" s="228"/>
      <c r="C61" s="228"/>
      <c r="D61" s="189"/>
      <c r="E61" s="157"/>
      <c r="F61" s="12"/>
    </row>
    <row r="62">
      <c r="E62" s="157"/>
      <c r="F62" s="12"/>
    </row>
    <row r="63">
      <c r="E63" s="157"/>
      <c r="F63" s="12"/>
    </row>
    <row r="64">
      <c r="A64" s="225"/>
      <c r="B64" s="213"/>
      <c r="C64" s="356"/>
      <c r="D64" s="330"/>
      <c r="E64" s="157"/>
      <c r="F64" s="12"/>
    </row>
    <row r="65">
      <c r="A65" s="225"/>
      <c r="B65" s="213"/>
      <c r="C65" s="356"/>
      <c r="D65" s="330"/>
      <c r="E65" s="157"/>
      <c r="F65" s="12"/>
    </row>
    <row r="66">
      <c r="A66" s="225"/>
      <c r="B66" s="213"/>
      <c r="C66" s="356"/>
      <c r="D66" s="330"/>
      <c r="E66" s="157"/>
      <c r="F66" s="12"/>
    </row>
    <row r="67">
      <c r="A67" s="225"/>
      <c r="B67" s="213"/>
      <c r="C67" s="356"/>
      <c r="D67" s="330"/>
      <c r="E67" s="157"/>
      <c r="F67" s="12"/>
    </row>
    <row r="68">
      <c r="A68" s="225"/>
      <c r="B68" s="213"/>
      <c r="C68" s="356"/>
      <c r="D68" s="330"/>
      <c r="E68" s="157"/>
      <c r="F68" s="12"/>
    </row>
    <row r="69">
      <c r="A69" s="225"/>
      <c r="B69" s="213"/>
      <c r="C69" s="356"/>
      <c r="D69" s="330"/>
      <c r="E69" s="157"/>
      <c r="F69" s="12"/>
    </row>
    <row r="70">
      <c r="A70" s="225"/>
      <c r="B70" s="213"/>
      <c r="C70" s="356"/>
      <c r="D70" s="330"/>
      <c r="E70" s="157"/>
      <c r="F70" s="12"/>
    </row>
    <row r="71">
      <c r="A71" s="225"/>
      <c r="B71" s="213"/>
      <c r="C71" s="356"/>
      <c r="D71" s="330"/>
      <c r="E71" s="157"/>
      <c r="F71" s="12"/>
    </row>
    <row r="72">
      <c r="A72" s="225"/>
      <c r="B72" s="213"/>
      <c r="C72" s="356"/>
      <c r="D72" s="330"/>
      <c r="E72" s="157"/>
      <c r="F72" s="12"/>
    </row>
    <row r="73">
      <c r="A73" s="225"/>
      <c r="B73" s="213"/>
      <c r="C73" s="356"/>
      <c r="D73" s="330"/>
      <c r="E73" s="157"/>
      <c r="F73" s="12"/>
    </row>
    <row r="74">
      <c r="A74" s="225"/>
      <c r="B74" s="213"/>
      <c r="C74" s="356"/>
      <c r="D74" s="330"/>
      <c r="E74" s="157"/>
      <c r="F74" s="12"/>
    </row>
    <row r="75">
      <c r="A75" s="225"/>
      <c r="B75" s="213"/>
      <c r="C75" s="356"/>
      <c r="D75" s="330"/>
      <c r="E75" s="157"/>
      <c r="F75" s="12"/>
    </row>
    <row r="76">
      <c r="A76" s="225"/>
      <c r="B76" s="213"/>
      <c r="C76" s="356"/>
      <c r="D76" s="330"/>
      <c r="E76" s="157"/>
      <c r="F76" s="12"/>
    </row>
    <row r="77">
      <c r="A77" s="225"/>
      <c r="B77" s="213"/>
      <c r="C77" s="356"/>
      <c r="D77" s="330"/>
      <c r="E77" s="157"/>
      <c r="F77" s="12"/>
    </row>
    <row r="78">
      <c r="A78" s="225"/>
      <c r="B78" s="213"/>
      <c r="C78" s="356"/>
      <c r="D78" s="330"/>
      <c r="E78" s="157"/>
      <c r="F78" s="12"/>
    </row>
    <row r="79">
      <c r="A79" s="225"/>
      <c r="B79" s="213"/>
      <c r="C79" s="356"/>
      <c r="D79" s="330"/>
      <c r="E79" s="157"/>
      <c r="F79" s="12"/>
    </row>
    <row r="80">
      <c r="A80" s="225"/>
      <c r="B80" s="213"/>
      <c r="C80" s="356"/>
      <c r="D80" s="330"/>
      <c r="E80" s="157"/>
      <c r="F80" s="12"/>
    </row>
    <row r="81">
      <c r="A81" s="225"/>
      <c r="B81" s="213"/>
      <c r="C81" s="356"/>
      <c r="D81" s="330"/>
      <c r="E81" s="157"/>
      <c r="F81" s="12"/>
    </row>
    <row r="82">
      <c r="A82" s="225"/>
      <c r="B82" s="213"/>
      <c r="C82" s="356"/>
      <c r="D82" s="330"/>
      <c r="E82" s="157"/>
      <c r="F82" s="12"/>
    </row>
    <row r="83">
      <c r="A83" s="225"/>
      <c r="B83" s="213"/>
      <c r="C83" s="356"/>
      <c r="D83" s="330"/>
      <c r="E83" s="157"/>
      <c r="F83" s="12"/>
    </row>
    <row r="84">
      <c r="A84" s="225"/>
      <c r="B84" s="213"/>
      <c r="C84" s="356"/>
      <c r="D84" s="330"/>
      <c r="E84" s="157"/>
      <c r="F84" s="12"/>
    </row>
    <row r="85">
      <c r="A85" s="225"/>
      <c r="B85" s="213"/>
      <c r="C85" s="356"/>
      <c r="D85" s="330"/>
      <c r="E85" s="157"/>
      <c r="F85" s="12"/>
    </row>
    <row r="86">
      <c r="A86" s="225"/>
      <c r="B86" s="213"/>
      <c r="C86" s="356"/>
      <c r="D86" s="330"/>
      <c r="E86" s="157"/>
      <c r="F86" s="12"/>
    </row>
    <row r="87">
      <c r="A87" s="225"/>
      <c r="B87" s="213"/>
      <c r="C87" s="356"/>
      <c r="D87" s="330"/>
      <c r="E87" s="157"/>
      <c r="F87" s="12"/>
    </row>
    <row r="88">
      <c r="A88" s="225"/>
      <c r="B88" s="213"/>
      <c r="C88" s="356"/>
      <c r="D88" s="330"/>
      <c r="E88" s="157"/>
      <c r="F88" s="12"/>
    </row>
    <row r="89">
      <c r="A89" s="225"/>
      <c r="B89" s="213"/>
      <c r="C89" s="356"/>
      <c r="D89" s="330"/>
      <c r="E89" s="157"/>
      <c r="F89" s="12"/>
    </row>
    <row r="90">
      <c r="A90" s="225"/>
      <c r="B90" s="213"/>
      <c r="C90" s="356"/>
      <c r="D90" s="330"/>
      <c r="E90" s="157"/>
      <c r="F90" s="12"/>
    </row>
    <row r="91">
      <c r="A91" s="225"/>
      <c r="B91" s="213"/>
      <c r="C91" s="356"/>
      <c r="D91" s="330"/>
      <c r="E91" s="157"/>
      <c r="F91" s="12"/>
    </row>
    <row r="92">
      <c r="A92" s="225"/>
      <c r="B92" s="213"/>
      <c r="C92" s="356"/>
      <c r="D92" s="330"/>
      <c r="E92" s="157"/>
      <c r="F92" s="12"/>
    </row>
    <row r="93">
      <c r="A93" s="225"/>
      <c r="B93" s="213"/>
      <c r="C93" s="356"/>
      <c r="D93" s="330"/>
      <c r="E93" s="157"/>
      <c r="F93" s="12"/>
    </row>
    <row r="94">
      <c r="A94" s="225"/>
      <c r="B94" s="213"/>
      <c r="C94" s="356"/>
      <c r="D94" s="330"/>
      <c r="E94" s="157"/>
      <c r="F94" s="12"/>
    </row>
    <row r="95">
      <c r="A95" s="225"/>
      <c r="B95" s="213"/>
      <c r="C95" s="356"/>
      <c r="D95" s="330"/>
      <c r="E95" s="157"/>
      <c r="F95" s="12"/>
    </row>
    <row r="96">
      <c r="A96" s="225"/>
      <c r="B96" s="213"/>
      <c r="C96" s="356"/>
      <c r="D96" s="330"/>
      <c r="E96" s="157"/>
      <c r="F96" s="12"/>
    </row>
    <row r="97">
      <c r="A97" s="225"/>
      <c r="B97" s="213"/>
      <c r="C97" s="356"/>
      <c r="D97" s="330"/>
      <c r="E97" s="157"/>
      <c r="F97" s="12"/>
    </row>
    <row r="98">
      <c r="A98" s="225"/>
      <c r="B98" s="213"/>
      <c r="C98" s="356"/>
      <c r="D98" s="330"/>
      <c r="E98" s="157"/>
      <c r="F98" s="12"/>
    </row>
    <row r="99">
      <c r="A99" s="225"/>
      <c r="B99" s="213"/>
      <c r="C99" s="356"/>
      <c r="D99" s="330"/>
      <c r="E99" s="157"/>
      <c r="F99" s="12"/>
    </row>
    <row r="100">
      <c r="A100" s="225"/>
      <c r="B100" s="213"/>
      <c r="C100" s="356"/>
      <c r="D100" s="330"/>
      <c r="E100" s="157"/>
      <c r="F100" s="12"/>
    </row>
    <row r="101">
      <c r="A101" s="225"/>
      <c r="B101" s="213"/>
      <c r="C101" s="356"/>
      <c r="D101" s="330"/>
      <c r="E101" s="157"/>
      <c r="F101" s="12"/>
    </row>
    <row r="102">
      <c r="A102" s="225"/>
      <c r="B102" s="213"/>
      <c r="C102" s="356"/>
      <c r="D102" s="330"/>
      <c r="E102" s="157"/>
      <c r="F102" s="12"/>
    </row>
    <row r="103">
      <c r="A103" s="225"/>
      <c r="B103" s="213"/>
      <c r="C103" s="356"/>
      <c r="D103" s="330"/>
      <c r="E103" s="157"/>
      <c r="F103" s="12"/>
    </row>
    <row r="104">
      <c r="A104" s="225"/>
      <c r="B104" s="213"/>
      <c r="C104" s="356"/>
      <c r="D104" s="330"/>
      <c r="E104" s="157"/>
      <c r="F104" s="12"/>
    </row>
    <row r="105">
      <c r="A105" s="225"/>
      <c r="B105" s="213"/>
      <c r="C105" s="356"/>
      <c r="D105" s="330"/>
      <c r="E105" s="157"/>
      <c r="F105" s="12"/>
    </row>
    <row r="106">
      <c r="A106" s="225"/>
      <c r="B106" s="213"/>
      <c r="C106" s="356"/>
      <c r="D106" s="330"/>
      <c r="E106" s="157"/>
      <c r="F106" s="12"/>
    </row>
    <row r="107">
      <c r="A107" s="225"/>
      <c r="B107" s="213"/>
      <c r="C107" s="356"/>
      <c r="D107" s="330"/>
      <c r="E107" s="157"/>
      <c r="F107" s="12"/>
    </row>
    <row r="108">
      <c r="A108" s="225"/>
      <c r="B108" s="213"/>
      <c r="C108" s="356"/>
      <c r="D108" s="330"/>
      <c r="E108" s="157"/>
      <c r="F108" s="12"/>
    </row>
    <row r="109">
      <c r="A109" s="225"/>
      <c r="B109" s="213"/>
      <c r="C109" s="356"/>
      <c r="D109" s="330"/>
      <c r="E109" s="157"/>
      <c r="F109" s="12"/>
    </row>
    <row r="110">
      <c r="A110" s="225"/>
      <c r="B110" s="213"/>
      <c r="C110" s="356"/>
      <c r="D110" s="330"/>
      <c r="E110" s="157"/>
      <c r="F110" s="12"/>
    </row>
    <row r="111">
      <c r="A111" s="225"/>
      <c r="B111" s="213"/>
      <c r="C111" s="356"/>
      <c r="D111" s="330"/>
      <c r="E111" s="157"/>
      <c r="F111" s="12"/>
    </row>
    <row r="112">
      <c r="A112" s="225"/>
      <c r="B112" s="213"/>
      <c r="C112" s="356"/>
      <c r="D112" s="330"/>
      <c r="E112" s="157"/>
      <c r="F112" s="12"/>
    </row>
    <row r="113">
      <c r="A113" s="225"/>
      <c r="B113" s="213"/>
      <c r="C113" s="356"/>
      <c r="D113" s="330"/>
      <c r="E113" s="157"/>
      <c r="F113" s="12"/>
    </row>
    <row r="114">
      <c r="A114" s="225"/>
      <c r="B114" s="213"/>
      <c r="C114" s="356"/>
      <c r="D114" s="330"/>
      <c r="E114" s="157"/>
      <c r="F114" s="12"/>
    </row>
    <row r="115">
      <c r="A115" s="225"/>
      <c r="B115" s="213"/>
      <c r="C115" s="356"/>
      <c r="D115" s="330"/>
      <c r="E115" s="157"/>
      <c r="F115" s="12"/>
    </row>
    <row r="116">
      <c r="A116" s="225"/>
      <c r="B116" s="213"/>
      <c r="C116" s="356"/>
      <c r="D116" s="330"/>
      <c r="E116" s="157"/>
      <c r="F116" s="12"/>
    </row>
    <row r="117">
      <c r="A117" s="225"/>
      <c r="B117" s="213"/>
      <c r="C117" s="356"/>
      <c r="D117" s="330"/>
      <c r="E117" s="157"/>
      <c r="F117" s="12"/>
    </row>
    <row r="118">
      <c r="A118" s="225"/>
      <c r="B118" s="213"/>
      <c r="C118" s="356"/>
      <c r="D118" s="330"/>
      <c r="E118" s="157"/>
      <c r="F118" s="12"/>
    </row>
    <row r="119">
      <c r="A119" s="225"/>
      <c r="B119" s="213"/>
      <c r="C119" s="356"/>
      <c r="D119" s="330"/>
      <c r="E119" s="157"/>
      <c r="F119" s="12"/>
    </row>
    <row r="120">
      <c r="A120" s="225"/>
      <c r="B120" s="213"/>
      <c r="C120" s="356"/>
      <c r="D120" s="330"/>
      <c r="E120" s="157"/>
      <c r="F120" s="12"/>
    </row>
    <row r="121">
      <c r="A121" s="225"/>
      <c r="B121" s="213"/>
      <c r="C121" s="356"/>
      <c r="D121" s="330"/>
      <c r="E121" s="157"/>
      <c r="F121" s="12"/>
    </row>
    <row r="122">
      <c r="A122" s="225"/>
      <c r="B122" s="213"/>
      <c r="C122" s="356"/>
      <c r="D122" s="330"/>
      <c r="E122" s="157"/>
      <c r="F122" s="12"/>
    </row>
    <row r="123">
      <c r="A123" s="225"/>
      <c r="B123" s="213"/>
      <c r="C123" s="356"/>
      <c r="D123" s="330"/>
      <c r="E123" s="157"/>
      <c r="F123" s="12"/>
    </row>
    <row r="124">
      <c r="A124" s="225"/>
      <c r="B124" s="213"/>
      <c r="C124" s="356"/>
      <c r="D124" s="330"/>
      <c r="E124" s="157"/>
      <c r="F124" s="12"/>
    </row>
    <row r="125">
      <c r="A125" s="225"/>
      <c r="B125" s="213"/>
      <c r="C125" s="356"/>
      <c r="D125" s="330"/>
      <c r="E125" s="157"/>
      <c r="F125" s="12"/>
    </row>
    <row r="126">
      <c r="A126" s="225"/>
      <c r="B126" s="213"/>
      <c r="C126" s="356"/>
      <c r="D126" s="330"/>
      <c r="E126" s="157"/>
      <c r="F126" s="12"/>
    </row>
    <row r="127">
      <c r="A127" s="225"/>
      <c r="B127" s="213"/>
      <c r="C127" s="356"/>
      <c r="D127" s="330"/>
      <c r="E127" s="157"/>
      <c r="F127" s="12"/>
    </row>
    <row r="128">
      <c r="A128" s="225"/>
      <c r="B128" s="213"/>
      <c r="C128" s="356"/>
      <c r="D128" s="330"/>
      <c r="E128" s="157"/>
      <c r="F128" s="12"/>
    </row>
    <row r="129">
      <c r="A129" s="225"/>
      <c r="B129" s="213"/>
      <c r="C129" s="356"/>
      <c r="D129" s="330"/>
      <c r="E129" s="157"/>
      <c r="F129" s="12"/>
    </row>
    <row r="130">
      <c r="A130" s="225"/>
      <c r="B130" s="213"/>
      <c r="C130" s="356"/>
      <c r="D130" s="330"/>
      <c r="E130" s="157"/>
      <c r="F130" s="12"/>
    </row>
    <row r="131">
      <c r="A131" s="225"/>
      <c r="B131" s="213"/>
      <c r="C131" s="356"/>
      <c r="D131" s="330"/>
      <c r="E131" s="157"/>
      <c r="F131" s="12"/>
    </row>
    <row r="132">
      <c r="A132" s="225"/>
      <c r="B132" s="213"/>
      <c r="C132" s="356"/>
      <c r="D132" s="330"/>
      <c r="E132" s="157"/>
      <c r="F132" s="12"/>
    </row>
    <row r="133">
      <c r="A133" s="225"/>
      <c r="B133" s="213"/>
      <c r="C133" s="356"/>
      <c r="D133" s="330"/>
      <c r="E133" s="157"/>
      <c r="F133" s="12"/>
    </row>
    <row r="134">
      <c r="A134" s="225"/>
      <c r="B134" s="213"/>
      <c r="C134" s="356"/>
      <c r="D134" s="330"/>
      <c r="E134" s="157"/>
      <c r="F134" s="12"/>
    </row>
    <row r="135">
      <c r="A135" s="225"/>
      <c r="B135" s="213"/>
      <c r="C135" s="356"/>
      <c r="D135" s="330"/>
      <c r="E135" s="157"/>
      <c r="F135" s="12"/>
    </row>
    <row r="136">
      <c r="A136" s="225"/>
      <c r="B136" s="213"/>
      <c r="C136" s="356"/>
      <c r="D136" s="330"/>
      <c r="E136" s="157"/>
      <c r="F136" s="12"/>
    </row>
    <row r="137">
      <c r="A137" s="225"/>
      <c r="B137" s="213"/>
      <c r="C137" s="356"/>
      <c r="D137" s="330"/>
      <c r="E137" s="157"/>
      <c r="F137" s="12"/>
    </row>
    <row r="138">
      <c r="A138" s="225"/>
      <c r="B138" s="213"/>
      <c r="C138" s="356"/>
      <c r="D138" s="330"/>
      <c r="E138" s="157"/>
      <c r="F138" s="12"/>
    </row>
    <row r="139">
      <c r="A139" s="225"/>
      <c r="B139" s="213"/>
      <c r="C139" s="356"/>
      <c r="D139" s="330"/>
      <c r="E139" s="157"/>
      <c r="F139" s="12"/>
    </row>
    <row r="140">
      <c r="A140" s="225"/>
      <c r="B140" s="213"/>
      <c r="C140" s="356"/>
      <c r="D140" s="330"/>
      <c r="E140" s="157"/>
      <c r="F140" s="12"/>
    </row>
    <row r="141">
      <c r="A141" s="225"/>
      <c r="B141" s="213"/>
      <c r="C141" s="356"/>
      <c r="D141" s="330"/>
      <c r="E141" s="157"/>
      <c r="F141" s="12"/>
    </row>
    <row r="142">
      <c r="A142" s="225"/>
      <c r="B142" s="213"/>
      <c r="C142" s="356"/>
      <c r="D142" s="330"/>
      <c r="E142" s="157"/>
      <c r="F142" s="12"/>
    </row>
    <row r="143">
      <c r="A143" s="225"/>
      <c r="B143" s="213"/>
      <c r="C143" s="356"/>
      <c r="D143" s="330"/>
      <c r="E143" s="157"/>
      <c r="F143" s="12"/>
    </row>
    <row r="144">
      <c r="A144" s="225"/>
      <c r="B144" s="213"/>
      <c r="C144" s="356"/>
      <c r="D144" s="330"/>
      <c r="E144" s="157"/>
      <c r="F144" s="12"/>
    </row>
    <row r="145">
      <c r="A145" s="225"/>
      <c r="B145" s="213"/>
      <c r="C145" s="356"/>
      <c r="D145" s="330"/>
      <c r="E145" s="157"/>
      <c r="F145" s="12"/>
    </row>
    <row r="146">
      <c r="A146" s="225"/>
      <c r="B146" s="213"/>
      <c r="C146" s="356"/>
      <c r="D146" s="330"/>
      <c r="E146" s="157"/>
      <c r="F146" s="12"/>
    </row>
    <row r="147">
      <c r="A147" s="225"/>
      <c r="B147" s="213"/>
      <c r="C147" s="356"/>
      <c r="D147" s="330"/>
      <c r="E147" s="157"/>
      <c r="F147" s="12"/>
    </row>
    <row r="148">
      <c r="A148" s="225"/>
      <c r="B148" s="213"/>
      <c r="C148" s="356"/>
      <c r="D148" s="330"/>
      <c r="E148" s="157"/>
      <c r="F148" s="12"/>
    </row>
    <row r="149">
      <c r="A149" s="225"/>
      <c r="B149" s="213"/>
      <c r="C149" s="356"/>
      <c r="D149" s="330"/>
      <c r="E149" s="157"/>
      <c r="F149" s="12"/>
    </row>
    <row r="150">
      <c r="A150" s="225"/>
      <c r="B150" s="213"/>
      <c r="C150" s="356"/>
      <c r="D150" s="330"/>
      <c r="E150" s="157"/>
      <c r="F150" s="12"/>
    </row>
    <row r="151">
      <c r="A151" s="225"/>
      <c r="B151" s="213"/>
      <c r="C151" s="356"/>
      <c r="D151" s="330"/>
      <c r="E151" s="157"/>
      <c r="F151" s="12"/>
    </row>
    <row r="152">
      <c r="A152" s="225"/>
      <c r="B152" s="213"/>
      <c r="C152" s="356"/>
      <c r="D152" s="330"/>
      <c r="E152" s="157"/>
      <c r="F152" s="12"/>
    </row>
    <row r="153">
      <c r="A153" s="225"/>
      <c r="B153" s="213"/>
      <c r="C153" s="356"/>
      <c r="D153" s="330"/>
      <c r="E153" s="157"/>
      <c r="F153" s="12"/>
    </row>
    <row r="154">
      <c r="A154" s="225"/>
      <c r="B154" s="213"/>
      <c r="C154" s="356"/>
      <c r="D154" s="330"/>
      <c r="E154" s="157"/>
      <c r="F154" s="12"/>
    </row>
    <row r="155">
      <c r="A155" s="225"/>
      <c r="B155" s="213"/>
      <c r="C155" s="356"/>
      <c r="D155" s="330"/>
      <c r="E155" s="157"/>
      <c r="F155" s="12"/>
    </row>
    <row r="156">
      <c r="A156" s="225"/>
      <c r="B156" s="213"/>
      <c r="C156" s="356"/>
      <c r="D156" s="330"/>
      <c r="E156" s="157"/>
      <c r="F156" s="12"/>
    </row>
    <row r="157">
      <c r="A157" s="225"/>
      <c r="B157" s="213"/>
      <c r="C157" s="356"/>
      <c r="D157" s="330"/>
      <c r="E157" s="157"/>
      <c r="F157" s="12"/>
    </row>
    <row r="158">
      <c r="A158" s="225"/>
      <c r="B158" s="213"/>
      <c r="C158" s="356"/>
      <c r="D158" s="330"/>
      <c r="E158" s="157"/>
      <c r="F158" s="12"/>
    </row>
    <row r="159">
      <c r="A159" s="225"/>
      <c r="B159" s="213"/>
      <c r="C159" s="356"/>
      <c r="D159" s="330"/>
      <c r="E159" s="157"/>
      <c r="F159" s="12"/>
    </row>
    <row r="160">
      <c r="A160" s="225"/>
      <c r="B160" s="213"/>
      <c r="C160" s="356"/>
      <c r="D160" s="330"/>
      <c r="E160" s="157"/>
      <c r="F160" s="12"/>
    </row>
    <row r="161">
      <c r="A161" s="225"/>
      <c r="B161" s="213"/>
      <c r="C161" s="356"/>
      <c r="D161" s="330"/>
      <c r="E161" s="157"/>
      <c r="F161" s="12"/>
    </row>
    <row r="162">
      <c r="A162" s="225"/>
      <c r="B162" s="213"/>
      <c r="C162" s="356"/>
      <c r="D162" s="330"/>
      <c r="E162" s="157"/>
      <c r="F162" s="12"/>
    </row>
    <row r="163">
      <c r="A163" s="225"/>
      <c r="B163" s="213"/>
      <c r="C163" s="356"/>
      <c r="D163" s="330"/>
      <c r="E163" s="157"/>
      <c r="F163" s="12"/>
    </row>
    <row r="164">
      <c r="A164" s="225"/>
      <c r="B164" s="213"/>
      <c r="C164" s="356"/>
      <c r="D164" s="330"/>
      <c r="E164" s="157"/>
      <c r="F164" s="12"/>
    </row>
    <row r="165">
      <c r="A165" s="225"/>
      <c r="B165" s="213"/>
      <c r="C165" s="356"/>
      <c r="D165" s="330"/>
      <c r="E165" s="157"/>
      <c r="F165" s="12"/>
    </row>
    <row r="166">
      <c r="A166" s="225"/>
      <c r="B166" s="213"/>
      <c r="C166" s="356"/>
      <c r="D166" s="330"/>
      <c r="E166" s="157"/>
      <c r="F166" s="12"/>
    </row>
    <row r="167">
      <c r="A167" s="225"/>
      <c r="B167" s="213"/>
      <c r="C167" s="356"/>
      <c r="D167" s="330"/>
      <c r="E167" s="157"/>
      <c r="F167" s="12"/>
    </row>
    <row r="168">
      <c r="A168" s="225"/>
      <c r="B168" s="213"/>
      <c r="C168" s="356"/>
      <c r="D168" s="330"/>
      <c r="E168" s="157"/>
      <c r="F168" s="12"/>
    </row>
    <row r="169">
      <c r="A169" s="225"/>
      <c r="B169" s="213"/>
      <c r="C169" s="356"/>
      <c r="D169" s="330"/>
      <c r="E169" s="157"/>
      <c r="F169" s="12"/>
    </row>
    <row r="170">
      <c r="A170" s="225"/>
      <c r="B170" s="213"/>
      <c r="C170" s="356"/>
      <c r="D170" s="330"/>
      <c r="E170" s="157"/>
      <c r="F170" s="12"/>
    </row>
    <row r="171">
      <c r="A171" s="225"/>
      <c r="B171" s="213"/>
      <c r="C171" s="356"/>
      <c r="D171" s="330"/>
      <c r="E171" s="157"/>
      <c r="F171" s="12"/>
    </row>
    <row r="172">
      <c r="A172" s="225"/>
      <c r="B172" s="213"/>
      <c r="C172" s="356"/>
      <c r="D172" s="330"/>
      <c r="E172" s="157"/>
      <c r="F172" s="12"/>
    </row>
    <row r="173">
      <c r="A173" s="225"/>
      <c r="B173" s="213"/>
      <c r="C173" s="356"/>
      <c r="D173" s="330"/>
      <c r="E173" s="157"/>
      <c r="F173" s="12"/>
    </row>
    <row r="174">
      <c r="A174" s="225"/>
      <c r="B174" s="213"/>
      <c r="C174" s="356"/>
      <c r="D174" s="330"/>
      <c r="E174" s="157"/>
      <c r="F174" s="12"/>
    </row>
    <row r="175">
      <c r="A175" s="225"/>
      <c r="B175" s="213"/>
      <c r="C175" s="356"/>
      <c r="D175" s="330"/>
      <c r="E175" s="157"/>
      <c r="F175" s="12"/>
    </row>
    <row r="176">
      <c r="A176" s="225"/>
      <c r="B176" s="213"/>
      <c r="C176" s="356"/>
      <c r="D176" s="330"/>
      <c r="E176" s="157"/>
      <c r="F176" s="12"/>
    </row>
    <row r="177">
      <c r="A177" s="225"/>
      <c r="B177" s="213"/>
      <c r="C177" s="356"/>
      <c r="D177" s="330"/>
      <c r="E177" s="157"/>
      <c r="F177" s="12"/>
    </row>
    <row r="178">
      <c r="A178" s="225"/>
      <c r="B178" s="213"/>
      <c r="C178" s="356"/>
      <c r="D178" s="330"/>
      <c r="E178" s="157"/>
      <c r="F178" s="12"/>
    </row>
    <row r="179">
      <c r="A179" s="225"/>
      <c r="B179" s="213"/>
      <c r="C179" s="356"/>
      <c r="D179" s="330"/>
      <c r="E179" s="157"/>
      <c r="F179" s="12"/>
    </row>
    <row r="180">
      <c r="A180" s="225"/>
      <c r="B180" s="213"/>
      <c r="C180" s="356"/>
      <c r="D180" s="330"/>
      <c r="E180" s="157"/>
      <c r="F180" s="12"/>
    </row>
    <row r="181">
      <c r="A181" s="225"/>
      <c r="B181" s="213"/>
      <c r="C181" s="356"/>
      <c r="D181" s="330"/>
      <c r="E181" s="157"/>
      <c r="F181" s="12"/>
    </row>
    <row r="182">
      <c r="A182" s="225"/>
      <c r="B182" s="213"/>
      <c r="C182" s="356"/>
      <c r="D182" s="330"/>
      <c r="E182" s="157"/>
      <c r="F182" s="12"/>
    </row>
    <row r="183">
      <c r="A183" s="225"/>
      <c r="B183" s="213"/>
      <c r="C183" s="356"/>
      <c r="D183" s="330"/>
      <c r="E183" s="157"/>
      <c r="F183" s="12"/>
    </row>
    <row r="184">
      <c r="A184" s="225"/>
      <c r="B184" s="213"/>
      <c r="C184" s="356"/>
      <c r="D184" s="330"/>
      <c r="E184" s="157"/>
      <c r="F184" s="12"/>
    </row>
    <row r="185">
      <c r="A185" s="225"/>
      <c r="B185" s="213"/>
      <c r="C185" s="356"/>
      <c r="D185" s="330"/>
      <c r="E185" s="157"/>
      <c r="F185" s="12"/>
    </row>
    <row r="186">
      <c r="A186" s="225"/>
      <c r="B186" s="213"/>
      <c r="C186" s="356"/>
      <c r="D186" s="330"/>
      <c r="E186" s="157"/>
      <c r="F186" s="12"/>
    </row>
    <row r="187">
      <c r="A187" s="225"/>
      <c r="B187" s="213"/>
      <c r="C187" s="356"/>
      <c r="D187" s="330"/>
      <c r="E187" s="157"/>
      <c r="F187" s="12"/>
    </row>
    <row r="188">
      <c r="A188" s="225"/>
      <c r="B188" s="213"/>
      <c r="C188" s="356"/>
      <c r="D188" s="330"/>
      <c r="E188" s="157"/>
      <c r="F188" s="12"/>
    </row>
    <row r="189">
      <c r="A189" s="225"/>
      <c r="B189" s="213"/>
      <c r="C189" s="356"/>
      <c r="D189" s="330"/>
      <c r="E189" s="157"/>
      <c r="F189" s="12"/>
    </row>
    <row r="190">
      <c r="A190" s="225"/>
      <c r="B190" s="213"/>
      <c r="C190" s="356"/>
      <c r="D190" s="330"/>
      <c r="E190" s="157"/>
      <c r="F190" s="12"/>
    </row>
    <row r="191">
      <c r="A191" s="225"/>
      <c r="B191" s="213"/>
      <c r="C191" s="356"/>
      <c r="D191" s="330"/>
      <c r="E191" s="157"/>
      <c r="F191" s="12"/>
    </row>
    <row r="192">
      <c r="A192" s="225"/>
      <c r="B192" s="213"/>
      <c r="C192" s="356"/>
      <c r="D192" s="330"/>
      <c r="E192" s="157"/>
      <c r="F192" s="12"/>
    </row>
    <row r="193">
      <c r="A193" s="225"/>
      <c r="B193" s="213"/>
      <c r="C193" s="356"/>
      <c r="D193" s="330"/>
      <c r="E193" s="157"/>
      <c r="F193" s="12"/>
    </row>
    <row r="194">
      <c r="A194" s="225"/>
      <c r="B194" s="213"/>
      <c r="C194" s="356"/>
      <c r="D194" s="330"/>
      <c r="E194" s="157"/>
      <c r="F194" s="12"/>
    </row>
    <row r="195">
      <c r="A195" s="225"/>
      <c r="B195" s="213"/>
      <c r="C195" s="356"/>
      <c r="D195" s="330"/>
      <c r="E195" s="157"/>
      <c r="F195" s="12"/>
    </row>
    <row r="196">
      <c r="A196" s="225"/>
      <c r="B196" s="213"/>
      <c r="C196" s="356"/>
      <c r="D196" s="330"/>
      <c r="E196" s="157"/>
      <c r="F196" s="12"/>
    </row>
    <row r="197">
      <c r="A197" s="225"/>
      <c r="B197" s="213"/>
      <c r="C197" s="356"/>
      <c r="D197" s="330"/>
      <c r="E197" s="157"/>
      <c r="F197" s="12"/>
    </row>
    <row r="198">
      <c r="A198" s="225"/>
      <c r="B198" s="213"/>
      <c r="C198" s="356"/>
      <c r="D198" s="330"/>
      <c r="E198" s="157"/>
      <c r="F198" s="12"/>
    </row>
    <row r="199">
      <c r="A199" s="225"/>
      <c r="B199" s="213"/>
      <c r="C199" s="356"/>
      <c r="D199" s="330"/>
      <c r="E199" s="157"/>
      <c r="F199" s="12"/>
    </row>
    <row r="200">
      <c r="A200" s="225"/>
      <c r="B200" s="213"/>
      <c r="C200" s="356"/>
      <c r="D200" s="330"/>
      <c r="E200" s="157"/>
      <c r="F200" s="12"/>
    </row>
    <row r="201">
      <c r="A201" s="225"/>
      <c r="B201" s="213"/>
      <c r="C201" s="356"/>
      <c r="D201" s="330"/>
      <c r="E201" s="157"/>
      <c r="F201" s="12"/>
    </row>
    <row r="202">
      <c r="A202" s="225"/>
      <c r="B202" s="213"/>
      <c r="C202" s="356"/>
      <c r="D202" s="330"/>
      <c r="E202" s="157"/>
      <c r="F202" s="12"/>
    </row>
    <row r="203">
      <c r="A203" s="225"/>
      <c r="B203" s="213"/>
      <c r="C203" s="356"/>
      <c r="D203" s="330"/>
      <c r="E203" s="157"/>
      <c r="F203" s="12"/>
    </row>
    <row r="204">
      <c r="A204" s="225"/>
      <c r="B204" s="213"/>
      <c r="C204" s="356"/>
      <c r="D204" s="330"/>
      <c r="E204" s="157"/>
      <c r="F204" s="12"/>
    </row>
    <row r="205">
      <c r="A205" s="225"/>
      <c r="B205" s="213"/>
      <c r="C205" s="356"/>
      <c r="D205" s="330"/>
      <c r="E205" s="157"/>
      <c r="F205" s="12"/>
    </row>
    <row r="206">
      <c r="A206" s="225"/>
      <c r="B206" s="213"/>
      <c r="C206" s="356"/>
      <c r="D206" s="330"/>
      <c r="E206" s="157"/>
      <c r="F206" s="12"/>
    </row>
    <row r="207">
      <c r="A207" s="225"/>
      <c r="B207" s="213"/>
      <c r="C207" s="356"/>
      <c r="D207" s="330"/>
      <c r="E207" s="157"/>
      <c r="F207" s="12"/>
    </row>
    <row r="208">
      <c r="A208" s="225"/>
      <c r="B208" s="213"/>
      <c r="C208" s="356"/>
      <c r="D208" s="330"/>
      <c r="E208" s="157"/>
      <c r="F208" s="12"/>
    </row>
    <row r="209">
      <c r="A209" s="225"/>
      <c r="B209" s="213"/>
      <c r="C209" s="356"/>
      <c r="D209" s="330"/>
      <c r="E209" s="157"/>
      <c r="F209" s="12"/>
    </row>
    <row r="210">
      <c r="A210" s="225"/>
      <c r="B210" s="213"/>
      <c r="C210" s="356"/>
      <c r="D210" s="330"/>
      <c r="E210" s="157"/>
      <c r="F210" s="12"/>
    </row>
    <row r="211">
      <c r="A211" s="225"/>
      <c r="B211" s="213"/>
      <c r="C211" s="356"/>
      <c r="D211" s="330"/>
      <c r="E211" s="157"/>
      <c r="F211" s="12"/>
    </row>
    <row r="212">
      <c r="A212" s="225"/>
      <c r="B212" s="213"/>
      <c r="C212" s="356"/>
      <c r="D212" s="330"/>
      <c r="E212" s="157"/>
      <c r="F212" s="12"/>
    </row>
    <row r="213">
      <c r="A213" s="225"/>
      <c r="B213" s="213"/>
      <c r="C213" s="356"/>
      <c r="D213" s="330"/>
      <c r="E213" s="157"/>
      <c r="F213" s="12"/>
    </row>
    <row r="214">
      <c r="A214" s="225"/>
      <c r="B214" s="213"/>
      <c r="C214" s="356"/>
      <c r="D214" s="330"/>
      <c r="E214" s="157"/>
      <c r="F214" s="12"/>
    </row>
    <row r="215">
      <c r="A215" s="225"/>
      <c r="B215" s="213"/>
      <c r="C215" s="356"/>
      <c r="D215" s="330"/>
      <c r="E215" s="157"/>
      <c r="F215" s="12"/>
    </row>
    <row r="216">
      <c r="A216" s="225"/>
      <c r="B216" s="213"/>
      <c r="C216" s="356"/>
      <c r="D216" s="330"/>
      <c r="E216" s="157"/>
      <c r="F216" s="12"/>
    </row>
    <row r="217">
      <c r="A217" s="225"/>
      <c r="B217" s="213"/>
      <c r="C217" s="356"/>
      <c r="D217" s="330"/>
      <c r="E217" s="157"/>
      <c r="F217" s="12"/>
    </row>
    <row r="218">
      <c r="A218" s="225"/>
      <c r="B218" s="213"/>
      <c r="C218" s="356"/>
      <c r="D218" s="330"/>
      <c r="E218" s="157"/>
      <c r="F218" s="12"/>
    </row>
    <row r="219">
      <c r="A219" s="225"/>
      <c r="B219" s="213"/>
      <c r="C219" s="356"/>
      <c r="D219" s="330"/>
      <c r="E219" s="157"/>
      <c r="F219" s="12"/>
    </row>
    <row r="220">
      <c r="A220" s="225"/>
      <c r="B220" s="213"/>
      <c r="C220" s="356"/>
      <c r="D220" s="330"/>
      <c r="E220" s="157"/>
      <c r="F220" s="12"/>
    </row>
    <row r="221">
      <c r="A221" s="225"/>
      <c r="B221" s="213"/>
      <c r="C221" s="356"/>
      <c r="D221" s="330"/>
      <c r="E221" s="157"/>
      <c r="F221" s="12"/>
    </row>
    <row r="222">
      <c r="A222" s="225"/>
      <c r="B222" s="213"/>
      <c r="C222" s="356"/>
      <c r="D222" s="330"/>
      <c r="E222" s="157"/>
      <c r="F222" s="12"/>
    </row>
    <row r="223">
      <c r="A223" s="225"/>
      <c r="B223" s="213"/>
      <c r="C223" s="356"/>
      <c r="D223" s="330"/>
      <c r="E223" s="157"/>
      <c r="F223" s="12"/>
    </row>
    <row r="224">
      <c r="A224" s="225"/>
      <c r="B224" s="213"/>
      <c r="C224" s="356"/>
      <c r="D224" s="330"/>
      <c r="E224" s="157"/>
      <c r="F224" s="12"/>
    </row>
    <row r="225">
      <c r="A225" s="225"/>
      <c r="B225" s="213"/>
      <c r="C225" s="356"/>
      <c r="D225" s="330"/>
      <c r="E225" s="157"/>
      <c r="F225" s="12"/>
    </row>
    <row r="226">
      <c r="A226" s="225"/>
      <c r="B226" s="213"/>
      <c r="C226" s="356"/>
      <c r="D226" s="330"/>
      <c r="E226" s="157"/>
      <c r="F226" s="12"/>
    </row>
    <row r="227">
      <c r="A227" s="225"/>
      <c r="B227" s="213"/>
      <c r="C227" s="356"/>
      <c r="D227" s="330"/>
      <c r="E227" s="157"/>
      <c r="F227" s="12"/>
    </row>
    <row r="228">
      <c r="A228" s="225"/>
      <c r="B228" s="213"/>
      <c r="C228" s="356"/>
      <c r="D228" s="330"/>
      <c r="E228" s="157"/>
      <c r="F228" s="12"/>
    </row>
    <row r="229">
      <c r="A229" s="225"/>
      <c r="B229" s="213"/>
      <c r="C229" s="356"/>
      <c r="D229" s="330"/>
      <c r="E229" s="157"/>
      <c r="F229" s="12"/>
    </row>
    <row r="230">
      <c r="A230" s="225"/>
      <c r="B230" s="213"/>
      <c r="C230" s="356"/>
      <c r="D230" s="330"/>
      <c r="E230" s="157"/>
      <c r="F230" s="12"/>
    </row>
    <row r="231">
      <c r="A231" s="225"/>
      <c r="B231" s="213"/>
      <c r="C231" s="356"/>
      <c r="D231" s="330"/>
      <c r="E231" s="157"/>
      <c r="F231" s="12"/>
    </row>
    <row r="232">
      <c r="A232" s="225"/>
      <c r="B232" s="213"/>
      <c r="C232" s="356"/>
      <c r="D232" s="330"/>
      <c r="E232" s="157"/>
      <c r="F232" s="12"/>
    </row>
    <row r="233">
      <c r="A233" s="225"/>
      <c r="B233" s="213"/>
      <c r="C233" s="356"/>
      <c r="D233" s="330"/>
      <c r="E233" s="157"/>
      <c r="F233" s="12"/>
    </row>
    <row r="234">
      <c r="A234" s="225"/>
      <c r="B234" s="213"/>
      <c r="C234" s="356"/>
      <c r="D234" s="330"/>
      <c r="E234" s="157"/>
      <c r="F234" s="12"/>
    </row>
    <row r="235">
      <c r="A235" s="225"/>
      <c r="B235" s="213"/>
      <c r="C235" s="356"/>
      <c r="D235" s="330"/>
      <c r="E235" s="157"/>
      <c r="F235" s="12"/>
    </row>
    <row r="236">
      <c r="A236" s="225"/>
      <c r="B236" s="213"/>
      <c r="C236" s="356"/>
      <c r="D236" s="330"/>
      <c r="E236" s="157"/>
      <c r="F236" s="12"/>
    </row>
    <row r="237">
      <c r="A237" s="225"/>
      <c r="B237" s="213"/>
      <c r="C237" s="356"/>
      <c r="D237" s="330"/>
      <c r="E237" s="157"/>
      <c r="F237" s="12"/>
    </row>
    <row r="238">
      <c r="A238" s="225"/>
      <c r="B238" s="213"/>
      <c r="C238" s="356"/>
      <c r="D238" s="330"/>
      <c r="E238" s="157"/>
      <c r="F238" s="12"/>
    </row>
    <row r="239">
      <c r="A239" s="225"/>
      <c r="B239" s="213"/>
      <c r="C239" s="356"/>
      <c r="D239" s="330"/>
      <c r="E239" s="157"/>
      <c r="F239" s="12"/>
    </row>
    <row r="240">
      <c r="A240" s="225"/>
      <c r="B240" s="213"/>
      <c r="C240" s="356"/>
      <c r="D240" s="330"/>
      <c r="E240" s="157"/>
      <c r="F240" s="12"/>
    </row>
    <row r="241">
      <c r="A241" s="225"/>
      <c r="B241" s="213"/>
      <c r="C241" s="356"/>
      <c r="D241" s="330"/>
      <c r="E241" s="157"/>
      <c r="F241" s="12"/>
    </row>
    <row r="242">
      <c r="A242" s="225"/>
      <c r="B242" s="213"/>
      <c r="C242" s="356"/>
      <c r="D242" s="330"/>
      <c r="E242" s="157"/>
      <c r="F242" s="12"/>
    </row>
    <row r="243">
      <c r="A243" s="225"/>
      <c r="B243" s="213"/>
      <c r="C243" s="356"/>
      <c r="D243" s="330"/>
      <c r="E243" s="157"/>
      <c r="F243" s="12"/>
    </row>
    <row r="244">
      <c r="A244" s="225"/>
      <c r="B244" s="213"/>
      <c r="C244" s="356"/>
      <c r="D244" s="330"/>
      <c r="E244" s="157"/>
      <c r="F244" s="12"/>
    </row>
    <row r="245">
      <c r="A245" s="225"/>
      <c r="B245" s="213"/>
      <c r="C245" s="356"/>
      <c r="D245" s="330"/>
      <c r="E245" s="157"/>
      <c r="F245" s="12"/>
    </row>
    <row r="246">
      <c r="A246" s="225"/>
      <c r="B246" s="213"/>
      <c r="C246" s="356"/>
      <c r="D246" s="330"/>
      <c r="E246" s="157"/>
      <c r="F246" s="12"/>
    </row>
    <row r="247">
      <c r="A247" s="225"/>
      <c r="B247" s="213"/>
      <c r="C247" s="356"/>
      <c r="D247" s="330"/>
      <c r="E247" s="157"/>
      <c r="F247" s="12"/>
    </row>
    <row r="248">
      <c r="A248" s="225"/>
      <c r="B248" s="213"/>
      <c r="C248" s="356"/>
      <c r="D248" s="330"/>
      <c r="E248" s="157"/>
      <c r="F248" s="12"/>
    </row>
    <row r="249">
      <c r="A249" s="225"/>
      <c r="B249" s="213"/>
      <c r="C249" s="356"/>
      <c r="D249" s="330"/>
      <c r="E249" s="157"/>
      <c r="F249" s="12"/>
    </row>
    <row r="250">
      <c r="A250" s="225"/>
      <c r="B250" s="213"/>
      <c r="C250" s="356"/>
      <c r="D250" s="330"/>
      <c r="E250" s="157"/>
      <c r="F250" s="12"/>
    </row>
    <row r="251">
      <c r="A251" s="225"/>
      <c r="B251" s="213"/>
      <c r="C251" s="356"/>
      <c r="D251" s="330"/>
      <c r="E251" s="157"/>
      <c r="F251" s="12"/>
    </row>
    <row r="252">
      <c r="A252" s="225"/>
      <c r="B252" s="213"/>
      <c r="C252" s="356"/>
      <c r="D252" s="330"/>
      <c r="E252" s="157"/>
      <c r="F252" s="12"/>
    </row>
    <row r="253">
      <c r="A253" s="225"/>
      <c r="B253" s="213"/>
      <c r="C253" s="356"/>
      <c r="D253" s="330"/>
      <c r="E253" s="157"/>
      <c r="F253" s="12"/>
    </row>
    <row r="254">
      <c r="A254" s="225"/>
      <c r="B254" s="213"/>
      <c r="C254" s="356"/>
      <c r="D254" s="330"/>
      <c r="E254" s="157"/>
      <c r="F254" s="12"/>
    </row>
    <row r="255">
      <c r="A255" s="225"/>
      <c r="B255" s="213"/>
      <c r="C255" s="356"/>
      <c r="D255" s="330"/>
      <c r="E255" s="157"/>
      <c r="F255" s="12"/>
    </row>
    <row r="256">
      <c r="A256" s="225"/>
      <c r="B256" s="213"/>
      <c r="C256" s="356"/>
      <c r="D256" s="330"/>
      <c r="E256" s="157"/>
      <c r="F256" s="12"/>
    </row>
    <row r="257">
      <c r="A257" s="225"/>
      <c r="B257" s="213"/>
      <c r="C257" s="356"/>
      <c r="D257" s="330"/>
      <c r="E257" s="157"/>
      <c r="F257" s="12"/>
    </row>
    <row r="258">
      <c r="A258" s="225"/>
      <c r="B258" s="213"/>
      <c r="C258" s="356"/>
      <c r="D258" s="330"/>
      <c r="E258" s="157"/>
      <c r="F258" s="12"/>
    </row>
    <row r="259">
      <c r="A259" s="225"/>
      <c r="B259" s="213"/>
      <c r="C259" s="356"/>
      <c r="D259" s="330"/>
      <c r="E259" s="157"/>
      <c r="F259" s="12"/>
    </row>
    <row r="260">
      <c r="A260" s="225"/>
      <c r="B260" s="213"/>
      <c r="C260" s="356"/>
      <c r="D260" s="330"/>
      <c r="E260" s="157"/>
      <c r="F260" s="12"/>
    </row>
    <row r="261">
      <c r="A261" s="225"/>
      <c r="B261" s="213"/>
      <c r="C261" s="356"/>
      <c r="D261" s="330"/>
      <c r="E261" s="157"/>
      <c r="F261" s="12"/>
    </row>
    <row r="262">
      <c r="A262" s="225"/>
      <c r="B262" s="213"/>
      <c r="C262" s="356"/>
      <c r="D262" s="330"/>
      <c r="E262" s="157"/>
      <c r="F262" s="12"/>
    </row>
    <row r="263">
      <c r="A263" s="225"/>
      <c r="B263" s="213"/>
      <c r="C263" s="356"/>
      <c r="D263" s="330"/>
      <c r="E263" s="157"/>
      <c r="F263" s="12"/>
    </row>
    <row r="264">
      <c r="A264" s="225"/>
      <c r="B264" s="213"/>
      <c r="C264" s="356"/>
      <c r="D264" s="330"/>
      <c r="E264" s="157"/>
      <c r="F264" s="12"/>
    </row>
    <row r="265">
      <c r="A265" s="225"/>
      <c r="B265" s="213"/>
      <c r="C265" s="356"/>
      <c r="D265" s="330"/>
      <c r="E265" s="157"/>
      <c r="F265" s="12"/>
    </row>
    <row r="266">
      <c r="A266" s="225"/>
      <c r="B266" s="213"/>
      <c r="C266" s="356"/>
      <c r="D266" s="330"/>
      <c r="E266" s="157"/>
      <c r="F266" s="12"/>
    </row>
    <row r="267">
      <c r="A267" s="225"/>
      <c r="B267" s="213"/>
      <c r="C267" s="356"/>
      <c r="D267" s="330"/>
      <c r="E267" s="157"/>
      <c r="F267" s="12"/>
    </row>
    <row r="268">
      <c r="A268" s="225"/>
      <c r="B268" s="213"/>
      <c r="C268" s="356"/>
      <c r="D268" s="330"/>
      <c r="E268" s="157"/>
      <c r="F268" s="12"/>
    </row>
    <row r="269">
      <c r="A269" s="225"/>
      <c r="B269" s="213"/>
      <c r="C269" s="356"/>
      <c r="D269" s="330"/>
      <c r="E269" s="157"/>
      <c r="F269" s="12"/>
    </row>
    <row r="270">
      <c r="A270" s="225"/>
      <c r="B270" s="213"/>
      <c r="C270" s="356"/>
      <c r="D270" s="330"/>
      <c r="E270" s="157"/>
      <c r="F270" s="12"/>
    </row>
    <row r="271">
      <c r="A271" s="225"/>
      <c r="B271" s="213"/>
      <c r="C271" s="356"/>
      <c r="D271" s="330"/>
      <c r="E271" s="157"/>
      <c r="F271" s="12"/>
    </row>
    <row r="272">
      <c r="A272" s="225"/>
      <c r="B272" s="213"/>
      <c r="C272" s="356"/>
      <c r="D272" s="330"/>
      <c r="E272" s="157"/>
      <c r="F272" s="12"/>
    </row>
    <row r="273">
      <c r="A273" s="225"/>
      <c r="B273" s="213"/>
      <c r="C273" s="356"/>
      <c r="D273" s="330"/>
      <c r="E273" s="157"/>
      <c r="F273" s="12"/>
    </row>
    <row r="274">
      <c r="A274" s="225"/>
      <c r="B274" s="213"/>
      <c r="C274" s="356"/>
      <c r="D274" s="330"/>
      <c r="E274" s="157"/>
      <c r="F274" s="12"/>
    </row>
    <row r="275">
      <c r="A275" s="225"/>
      <c r="B275" s="213"/>
      <c r="C275" s="356"/>
      <c r="D275" s="330"/>
      <c r="E275" s="157"/>
      <c r="F275" s="12"/>
    </row>
    <row r="276">
      <c r="A276" s="225"/>
      <c r="B276" s="213"/>
      <c r="C276" s="356"/>
      <c r="D276" s="330"/>
      <c r="E276" s="157"/>
      <c r="F276" s="12"/>
    </row>
    <row r="277">
      <c r="A277" s="225"/>
      <c r="B277" s="213"/>
      <c r="C277" s="356"/>
      <c r="D277" s="330"/>
      <c r="E277" s="157"/>
      <c r="F277" s="12"/>
    </row>
    <row r="278">
      <c r="A278" s="225"/>
      <c r="B278" s="213"/>
      <c r="C278" s="356"/>
      <c r="D278" s="330"/>
      <c r="E278" s="157"/>
      <c r="F278" s="12"/>
    </row>
    <row r="279">
      <c r="A279" s="225"/>
      <c r="B279" s="213"/>
      <c r="C279" s="356"/>
      <c r="D279" s="330"/>
      <c r="E279" s="157"/>
      <c r="F279" s="12"/>
    </row>
    <row r="280">
      <c r="A280" s="225"/>
      <c r="B280" s="213"/>
      <c r="C280" s="356"/>
      <c r="D280" s="330"/>
      <c r="E280" s="157"/>
      <c r="F280" s="12"/>
    </row>
    <row r="281">
      <c r="A281" s="225"/>
      <c r="B281" s="213"/>
      <c r="C281" s="356"/>
      <c r="D281" s="330"/>
      <c r="E281" s="157"/>
      <c r="F281" s="12"/>
    </row>
    <row r="282">
      <c r="A282" s="225"/>
      <c r="B282" s="213"/>
      <c r="C282" s="356"/>
      <c r="D282" s="330"/>
      <c r="E282" s="157"/>
      <c r="F282" s="12"/>
    </row>
    <row r="283">
      <c r="A283" s="225"/>
      <c r="B283" s="213"/>
      <c r="C283" s="356"/>
      <c r="D283" s="330"/>
      <c r="E283" s="157"/>
      <c r="F283" s="12"/>
    </row>
    <row r="284">
      <c r="A284" s="225"/>
      <c r="B284" s="213"/>
      <c r="C284" s="356"/>
      <c r="D284" s="330"/>
      <c r="E284" s="157"/>
      <c r="F284" s="12"/>
    </row>
    <row r="285">
      <c r="A285" s="225"/>
      <c r="B285" s="213"/>
      <c r="C285" s="356"/>
      <c r="D285" s="330"/>
      <c r="E285" s="157"/>
      <c r="F285" s="12"/>
    </row>
    <row r="286">
      <c r="A286" s="225"/>
      <c r="B286" s="213"/>
      <c r="C286" s="356"/>
      <c r="D286" s="330"/>
      <c r="E286" s="157"/>
      <c r="F286" s="12"/>
    </row>
    <row r="287">
      <c r="A287" s="225"/>
      <c r="B287" s="213"/>
      <c r="C287" s="356"/>
      <c r="D287" s="330"/>
      <c r="E287" s="157"/>
      <c r="F287" s="12"/>
    </row>
    <row r="288">
      <c r="A288" s="225"/>
      <c r="B288" s="213"/>
      <c r="C288" s="356"/>
      <c r="D288" s="330"/>
      <c r="E288" s="157"/>
      <c r="F288" s="12"/>
    </row>
    <row r="289">
      <c r="A289" s="225"/>
      <c r="B289" s="213"/>
      <c r="C289" s="356"/>
      <c r="D289" s="330"/>
      <c r="E289" s="157"/>
      <c r="F289" s="12"/>
    </row>
    <row r="290">
      <c r="A290" s="225"/>
      <c r="B290" s="213"/>
      <c r="C290" s="356"/>
      <c r="D290" s="330"/>
      <c r="E290" s="157"/>
      <c r="F290" s="12"/>
    </row>
    <row r="291">
      <c r="A291" s="225"/>
      <c r="B291" s="213"/>
      <c r="C291" s="356"/>
      <c r="D291" s="330"/>
      <c r="E291" s="157"/>
      <c r="F291" s="12"/>
    </row>
    <row r="292">
      <c r="A292" s="225"/>
      <c r="B292" s="213"/>
      <c r="C292" s="356"/>
      <c r="D292" s="330"/>
      <c r="E292" s="157"/>
      <c r="F292" s="12"/>
    </row>
    <row r="293">
      <c r="A293" s="225"/>
      <c r="B293" s="213"/>
      <c r="C293" s="356"/>
      <c r="D293" s="330"/>
      <c r="E293" s="157"/>
      <c r="F293" s="12"/>
    </row>
    <row r="294">
      <c r="A294" s="225"/>
      <c r="B294" s="213"/>
      <c r="C294" s="356"/>
      <c r="D294" s="330"/>
      <c r="E294" s="157"/>
      <c r="F294" s="12"/>
    </row>
    <row r="295">
      <c r="A295" s="225"/>
      <c r="B295" s="213"/>
      <c r="C295" s="356"/>
      <c r="D295" s="330"/>
      <c r="E295" s="157"/>
      <c r="F295" s="12"/>
    </row>
    <row r="296">
      <c r="A296" s="225"/>
      <c r="B296" s="213"/>
      <c r="C296" s="356"/>
      <c r="D296" s="330"/>
      <c r="E296" s="157"/>
      <c r="F296" s="12"/>
    </row>
    <row r="297">
      <c r="A297" s="225"/>
      <c r="B297" s="213"/>
      <c r="C297" s="356"/>
      <c r="D297" s="330"/>
      <c r="E297" s="157"/>
      <c r="F297" s="12"/>
    </row>
    <row r="298">
      <c r="A298" s="225"/>
      <c r="B298" s="213"/>
      <c r="C298" s="356"/>
      <c r="D298" s="330"/>
      <c r="E298" s="157"/>
      <c r="F298" s="12"/>
    </row>
    <row r="299">
      <c r="A299" s="225"/>
      <c r="B299" s="213"/>
      <c r="C299" s="356"/>
      <c r="D299" s="330"/>
      <c r="E299" s="157"/>
      <c r="F299" s="12"/>
    </row>
    <row r="300">
      <c r="A300" s="225"/>
      <c r="B300" s="213"/>
      <c r="C300" s="356"/>
      <c r="D300" s="330"/>
      <c r="E300" s="157"/>
      <c r="F300" s="12"/>
    </row>
    <row r="301">
      <c r="A301" s="225"/>
      <c r="B301" s="213"/>
      <c r="C301" s="356"/>
      <c r="D301" s="330"/>
      <c r="E301" s="157"/>
      <c r="F301" s="12"/>
    </row>
    <row r="302">
      <c r="A302" s="225"/>
      <c r="B302" s="213"/>
      <c r="C302" s="356"/>
      <c r="D302" s="330"/>
      <c r="E302" s="157"/>
      <c r="F302" s="12"/>
    </row>
    <row r="303">
      <c r="A303" s="225"/>
      <c r="B303" s="213"/>
      <c r="C303" s="356"/>
      <c r="D303" s="330"/>
      <c r="E303" s="157"/>
      <c r="F303" s="12"/>
    </row>
    <row r="304">
      <c r="A304" s="225"/>
      <c r="B304" s="213"/>
      <c r="C304" s="356"/>
      <c r="D304" s="330"/>
      <c r="E304" s="157"/>
      <c r="F304" s="12"/>
    </row>
    <row r="305">
      <c r="A305" s="225"/>
      <c r="B305" s="213"/>
      <c r="C305" s="356"/>
      <c r="D305" s="330"/>
      <c r="E305" s="157"/>
      <c r="F305" s="12"/>
    </row>
    <row r="306">
      <c r="A306" s="225"/>
      <c r="B306" s="213"/>
      <c r="C306" s="356"/>
      <c r="D306" s="330"/>
      <c r="E306" s="157"/>
      <c r="F306" s="12"/>
    </row>
    <row r="307">
      <c r="A307" s="225"/>
      <c r="B307" s="213"/>
      <c r="C307" s="356"/>
      <c r="D307" s="330"/>
      <c r="E307" s="157"/>
      <c r="F307" s="12"/>
    </row>
    <row r="308">
      <c r="A308" s="225"/>
      <c r="B308" s="213"/>
      <c r="C308" s="356"/>
      <c r="D308" s="330"/>
      <c r="E308" s="157"/>
      <c r="F308" s="12"/>
    </row>
    <row r="309">
      <c r="A309" s="225"/>
      <c r="B309" s="213"/>
      <c r="C309" s="356"/>
      <c r="D309" s="330"/>
      <c r="E309" s="157"/>
      <c r="F309" s="12"/>
    </row>
    <row r="310">
      <c r="A310" s="225"/>
      <c r="B310" s="213"/>
      <c r="C310" s="356"/>
      <c r="D310" s="330"/>
      <c r="E310" s="157"/>
      <c r="F310" s="12"/>
    </row>
    <row r="311">
      <c r="A311" s="225"/>
      <c r="B311" s="213"/>
      <c r="C311" s="356"/>
      <c r="D311" s="330"/>
      <c r="E311" s="157"/>
      <c r="F311" s="12"/>
    </row>
    <row r="312">
      <c r="A312" s="225"/>
      <c r="B312" s="213"/>
      <c r="C312" s="356"/>
      <c r="D312" s="330"/>
      <c r="E312" s="157"/>
      <c r="F312" s="12"/>
    </row>
    <row r="313">
      <c r="A313" s="225"/>
      <c r="B313" s="213"/>
      <c r="C313" s="356"/>
      <c r="D313" s="330"/>
      <c r="E313" s="157"/>
      <c r="F313" s="12"/>
    </row>
    <row r="314">
      <c r="A314" s="225"/>
      <c r="B314" s="213"/>
      <c r="C314" s="356"/>
      <c r="D314" s="330"/>
      <c r="E314" s="157"/>
      <c r="F314" s="12"/>
    </row>
    <row r="315">
      <c r="A315" s="225"/>
      <c r="B315" s="213"/>
      <c r="C315" s="356"/>
      <c r="D315" s="330"/>
      <c r="E315" s="157"/>
      <c r="F315" s="12"/>
    </row>
    <row r="316">
      <c r="A316" s="225"/>
      <c r="B316" s="213"/>
      <c r="C316" s="356"/>
      <c r="D316" s="330"/>
      <c r="E316" s="157"/>
      <c r="F316" s="12"/>
    </row>
    <row r="317">
      <c r="A317" s="225"/>
      <c r="B317" s="213"/>
      <c r="C317" s="356"/>
      <c r="D317" s="330"/>
      <c r="E317" s="157"/>
      <c r="F317" s="12"/>
    </row>
    <row r="318">
      <c r="A318" s="225"/>
      <c r="B318" s="213"/>
      <c r="C318" s="356"/>
      <c r="D318" s="330"/>
      <c r="E318" s="157"/>
      <c r="F318" s="12"/>
    </row>
    <row r="319">
      <c r="A319" s="225"/>
      <c r="B319" s="213"/>
      <c r="C319" s="356"/>
      <c r="D319" s="330"/>
      <c r="E319" s="157"/>
      <c r="F319" s="12"/>
    </row>
    <row r="320">
      <c r="A320" s="225"/>
      <c r="B320" s="213"/>
      <c r="C320" s="356"/>
      <c r="D320" s="330"/>
      <c r="E320" s="157"/>
      <c r="F320" s="12"/>
    </row>
    <row r="321">
      <c r="A321" s="225"/>
      <c r="B321" s="213"/>
      <c r="C321" s="356"/>
      <c r="D321" s="330"/>
      <c r="E321" s="157"/>
      <c r="F321" s="12"/>
    </row>
    <row r="322">
      <c r="A322" s="225"/>
      <c r="B322" s="213"/>
      <c r="C322" s="356"/>
      <c r="D322" s="330"/>
      <c r="E322" s="157"/>
      <c r="F322" s="12"/>
    </row>
    <row r="323">
      <c r="A323" s="225"/>
      <c r="B323" s="213"/>
      <c r="C323" s="356"/>
      <c r="D323" s="330"/>
      <c r="E323" s="157"/>
      <c r="F323" s="12"/>
    </row>
    <row r="324">
      <c r="A324" s="225"/>
      <c r="B324" s="213"/>
      <c r="C324" s="356"/>
      <c r="D324" s="330"/>
      <c r="E324" s="157"/>
      <c r="F324" s="12"/>
    </row>
    <row r="325">
      <c r="A325" s="225"/>
      <c r="B325" s="213"/>
      <c r="C325" s="356"/>
      <c r="D325" s="330"/>
      <c r="E325" s="157"/>
      <c r="F325" s="12"/>
    </row>
    <row r="326">
      <c r="A326" s="225"/>
      <c r="B326" s="213"/>
      <c r="C326" s="356"/>
      <c r="D326" s="330"/>
      <c r="E326" s="157"/>
      <c r="F326" s="12"/>
    </row>
    <row r="327">
      <c r="A327" s="225"/>
      <c r="B327" s="213"/>
      <c r="C327" s="356"/>
      <c r="D327" s="330"/>
      <c r="E327" s="157"/>
      <c r="F327" s="12"/>
    </row>
    <row r="328">
      <c r="A328" s="225"/>
      <c r="B328" s="213"/>
      <c r="C328" s="356"/>
      <c r="D328" s="330"/>
      <c r="E328" s="157"/>
      <c r="F328" s="12"/>
    </row>
    <row r="329">
      <c r="A329" s="225"/>
      <c r="B329" s="213"/>
      <c r="C329" s="356"/>
      <c r="D329" s="330"/>
      <c r="E329" s="157"/>
      <c r="F329" s="12"/>
    </row>
    <row r="330">
      <c r="A330" s="225"/>
      <c r="B330" s="213"/>
      <c r="C330" s="356"/>
      <c r="D330" s="330"/>
      <c r="E330" s="157"/>
      <c r="F330" s="12"/>
    </row>
    <row r="331">
      <c r="A331" s="225"/>
      <c r="B331" s="213"/>
      <c r="C331" s="356"/>
      <c r="D331" s="330"/>
      <c r="E331" s="157"/>
      <c r="F331" s="12"/>
    </row>
    <row r="332">
      <c r="A332" s="225"/>
      <c r="B332" s="213"/>
      <c r="C332" s="356"/>
      <c r="D332" s="330"/>
      <c r="E332" s="157"/>
      <c r="F332" s="12"/>
    </row>
    <row r="333">
      <c r="A333" s="225"/>
      <c r="B333" s="213"/>
      <c r="C333" s="356"/>
      <c r="D333" s="330"/>
      <c r="E333" s="157"/>
      <c r="F333" s="12"/>
    </row>
    <row r="334">
      <c r="A334" s="225"/>
      <c r="B334" s="213"/>
      <c r="C334" s="356"/>
      <c r="D334" s="330"/>
      <c r="E334" s="157"/>
      <c r="F334" s="12"/>
    </row>
    <row r="335">
      <c r="A335" s="225"/>
      <c r="B335" s="213"/>
      <c r="C335" s="356"/>
      <c r="D335" s="330"/>
      <c r="E335" s="157"/>
      <c r="F335" s="12"/>
    </row>
    <row r="336">
      <c r="A336" s="225"/>
      <c r="B336" s="213"/>
      <c r="C336" s="356"/>
      <c r="D336" s="330"/>
      <c r="E336" s="157"/>
      <c r="F336" s="12"/>
    </row>
    <row r="337">
      <c r="A337" s="225"/>
      <c r="B337" s="213"/>
      <c r="C337" s="356"/>
      <c r="D337" s="330"/>
      <c r="E337" s="157"/>
      <c r="F337" s="12"/>
    </row>
    <row r="338">
      <c r="A338" s="225"/>
      <c r="B338" s="213"/>
      <c r="C338" s="356"/>
      <c r="D338" s="330"/>
      <c r="E338" s="157"/>
      <c r="F338" s="12"/>
    </row>
    <row r="339">
      <c r="A339" s="225"/>
      <c r="B339" s="213"/>
      <c r="C339" s="356"/>
      <c r="D339" s="330"/>
      <c r="E339" s="157"/>
      <c r="F339" s="12"/>
    </row>
    <row r="340">
      <c r="A340" s="225"/>
      <c r="B340" s="213"/>
      <c r="C340" s="356"/>
      <c r="D340" s="330"/>
      <c r="E340" s="157"/>
      <c r="F340" s="12"/>
    </row>
    <row r="341">
      <c r="A341" s="225"/>
      <c r="B341" s="213"/>
      <c r="C341" s="356"/>
      <c r="D341" s="330"/>
      <c r="E341" s="157"/>
      <c r="F341" s="12"/>
    </row>
    <row r="342">
      <c r="A342" s="225"/>
      <c r="B342" s="213"/>
      <c r="C342" s="356"/>
      <c r="D342" s="330"/>
      <c r="E342" s="157"/>
      <c r="F342" s="12"/>
    </row>
    <row r="343">
      <c r="A343" s="225"/>
      <c r="B343" s="213"/>
      <c r="C343" s="356"/>
      <c r="D343" s="330"/>
      <c r="E343" s="157"/>
      <c r="F343" s="12"/>
    </row>
    <row r="344">
      <c r="A344" s="225"/>
      <c r="B344" s="213"/>
      <c r="C344" s="356"/>
      <c r="D344" s="330"/>
      <c r="E344" s="157"/>
      <c r="F344" s="12"/>
    </row>
    <row r="345">
      <c r="A345" s="225"/>
      <c r="B345" s="213"/>
      <c r="C345" s="356"/>
      <c r="D345" s="330"/>
      <c r="E345" s="157"/>
      <c r="F345" s="12"/>
    </row>
    <row r="346">
      <c r="A346" s="225"/>
      <c r="B346" s="213"/>
      <c r="C346" s="356"/>
      <c r="D346" s="330"/>
      <c r="E346" s="157"/>
      <c r="F346" s="12"/>
    </row>
    <row r="347">
      <c r="A347" s="225"/>
      <c r="B347" s="213"/>
      <c r="C347" s="356"/>
      <c r="D347" s="330"/>
      <c r="E347" s="157"/>
      <c r="F347" s="12"/>
    </row>
    <row r="348">
      <c r="A348" s="225"/>
      <c r="B348" s="213"/>
      <c r="C348" s="356"/>
      <c r="D348" s="330"/>
      <c r="E348" s="157"/>
      <c r="F348" s="12"/>
    </row>
    <row r="349">
      <c r="A349" s="225"/>
      <c r="B349" s="213"/>
      <c r="C349" s="356"/>
      <c r="D349" s="330"/>
      <c r="E349" s="157"/>
      <c r="F349" s="12"/>
    </row>
    <row r="350">
      <c r="A350" s="225"/>
      <c r="B350" s="213"/>
      <c r="C350" s="356"/>
      <c r="D350" s="330"/>
      <c r="E350" s="157"/>
      <c r="F350" s="12"/>
    </row>
    <row r="351">
      <c r="A351" s="225"/>
      <c r="B351" s="213"/>
      <c r="C351" s="356"/>
      <c r="D351" s="330"/>
      <c r="E351" s="157"/>
      <c r="F351" s="12"/>
    </row>
    <row r="352">
      <c r="A352" s="225"/>
      <c r="B352" s="213"/>
      <c r="C352" s="356"/>
      <c r="D352" s="330"/>
      <c r="E352" s="157"/>
      <c r="F352" s="12"/>
    </row>
    <row r="353">
      <c r="A353" s="225"/>
      <c r="B353" s="213"/>
      <c r="C353" s="356"/>
      <c r="D353" s="330"/>
      <c r="E353" s="157"/>
      <c r="F353" s="12"/>
    </row>
    <row r="354">
      <c r="A354" s="225"/>
      <c r="B354" s="213"/>
      <c r="C354" s="356"/>
      <c r="D354" s="330"/>
      <c r="E354" s="157"/>
      <c r="F354" s="12"/>
    </row>
    <row r="355">
      <c r="A355" s="225"/>
      <c r="B355" s="213"/>
      <c r="C355" s="356"/>
      <c r="D355" s="330"/>
      <c r="E355" s="157"/>
      <c r="F355" s="12"/>
    </row>
    <row r="356">
      <c r="A356" s="225"/>
      <c r="B356" s="213"/>
      <c r="C356" s="356"/>
      <c r="D356" s="330"/>
      <c r="E356" s="157"/>
      <c r="F356" s="12"/>
    </row>
    <row r="357">
      <c r="A357" s="225"/>
      <c r="B357" s="213"/>
      <c r="C357" s="356"/>
      <c r="D357" s="330"/>
      <c r="E357" s="157"/>
      <c r="F357" s="12"/>
    </row>
    <row r="358">
      <c r="A358" s="225"/>
      <c r="B358" s="213"/>
      <c r="C358" s="356"/>
      <c r="D358" s="330"/>
      <c r="E358" s="157"/>
      <c r="F358" s="12"/>
    </row>
    <row r="359">
      <c r="A359" s="225"/>
      <c r="B359" s="213"/>
      <c r="C359" s="356"/>
      <c r="D359" s="330"/>
      <c r="E359" s="157"/>
      <c r="F359" s="12"/>
    </row>
    <row r="360">
      <c r="A360" s="225"/>
      <c r="B360" s="213"/>
      <c r="C360" s="356"/>
      <c r="D360" s="330"/>
      <c r="E360" s="157"/>
      <c r="F360" s="12"/>
    </row>
    <row r="361">
      <c r="A361" s="225"/>
      <c r="B361" s="213"/>
      <c r="C361" s="356"/>
      <c r="D361" s="330"/>
      <c r="E361" s="157"/>
      <c r="F361" s="12"/>
    </row>
    <row r="362">
      <c r="A362" s="225"/>
      <c r="B362" s="213"/>
      <c r="C362" s="356"/>
      <c r="D362" s="330"/>
      <c r="E362" s="157"/>
      <c r="F362" s="12"/>
    </row>
    <row r="363">
      <c r="A363" s="225"/>
      <c r="B363" s="213"/>
      <c r="C363" s="356"/>
      <c r="D363" s="330"/>
      <c r="E363" s="157"/>
      <c r="F363" s="12"/>
    </row>
    <row r="364">
      <c r="A364" s="225"/>
      <c r="B364" s="213"/>
      <c r="C364" s="356"/>
      <c r="D364" s="330"/>
      <c r="E364" s="157"/>
      <c r="F364" s="12"/>
    </row>
    <row r="365">
      <c r="A365" s="225"/>
      <c r="B365" s="213"/>
      <c r="C365" s="356"/>
      <c r="D365" s="330"/>
      <c r="E365" s="157"/>
      <c r="F365" s="12"/>
    </row>
    <row r="366">
      <c r="A366" s="225"/>
      <c r="B366" s="213"/>
      <c r="C366" s="356"/>
      <c r="D366" s="330"/>
      <c r="E366" s="157"/>
      <c r="F366" s="12"/>
    </row>
    <row r="367">
      <c r="A367" s="225"/>
      <c r="B367" s="213"/>
      <c r="C367" s="356"/>
      <c r="D367" s="330"/>
      <c r="E367" s="157"/>
      <c r="F367" s="12"/>
    </row>
    <row r="368">
      <c r="A368" s="225"/>
      <c r="B368" s="213"/>
      <c r="C368" s="356"/>
      <c r="D368" s="330"/>
      <c r="E368" s="157"/>
      <c r="F368" s="12"/>
    </row>
    <row r="369">
      <c r="A369" s="225"/>
      <c r="B369" s="213"/>
      <c r="C369" s="356"/>
      <c r="D369" s="330"/>
      <c r="E369" s="157"/>
      <c r="F369" s="12"/>
    </row>
    <row r="370">
      <c r="A370" s="225"/>
      <c r="B370" s="213"/>
      <c r="C370" s="356"/>
      <c r="D370" s="330"/>
      <c r="E370" s="157"/>
      <c r="F370" s="12"/>
    </row>
    <row r="371">
      <c r="A371" s="225"/>
      <c r="B371" s="213"/>
      <c r="C371" s="356"/>
      <c r="D371" s="330"/>
      <c r="E371" s="157"/>
      <c r="F371" s="12"/>
    </row>
    <row r="372">
      <c r="A372" s="225"/>
      <c r="B372" s="213"/>
      <c r="C372" s="356"/>
      <c r="D372" s="330"/>
      <c r="E372" s="157"/>
      <c r="F372" s="12"/>
    </row>
    <row r="373">
      <c r="A373" s="225"/>
      <c r="B373" s="213"/>
      <c r="C373" s="356"/>
      <c r="D373" s="330"/>
      <c r="E373" s="157"/>
      <c r="F373" s="12"/>
    </row>
    <row r="374">
      <c r="A374" s="225"/>
      <c r="B374" s="213"/>
      <c r="C374" s="356"/>
      <c r="D374" s="330"/>
      <c r="E374" s="157"/>
      <c r="F374" s="12"/>
    </row>
    <row r="375">
      <c r="A375" s="225"/>
      <c r="B375" s="213"/>
      <c r="C375" s="356"/>
      <c r="D375" s="330"/>
      <c r="E375" s="157"/>
      <c r="F375" s="12"/>
    </row>
    <row r="376">
      <c r="A376" s="225"/>
      <c r="B376" s="213"/>
      <c r="C376" s="356"/>
      <c r="D376" s="330"/>
      <c r="E376" s="157"/>
      <c r="F376" s="12"/>
    </row>
    <row r="377">
      <c r="A377" s="225"/>
      <c r="B377" s="213"/>
      <c r="C377" s="356"/>
      <c r="D377" s="330"/>
      <c r="E377" s="157"/>
      <c r="F377" s="12"/>
    </row>
    <row r="378">
      <c r="A378" s="225"/>
      <c r="B378" s="213"/>
      <c r="C378" s="356"/>
      <c r="D378" s="330"/>
      <c r="E378" s="157"/>
      <c r="F378" s="12"/>
    </row>
    <row r="379">
      <c r="A379" s="225"/>
      <c r="B379" s="213"/>
      <c r="C379" s="356"/>
      <c r="D379" s="330"/>
      <c r="E379" s="157"/>
      <c r="F379" s="12"/>
    </row>
    <row r="380">
      <c r="A380" s="225"/>
      <c r="B380" s="213"/>
      <c r="C380" s="356"/>
      <c r="D380" s="330"/>
      <c r="E380" s="157"/>
      <c r="F380" s="12"/>
    </row>
    <row r="381">
      <c r="A381" s="225"/>
      <c r="B381" s="213"/>
      <c r="C381" s="356"/>
      <c r="D381" s="330"/>
      <c r="E381" s="157"/>
      <c r="F381" s="12"/>
    </row>
    <row r="382">
      <c r="A382" s="225"/>
      <c r="B382" s="213"/>
      <c r="C382" s="356"/>
      <c r="D382" s="330"/>
      <c r="E382" s="157"/>
      <c r="F382" s="12"/>
    </row>
    <row r="383">
      <c r="A383" s="225"/>
      <c r="B383" s="213"/>
      <c r="C383" s="356"/>
      <c r="D383" s="330"/>
      <c r="E383" s="157"/>
      <c r="F383" s="12"/>
    </row>
    <row r="384">
      <c r="A384" s="225"/>
      <c r="B384" s="213"/>
      <c r="C384" s="356"/>
      <c r="D384" s="330"/>
      <c r="E384" s="157"/>
      <c r="F384" s="12"/>
    </row>
    <row r="385">
      <c r="A385" s="225"/>
      <c r="B385" s="213"/>
      <c r="C385" s="356"/>
      <c r="D385" s="330"/>
      <c r="E385" s="157"/>
      <c r="F385" s="12"/>
    </row>
    <row r="386">
      <c r="A386" s="225"/>
      <c r="B386" s="213"/>
      <c r="C386" s="356"/>
      <c r="D386" s="330"/>
      <c r="E386" s="157"/>
      <c r="F386" s="12"/>
    </row>
    <row r="387">
      <c r="A387" s="225"/>
      <c r="B387" s="213"/>
      <c r="C387" s="356"/>
      <c r="D387" s="330"/>
      <c r="E387" s="157"/>
      <c r="F387" s="12"/>
    </row>
    <row r="388">
      <c r="A388" s="225"/>
      <c r="B388" s="213"/>
      <c r="C388" s="356"/>
      <c r="D388" s="330"/>
      <c r="E388" s="157"/>
      <c r="F388" s="12"/>
    </row>
    <row r="389">
      <c r="A389" s="225"/>
      <c r="B389" s="213"/>
      <c r="C389" s="356"/>
      <c r="D389" s="330"/>
      <c r="E389" s="157"/>
      <c r="F389" s="12"/>
    </row>
    <row r="390">
      <c r="A390" s="225"/>
      <c r="B390" s="213"/>
      <c r="C390" s="356"/>
      <c r="D390" s="330"/>
      <c r="E390" s="157"/>
      <c r="F390" s="12"/>
    </row>
    <row r="391">
      <c r="A391" s="225"/>
      <c r="B391" s="213"/>
      <c r="C391" s="356"/>
      <c r="D391" s="330"/>
      <c r="E391" s="157"/>
      <c r="F391" s="12"/>
    </row>
    <row r="392">
      <c r="A392" s="225"/>
      <c r="B392" s="213"/>
      <c r="C392" s="356"/>
      <c r="D392" s="330"/>
      <c r="E392" s="157"/>
      <c r="F392" s="12"/>
    </row>
    <row r="393">
      <c r="A393" s="225"/>
      <c r="B393" s="213"/>
      <c r="C393" s="356"/>
      <c r="D393" s="330"/>
      <c r="E393" s="157"/>
      <c r="F393" s="12"/>
    </row>
    <row r="394">
      <c r="A394" s="225"/>
      <c r="B394" s="213"/>
      <c r="C394" s="356"/>
      <c r="D394" s="330"/>
      <c r="E394" s="157"/>
      <c r="F394" s="12"/>
    </row>
    <row r="395">
      <c r="A395" s="225"/>
      <c r="B395" s="213"/>
      <c r="C395" s="356"/>
      <c r="D395" s="330"/>
      <c r="E395" s="157"/>
      <c r="F395" s="12"/>
    </row>
    <row r="396">
      <c r="A396" s="225"/>
      <c r="B396" s="213"/>
      <c r="C396" s="356"/>
      <c r="D396" s="330"/>
      <c r="E396" s="157"/>
      <c r="F396" s="12"/>
    </row>
    <row r="397">
      <c r="A397" s="225"/>
      <c r="B397" s="213"/>
      <c r="C397" s="356"/>
      <c r="D397" s="330"/>
      <c r="E397" s="157"/>
      <c r="F397" s="12"/>
    </row>
    <row r="398">
      <c r="A398" s="225"/>
      <c r="B398" s="213"/>
      <c r="C398" s="356"/>
      <c r="D398" s="330"/>
      <c r="E398" s="157"/>
      <c r="F398" s="12"/>
    </row>
    <row r="399">
      <c r="A399" s="225"/>
      <c r="B399" s="213"/>
      <c r="C399" s="356"/>
      <c r="D399" s="330"/>
      <c r="E399" s="157"/>
      <c r="F399" s="12"/>
    </row>
    <row r="400">
      <c r="A400" s="225"/>
      <c r="B400" s="213"/>
      <c r="C400" s="356"/>
      <c r="D400" s="330"/>
      <c r="E400" s="157"/>
      <c r="F400" s="12"/>
    </row>
    <row r="401">
      <c r="A401" s="225"/>
      <c r="B401" s="213"/>
      <c r="C401" s="356"/>
      <c r="D401" s="330"/>
      <c r="E401" s="157"/>
      <c r="F401" s="12"/>
    </row>
    <row r="402">
      <c r="A402" s="225"/>
      <c r="B402" s="213"/>
      <c r="C402" s="356"/>
      <c r="D402" s="330"/>
      <c r="E402" s="157"/>
      <c r="F402" s="12"/>
    </row>
    <row r="403">
      <c r="A403" s="225"/>
      <c r="B403" s="213"/>
      <c r="C403" s="356"/>
      <c r="D403" s="330"/>
      <c r="E403" s="157"/>
      <c r="F403" s="12"/>
    </row>
    <row r="404">
      <c r="A404" s="225"/>
      <c r="B404" s="213"/>
      <c r="C404" s="356"/>
      <c r="D404" s="330"/>
      <c r="E404" s="157"/>
      <c r="F404" s="12"/>
    </row>
    <row r="405">
      <c r="A405" s="225"/>
      <c r="B405" s="213"/>
      <c r="C405" s="356"/>
      <c r="D405" s="330"/>
      <c r="E405" s="157"/>
      <c r="F405" s="12"/>
    </row>
    <row r="406">
      <c r="A406" s="225"/>
      <c r="B406" s="213"/>
      <c r="C406" s="356"/>
      <c r="D406" s="330"/>
      <c r="E406" s="157"/>
      <c r="F406" s="12"/>
    </row>
    <row r="407">
      <c r="A407" s="225"/>
      <c r="B407" s="213"/>
      <c r="C407" s="356"/>
      <c r="D407" s="330"/>
      <c r="E407" s="157"/>
      <c r="F407" s="12"/>
    </row>
    <row r="408">
      <c r="A408" s="225"/>
      <c r="B408" s="213"/>
      <c r="C408" s="356"/>
      <c r="D408" s="330"/>
      <c r="E408" s="157"/>
      <c r="F408" s="12"/>
    </row>
    <row r="409">
      <c r="A409" s="225"/>
      <c r="B409" s="213"/>
      <c r="C409" s="356"/>
      <c r="D409" s="330"/>
      <c r="E409" s="157"/>
      <c r="F409" s="12"/>
    </row>
    <row r="410">
      <c r="A410" s="225"/>
      <c r="B410" s="213"/>
      <c r="C410" s="356"/>
      <c r="D410" s="330"/>
      <c r="E410" s="157"/>
      <c r="F410" s="12"/>
    </row>
    <row r="411">
      <c r="A411" s="225"/>
      <c r="B411" s="213"/>
      <c r="C411" s="356"/>
      <c r="D411" s="330"/>
      <c r="E411" s="157"/>
      <c r="F411" s="12"/>
    </row>
    <row r="412">
      <c r="A412" s="225"/>
      <c r="B412" s="213"/>
      <c r="C412" s="356"/>
      <c r="D412" s="330"/>
      <c r="E412" s="157"/>
      <c r="F412" s="12"/>
    </row>
    <row r="413">
      <c r="A413" s="225"/>
      <c r="B413" s="213"/>
      <c r="C413" s="356"/>
      <c r="D413" s="330"/>
      <c r="E413" s="157"/>
      <c r="F413" s="12"/>
    </row>
    <row r="414">
      <c r="A414" s="225"/>
      <c r="B414" s="213"/>
      <c r="C414" s="356"/>
      <c r="D414" s="330"/>
      <c r="E414" s="157"/>
      <c r="F414" s="12"/>
    </row>
    <row r="415">
      <c r="A415" s="225"/>
      <c r="B415" s="213"/>
      <c r="C415" s="356"/>
      <c r="D415" s="330"/>
      <c r="E415" s="157"/>
      <c r="F415" s="12"/>
    </row>
    <row r="416">
      <c r="A416" s="225"/>
      <c r="B416" s="213"/>
      <c r="C416" s="356"/>
      <c r="D416" s="330"/>
      <c r="E416" s="157"/>
      <c r="F416" s="12"/>
    </row>
    <row r="417">
      <c r="A417" s="225"/>
      <c r="B417" s="213"/>
      <c r="C417" s="356"/>
      <c r="D417" s="330"/>
      <c r="E417" s="157"/>
      <c r="F417" s="12"/>
    </row>
    <row r="418">
      <c r="A418" s="225"/>
      <c r="B418" s="213"/>
      <c r="C418" s="356"/>
      <c r="D418" s="330"/>
      <c r="E418" s="157"/>
      <c r="F418" s="12"/>
    </row>
    <row r="419">
      <c r="A419" s="225"/>
      <c r="B419" s="213"/>
      <c r="C419" s="356"/>
      <c r="D419" s="330"/>
      <c r="E419" s="157"/>
      <c r="F419" s="12"/>
    </row>
    <row r="420">
      <c r="A420" s="225"/>
      <c r="B420" s="213"/>
      <c r="C420" s="356"/>
      <c r="D420" s="330"/>
      <c r="E420" s="157"/>
      <c r="F420" s="12"/>
    </row>
    <row r="421">
      <c r="A421" s="225"/>
      <c r="B421" s="213"/>
      <c r="C421" s="356"/>
      <c r="D421" s="330"/>
      <c r="E421" s="157"/>
      <c r="F421" s="12"/>
    </row>
    <row r="422">
      <c r="A422" s="225"/>
      <c r="B422" s="213"/>
      <c r="C422" s="356"/>
      <c r="D422" s="330"/>
      <c r="E422" s="157"/>
      <c r="F422" s="12"/>
    </row>
    <row r="423">
      <c r="A423" s="225"/>
      <c r="B423" s="213"/>
      <c r="C423" s="356"/>
      <c r="D423" s="330"/>
      <c r="E423" s="157"/>
      <c r="F423" s="12"/>
    </row>
    <row r="424">
      <c r="A424" s="225"/>
      <c r="B424" s="213"/>
      <c r="C424" s="356"/>
      <c r="D424" s="330"/>
      <c r="E424" s="157"/>
      <c r="F424" s="12"/>
    </row>
    <row r="425">
      <c r="A425" s="225"/>
      <c r="B425" s="213"/>
      <c r="C425" s="356"/>
      <c r="D425" s="330"/>
      <c r="E425" s="157"/>
      <c r="F425" s="12"/>
    </row>
    <row r="426">
      <c r="A426" s="225"/>
      <c r="B426" s="213"/>
      <c r="C426" s="356"/>
      <c r="D426" s="330"/>
      <c r="E426" s="157"/>
      <c r="F426" s="12"/>
    </row>
    <row r="427">
      <c r="A427" s="225"/>
      <c r="B427" s="213"/>
      <c r="C427" s="356"/>
      <c r="D427" s="330"/>
      <c r="E427" s="157"/>
      <c r="F427" s="12"/>
    </row>
    <row r="428">
      <c r="A428" s="225"/>
      <c r="B428" s="213"/>
      <c r="C428" s="356"/>
      <c r="D428" s="330"/>
      <c r="E428" s="157"/>
      <c r="F428" s="12"/>
    </row>
    <row r="429">
      <c r="A429" s="225"/>
      <c r="B429" s="213"/>
      <c r="C429" s="356"/>
      <c r="D429" s="330"/>
      <c r="E429" s="157"/>
      <c r="F429" s="12"/>
    </row>
    <row r="430">
      <c r="A430" s="225"/>
      <c r="B430" s="213"/>
      <c r="C430" s="356"/>
      <c r="D430" s="330"/>
      <c r="E430" s="157"/>
      <c r="F430" s="12"/>
    </row>
    <row r="431">
      <c r="A431" s="225"/>
      <c r="B431" s="213"/>
      <c r="C431" s="356"/>
      <c r="D431" s="330"/>
      <c r="E431" s="157"/>
      <c r="F431" s="12"/>
    </row>
    <row r="432">
      <c r="A432" s="225"/>
      <c r="B432" s="213"/>
      <c r="C432" s="356"/>
      <c r="D432" s="330"/>
      <c r="E432" s="157"/>
      <c r="F432" s="12"/>
    </row>
    <row r="433">
      <c r="A433" s="225"/>
      <c r="B433" s="213"/>
      <c r="C433" s="356"/>
      <c r="D433" s="330"/>
      <c r="E433" s="157"/>
      <c r="F433" s="12"/>
    </row>
    <row r="434">
      <c r="A434" s="225"/>
      <c r="B434" s="213"/>
      <c r="C434" s="356"/>
      <c r="D434" s="330"/>
      <c r="E434" s="157"/>
      <c r="F434" s="12"/>
    </row>
    <row r="435">
      <c r="A435" s="225"/>
      <c r="B435" s="213"/>
      <c r="C435" s="356"/>
      <c r="D435" s="330"/>
      <c r="E435" s="157"/>
      <c r="F435" s="12"/>
    </row>
    <row r="436">
      <c r="A436" s="225"/>
      <c r="B436" s="213"/>
      <c r="C436" s="356"/>
      <c r="D436" s="330"/>
      <c r="E436" s="157"/>
      <c r="F436" s="12"/>
    </row>
    <row r="437">
      <c r="A437" s="225"/>
      <c r="B437" s="213"/>
      <c r="C437" s="356"/>
      <c r="D437" s="330"/>
      <c r="E437" s="157"/>
      <c r="F437" s="12"/>
    </row>
    <row r="438">
      <c r="A438" s="225"/>
      <c r="B438" s="213"/>
      <c r="C438" s="356"/>
      <c r="D438" s="330"/>
      <c r="E438" s="157"/>
      <c r="F438" s="12"/>
    </row>
    <row r="439">
      <c r="A439" s="225"/>
      <c r="B439" s="213"/>
      <c r="C439" s="356"/>
      <c r="D439" s="330"/>
      <c r="E439" s="157"/>
      <c r="F439" s="12"/>
    </row>
    <row r="440">
      <c r="A440" s="225"/>
      <c r="B440" s="213"/>
      <c r="C440" s="356"/>
      <c r="D440" s="330"/>
      <c r="E440" s="157"/>
      <c r="F440" s="12"/>
    </row>
    <row r="441">
      <c r="A441" s="225"/>
      <c r="B441" s="213"/>
      <c r="C441" s="356"/>
      <c r="D441" s="330"/>
      <c r="E441" s="157"/>
      <c r="F441" s="12"/>
    </row>
    <row r="442">
      <c r="A442" s="225"/>
      <c r="B442" s="213"/>
      <c r="C442" s="356"/>
      <c r="D442" s="330"/>
      <c r="E442" s="157"/>
      <c r="F442" s="12"/>
    </row>
    <row r="443">
      <c r="A443" s="225"/>
      <c r="B443" s="213"/>
      <c r="C443" s="356"/>
      <c r="D443" s="330"/>
      <c r="E443" s="157"/>
      <c r="F443" s="12"/>
    </row>
    <row r="444">
      <c r="A444" s="225"/>
      <c r="B444" s="213"/>
      <c r="C444" s="356"/>
      <c r="D444" s="330"/>
      <c r="E444" s="157"/>
      <c r="F444" s="12"/>
    </row>
    <row r="445">
      <c r="A445" s="225"/>
      <c r="B445" s="213"/>
      <c r="C445" s="356"/>
      <c r="D445" s="330"/>
      <c r="E445" s="157"/>
      <c r="F445" s="12"/>
    </row>
    <row r="446">
      <c r="A446" s="225"/>
      <c r="B446" s="213"/>
      <c r="C446" s="356"/>
      <c r="D446" s="330"/>
      <c r="E446" s="157"/>
      <c r="F446" s="12"/>
    </row>
    <row r="447">
      <c r="A447" s="225"/>
      <c r="B447" s="213"/>
      <c r="C447" s="356"/>
      <c r="D447" s="330"/>
      <c r="E447" s="157"/>
      <c r="F447" s="12"/>
    </row>
    <row r="448">
      <c r="A448" s="225"/>
      <c r="B448" s="213"/>
      <c r="C448" s="356"/>
      <c r="D448" s="330"/>
      <c r="E448" s="157"/>
      <c r="F448" s="12"/>
    </row>
    <row r="449">
      <c r="A449" s="225"/>
      <c r="B449" s="213"/>
      <c r="C449" s="356"/>
      <c r="D449" s="330"/>
      <c r="E449" s="157"/>
      <c r="F449" s="12"/>
    </row>
    <row r="450">
      <c r="A450" s="225"/>
      <c r="B450" s="213"/>
      <c r="C450" s="356"/>
      <c r="D450" s="330"/>
      <c r="E450" s="157"/>
      <c r="F450" s="12"/>
    </row>
    <row r="451">
      <c r="A451" s="225"/>
      <c r="B451" s="213"/>
      <c r="C451" s="356"/>
      <c r="D451" s="330"/>
      <c r="E451" s="157"/>
      <c r="F451" s="12"/>
    </row>
    <row r="452">
      <c r="A452" s="225"/>
      <c r="B452" s="213"/>
      <c r="C452" s="356"/>
      <c r="D452" s="330"/>
      <c r="E452" s="157"/>
      <c r="F452" s="12"/>
    </row>
    <row r="453">
      <c r="A453" s="225"/>
      <c r="B453" s="213"/>
      <c r="C453" s="356"/>
      <c r="D453" s="330"/>
      <c r="E453" s="157"/>
      <c r="F453" s="12"/>
    </row>
    <row r="454">
      <c r="A454" s="225"/>
      <c r="B454" s="213"/>
      <c r="C454" s="356"/>
      <c r="D454" s="330"/>
      <c r="E454" s="157"/>
      <c r="F454" s="12"/>
    </row>
    <row r="455">
      <c r="A455" s="225"/>
      <c r="B455" s="213"/>
      <c r="C455" s="356"/>
      <c r="D455" s="330"/>
      <c r="E455" s="157"/>
      <c r="F455" s="12"/>
    </row>
    <row r="456">
      <c r="A456" s="225"/>
      <c r="B456" s="213"/>
      <c r="C456" s="356"/>
      <c r="D456" s="330"/>
      <c r="E456" s="157"/>
      <c r="F456" s="12"/>
    </row>
    <row r="457">
      <c r="A457" s="225"/>
      <c r="B457" s="213"/>
      <c r="C457" s="356"/>
      <c r="D457" s="330"/>
      <c r="E457" s="157"/>
      <c r="F457" s="12"/>
    </row>
    <row r="458">
      <c r="A458" s="225"/>
      <c r="B458" s="213"/>
      <c r="C458" s="356"/>
      <c r="D458" s="330"/>
      <c r="E458" s="157"/>
      <c r="F458" s="12"/>
    </row>
    <row r="459">
      <c r="A459" s="225"/>
      <c r="B459" s="213"/>
      <c r="C459" s="356"/>
      <c r="D459" s="330"/>
      <c r="E459" s="157"/>
      <c r="F459" s="12"/>
    </row>
    <row r="460">
      <c r="A460" s="225"/>
      <c r="B460" s="213"/>
      <c r="C460" s="356"/>
      <c r="D460" s="330"/>
      <c r="E460" s="157"/>
      <c r="F460" s="12"/>
    </row>
    <row r="461">
      <c r="A461" s="225"/>
      <c r="B461" s="213"/>
      <c r="C461" s="356"/>
      <c r="D461" s="330"/>
      <c r="E461" s="157"/>
      <c r="F461" s="12"/>
    </row>
    <row r="462">
      <c r="A462" s="225"/>
      <c r="B462" s="213"/>
      <c r="C462" s="356"/>
      <c r="D462" s="330"/>
      <c r="E462" s="157"/>
      <c r="F462" s="12"/>
    </row>
    <row r="463">
      <c r="A463" s="225"/>
      <c r="B463" s="213"/>
      <c r="C463" s="356"/>
      <c r="D463" s="330"/>
      <c r="E463" s="157"/>
      <c r="F463" s="12"/>
    </row>
    <row r="464">
      <c r="A464" s="225"/>
      <c r="B464" s="213"/>
      <c r="C464" s="356"/>
      <c r="D464" s="330"/>
      <c r="E464" s="157"/>
      <c r="F464" s="12"/>
    </row>
    <row r="465">
      <c r="A465" s="225"/>
      <c r="B465" s="213"/>
      <c r="C465" s="356"/>
      <c r="D465" s="330"/>
      <c r="E465" s="157"/>
      <c r="F465" s="12"/>
    </row>
    <row r="466">
      <c r="A466" s="225"/>
      <c r="B466" s="213"/>
      <c r="C466" s="356"/>
      <c r="D466" s="330"/>
      <c r="E466" s="157"/>
      <c r="F466" s="12"/>
    </row>
    <row r="467">
      <c r="A467" s="225"/>
      <c r="B467" s="213"/>
      <c r="C467" s="356"/>
      <c r="D467" s="330"/>
      <c r="E467" s="157"/>
      <c r="F467" s="12"/>
    </row>
    <row r="468">
      <c r="A468" s="225"/>
      <c r="B468" s="213"/>
      <c r="C468" s="356"/>
      <c r="D468" s="330"/>
      <c r="E468" s="157"/>
      <c r="F468" s="12"/>
    </row>
    <row r="469">
      <c r="A469" s="225"/>
      <c r="B469" s="213"/>
      <c r="C469" s="356"/>
      <c r="D469" s="330"/>
      <c r="E469" s="157"/>
      <c r="F469" s="12"/>
    </row>
    <row r="470">
      <c r="A470" s="225"/>
      <c r="B470" s="213"/>
      <c r="C470" s="356"/>
      <c r="D470" s="330"/>
      <c r="E470" s="157"/>
      <c r="F470" s="12"/>
    </row>
    <row r="471">
      <c r="A471" s="225"/>
      <c r="B471" s="213"/>
      <c r="C471" s="356"/>
      <c r="D471" s="330"/>
      <c r="E471" s="157"/>
      <c r="F471" s="12"/>
    </row>
    <row r="472">
      <c r="A472" s="225"/>
      <c r="B472" s="213"/>
      <c r="C472" s="356"/>
      <c r="D472" s="330"/>
      <c r="E472" s="157"/>
      <c r="F472" s="12"/>
    </row>
    <row r="473">
      <c r="A473" s="225"/>
      <c r="B473" s="213"/>
      <c r="C473" s="356"/>
      <c r="D473" s="330"/>
      <c r="E473" s="157"/>
      <c r="F473" s="12"/>
    </row>
    <row r="474">
      <c r="A474" s="225"/>
      <c r="B474" s="213"/>
      <c r="C474" s="356"/>
      <c r="D474" s="330"/>
      <c r="E474" s="157"/>
      <c r="F474" s="12"/>
    </row>
    <row r="475">
      <c r="A475" s="225"/>
      <c r="B475" s="213"/>
      <c r="C475" s="356"/>
      <c r="D475" s="330"/>
      <c r="E475" s="157"/>
      <c r="F475" s="12"/>
    </row>
    <row r="476">
      <c r="A476" s="225"/>
      <c r="B476" s="213"/>
      <c r="C476" s="356"/>
      <c r="D476" s="330"/>
      <c r="E476" s="157"/>
      <c r="F476" s="12"/>
    </row>
    <row r="477">
      <c r="A477" s="225"/>
      <c r="B477" s="213"/>
      <c r="C477" s="356"/>
      <c r="D477" s="330"/>
      <c r="E477" s="157"/>
      <c r="F477" s="12"/>
    </row>
    <row r="478">
      <c r="A478" s="225"/>
      <c r="B478" s="213"/>
      <c r="C478" s="356"/>
      <c r="D478" s="330"/>
      <c r="E478" s="157"/>
      <c r="F478" s="12"/>
    </row>
    <row r="479">
      <c r="A479" s="225"/>
      <c r="B479" s="213"/>
      <c r="C479" s="356"/>
      <c r="D479" s="330"/>
      <c r="E479" s="157"/>
      <c r="F479" s="12"/>
    </row>
    <row r="480">
      <c r="A480" s="225"/>
      <c r="B480" s="213"/>
      <c r="C480" s="356"/>
      <c r="D480" s="330"/>
      <c r="E480" s="157"/>
      <c r="F480" s="12"/>
    </row>
    <row r="481">
      <c r="A481" s="225"/>
      <c r="B481" s="213"/>
      <c r="C481" s="356"/>
      <c r="D481" s="330"/>
      <c r="E481" s="157"/>
      <c r="F481" s="12"/>
    </row>
    <row r="482">
      <c r="A482" s="225"/>
      <c r="B482" s="213"/>
      <c r="C482" s="356"/>
      <c r="D482" s="330"/>
      <c r="E482" s="157"/>
      <c r="F482" s="12"/>
    </row>
    <row r="483">
      <c r="A483" s="225"/>
      <c r="B483" s="213"/>
      <c r="C483" s="356"/>
      <c r="D483" s="330"/>
      <c r="E483" s="157"/>
      <c r="F483" s="12"/>
    </row>
    <row r="484">
      <c r="A484" s="225"/>
      <c r="B484" s="213"/>
      <c r="C484" s="356"/>
      <c r="D484" s="330"/>
      <c r="E484" s="157"/>
      <c r="F484" s="12"/>
    </row>
    <row r="485">
      <c r="A485" s="225"/>
      <c r="B485" s="213"/>
      <c r="C485" s="356"/>
      <c r="D485" s="330"/>
      <c r="E485" s="157"/>
      <c r="F485" s="12"/>
    </row>
    <row r="486">
      <c r="A486" s="225"/>
      <c r="B486" s="213"/>
      <c r="C486" s="356"/>
      <c r="D486" s="330"/>
      <c r="E486" s="157"/>
      <c r="F486" s="12"/>
    </row>
    <row r="487">
      <c r="A487" s="225"/>
      <c r="B487" s="213"/>
      <c r="C487" s="356"/>
      <c r="D487" s="330"/>
      <c r="E487" s="157"/>
      <c r="F487" s="12"/>
    </row>
    <row r="488">
      <c r="A488" s="225"/>
      <c r="B488" s="213"/>
      <c r="C488" s="356"/>
      <c r="D488" s="330"/>
      <c r="E488" s="157"/>
      <c r="F488" s="12"/>
    </row>
    <row r="489">
      <c r="A489" s="225"/>
      <c r="B489" s="213"/>
      <c r="C489" s="356"/>
      <c r="D489" s="330"/>
      <c r="E489" s="157"/>
      <c r="F489" s="12"/>
    </row>
    <row r="490">
      <c r="A490" s="225"/>
      <c r="B490" s="213"/>
      <c r="C490" s="356"/>
      <c r="D490" s="330"/>
      <c r="E490" s="157"/>
      <c r="F490" s="12"/>
    </row>
    <row r="491">
      <c r="A491" s="225"/>
      <c r="B491" s="213"/>
      <c r="C491" s="356"/>
      <c r="D491" s="330"/>
      <c r="E491" s="157"/>
      <c r="F491" s="12"/>
    </row>
    <row r="492">
      <c r="A492" s="225"/>
      <c r="B492" s="213"/>
      <c r="C492" s="356"/>
      <c r="D492" s="330"/>
      <c r="E492" s="157"/>
      <c r="F492" s="12"/>
    </row>
    <row r="493">
      <c r="A493" s="225"/>
      <c r="B493" s="213"/>
      <c r="C493" s="356"/>
      <c r="D493" s="330"/>
      <c r="E493" s="157"/>
      <c r="F493" s="12"/>
    </row>
    <row r="494">
      <c r="A494" s="225"/>
      <c r="B494" s="213"/>
      <c r="C494" s="356"/>
      <c r="D494" s="330"/>
      <c r="E494" s="157"/>
      <c r="F494" s="12"/>
    </row>
    <row r="495">
      <c r="A495" s="225"/>
      <c r="B495" s="213"/>
      <c r="C495" s="356"/>
      <c r="D495" s="330"/>
      <c r="E495" s="157"/>
      <c r="F495" s="12"/>
    </row>
    <row r="496">
      <c r="A496" s="225"/>
      <c r="B496" s="213"/>
      <c r="C496" s="356"/>
      <c r="D496" s="330"/>
      <c r="E496" s="157"/>
      <c r="F496" s="12"/>
    </row>
    <row r="497">
      <c r="A497" s="225"/>
      <c r="B497" s="213"/>
      <c r="C497" s="356"/>
      <c r="D497" s="330"/>
      <c r="E497" s="157"/>
      <c r="F497" s="12"/>
    </row>
    <row r="498">
      <c r="A498" s="225"/>
      <c r="B498" s="213"/>
      <c r="C498" s="356"/>
      <c r="D498" s="330"/>
      <c r="E498" s="157"/>
      <c r="F498" s="12"/>
    </row>
    <row r="499">
      <c r="A499" s="225"/>
      <c r="B499" s="213"/>
      <c r="C499" s="356"/>
      <c r="D499" s="330"/>
      <c r="E499" s="157"/>
      <c r="F499" s="12"/>
    </row>
    <row r="500">
      <c r="A500" s="225"/>
      <c r="B500" s="213"/>
      <c r="C500" s="356"/>
      <c r="D500" s="330"/>
      <c r="E500" s="157"/>
      <c r="F500" s="12"/>
    </row>
    <row r="501">
      <c r="A501" s="225"/>
      <c r="B501" s="213"/>
      <c r="C501" s="356"/>
      <c r="D501" s="330"/>
      <c r="E501" s="157"/>
      <c r="F501" s="12"/>
    </row>
    <row r="502">
      <c r="A502" s="225"/>
      <c r="B502" s="213"/>
      <c r="C502" s="356"/>
      <c r="D502" s="330"/>
      <c r="E502" s="157"/>
      <c r="F502" s="12"/>
    </row>
    <row r="503">
      <c r="A503" s="225"/>
      <c r="B503" s="213"/>
      <c r="C503" s="356"/>
      <c r="D503" s="330"/>
      <c r="E503" s="157"/>
      <c r="F503" s="12"/>
    </row>
    <row r="504">
      <c r="A504" s="225"/>
      <c r="B504" s="213"/>
      <c r="C504" s="356"/>
      <c r="D504" s="330"/>
      <c r="E504" s="157"/>
      <c r="F504" s="12"/>
    </row>
    <row r="505">
      <c r="A505" s="225"/>
      <c r="B505" s="213"/>
      <c r="C505" s="356"/>
      <c r="D505" s="330"/>
      <c r="E505" s="157"/>
      <c r="F505" s="12"/>
    </row>
    <row r="506">
      <c r="A506" s="225"/>
      <c r="B506" s="213"/>
      <c r="C506" s="356"/>
      <c r="D506" s="330"/>
      <c r="E506" s="157"/>
      <c r="F506" s="12"/>
    </row>
    <row r="507">
      <c r="A507" s="225"/>
      <c r="B507" s="213"/>
      <c r="C507" s="356"/>
      <c r="D507" s="330"/>
      <c r="E507" s="157"/>
      <c r="F507" s="12"/>
    </row>
    <row r="508">
      <c r="A508" s="225"/>
      <c r="B508" s="213"/>
      <c r="C508" s="356"/>
      <c r="D508" s="330"/>
      <c r="E508" s="157"/>
      <c r="F508" s="12"/>
    </row>
    <row r="509">
      <c r="A509" s="225"/>
      <c r="B509" s="213"/>
      <c r="C509" s="356"/>
      <c r="D509" s="330"/>
      <c r="E509" s="157"/>
      <c r="F509" s="12"/>
    </row>
    <row r="510">
      <c r="A510" s="225"/>
      <c r="B510" s="213"/>
      <c r="C510" s="356"/>
      <c r="D510" s="330"/>
      <c r="E510" s="157"/>
      <c r="F510" s="12"/>
    </row>
    <row r="511">
      <c r="A511" s="225"/>
      <c r="B511" s="213"/>
      <c r="C511" s="356"/>
      <c r="D511" s="330"/>
      <c r="E511" s="157"/>
      <c r="F511" s="12"/>
    </row>
    <row r="512">
      <c r="A512" s="225"/>
      <c r="B512" s="213"/>
      <c r="C512" s="356"/>
      <c r="D512" s="330"/>
      <c r="E512" s="157"/>
      <c r="F512" s="12"/>
    </row>
    <row r="513">
      <c r="A513" s="225"/>
      <c r="B513" s="213"/>
      <c r="C513" s="356"/>
      <c r="D513" s="330"/>
      <c r="E513" s="157"/>
      <c r="F513" s="12"/>
    </row>
    <row r="514">
      <c r="A514" s="225"/>
      <c r="B514" s="213"/>
      <c r="C514" s="356"/>
      <c r="D514" s="330"/>
      <c r="E514" s="157"/>
      <c r="F514" s="12"/>
    </row>
    <row r="515">
      <c r="A515" s="225"/>
      <c r="B515" s="213"/>
      <c r="C515" s="356"/>
      <c r="D515" s="330"/>
      <c r="E515" s="157"/>
      <c r="F515" s="12"/>
    </row>
    <row r="516">
      <c r="A516" s="225"/>
      <c r="B516" s="213"/>
      <c r="C516" s="356"/>
      <c r="D516" s="330"/>
      <c r="E516" s="157"/>
      <c r="F516" s="12"/>
    </row>
    <row r="517">
      <c r="A517" s="225"/>
      <c r="B517" s="213"/>
      <c r="C517" s="356"/>
      <c r="D517" s="330"/>
      <c r="E517" s="157"/>
      <c r="F517" s="12"/>
    </row>
    <row r="518">
      <c r="A518" s="225"/>
      <c r="B518" s="213"/>
      <c r="C518" s="356"/>
      <c r="D518" s="330"/>
      <c r="E518" s="157"/>
      <c r="F518" s="12"/>
    </row>
    <row r="519">
      <c r="A519" s="225"/>
      <c r="B519" s="213"/>
      <c r="C519" s="356"/>
      <c r="D519" s="330"/>
      <c r="E519" s="157"/>
      <c r="F519" s="12"/>
    </row>
    <row r="520">
      <c r="A520" s="225"/>
      <c r="B520" s="213"/>
      <c r="C520" s="356"/>
      <c r="D520" s="330"/>
      <c r="E520" s="157"/>
      <c r="F520" s="12"/>
    </row>
    <row r="521">
      <c r="A521" s="225"/>
      <c r="B521" s="213"/>
      <c r="C521" s="356"/>
      <c r="D521" s="330"/>
      <c r="E521" s="157"/>
      <c r="F521" s="12"/>
    </row>
    <row r="522">
      <c r="A522" s="225"/>
      <c r="B522" s="213"/>
      <c r="C522" s="356"/>
      <c r="D522" s="330"/>
      <c r="E522" s="157"/>
      <c r="F522" s="12"/>
    </row>
    <row r="523">
      <c r="A523" s="225"/>
      <c r="B523" s="213"/>
      <c r="C523" s="356"/>
      <c r="D523" s="330"/>
      <c r="E523" s="157"/>
      <c r="F523" s="12"/>
    </row>
    <row r="524">
      <c r="A524" s="225"/>
      <c r="B524" s="213"/>
      <c r="C524" s="356"/>
      <c r="D524" s="330"/>
      <c r="E524" s="157"/>
      <c r="F524" s="12"/>
    </row>
    <row r="525">
      <c r="A525" s="225"/>
      <c r="B525" s="213"/>
      <c r="C525" s="356"/>
      <c r="D525" s="330"/>
      <c r="E525" s="157"/>
      <c r="F525" s="12"/>
    </row>
    <row r="526">
      <c r="A526" s="225"/>
      <c r="B526" s="213"/>
      <c r="C526" s="356"/>
      <c r="D526" s="330"/>
      <c r="E526" s="157"/>
      <c r="F526" s="12"/>
    </row>
    <row r="527">
      <c r="A527" s="225"/>
      <c r="B527" s="213"/>
      <c r="C527" s="356"/>
      <c r="D527" s="330"/>
      <c r="E527" s="157"/>
      <c r="F527" s="12"/>
    </row>
    <row r="528">
      <c r="A528" s="225"/>
      <c r="B528" s="213"/>
      <c r="C528" s="356"/>
      <c r="D528" s="330"/>
      <c r="E528" s="157"/>
      <c r="F528" s="12"/>
    </row>
    <row r="529">
      <c r="A529" s="225"/>
      <c r="B529" s="213"/>
      <c r="C529" s="356"/>
      <c r="D529" s="330"/>
      <c r="E529" s="157"/>
      <c r="F529" s="12"/>
    </row>
    <row r="530">
      <c r="A530" s="225"/>
      <c r="B530" s="213"/>
      <c r="C530" s="356"/>
      <c r="D530" s="330"/>
      <c r="E530" s="157"/>
      <c r="F530" s="12"/>
    </row>
    <row r="531">
      <c r="A531" s="225"/>
      <c r="B531" s="213"/>
      <c r="C531" s="356"/>
      <c r="D531" s="330"/>
      <c r="E531" s="157"/>
      <c r="F531" s="12"/>
    </row>
    <row r="532">
      <c r="A532" s="225"/>
      <c r="B532" s="213"/>
      <c r="C532" s="356"/>
      <c r="D532" s="330"/>
      <c r="E532" s="157"/>
      <c r="F532" s="12"/>
    </row>
    <row r="533">
      <c r="A533" s="225"/>
      <c r="B533" s="213"/>
      <c r="C533" s="356"/>
      <c r="D533" s="330"/>
      <c r="E533" s="157"/>
      <c r="F533" s="12"/>
    </row>
    <row r="534">
      <c r="A534" s="225"/>
      <c r="B534" s="213"/>
      <c r="C534" s="356"/>
      <c r="D534" s="330"/>
      <c r="E534" s="157"/>
      <c r="F534" s="12"/>
    </row>
    <row r="535">
      <c r="A535" s="225"/>
      <c r="B535" s="213"/>
      <c r="C535" s="356"/>
      <c r="D535" s="330"/>
      <c r="E535" s="157"/>
      <c r="F535" s="12"/>
    </row>
    <row r="536">
      <c r="A536" s="225"/>
      <c r="B536" s="213"/>
      <c r="C536" s="356"/>
      <c r="D536" s="330"/>
      <c r="E536" s="157"/>
      <c r="F536" s="12"/>
    </row>
    <row r="537">
      <c r="A537" s="225"/>
      <c r="B537" s="213"/>
      <c r="C537" s="356"/>
      <c r="D537" s="330"/>
      <c r="E537" s="157"/>
      <c r="F537" s="12"/>
    </row>
    <row r="538">
      <c r="A538" s="225"/>
      <c r="B538" s="213"/>
      <c r="C538" s="356"/>
      <c r="D538" s="330"/>
      <c r="E538" s="157"/>
      <c r="F538" s="12"/>
    </row>
    <row r="539">
      <c r="A539" s="225"/>
      <c r="B539" s="213"/>
      <c r="C539" s="356"/>
      <c r="D539" s="330"/>
      <c r="E539" s="157"/>
      <c r="F539" s="12"/>
    </row>
    <row r="540">
      <c r="A540" s="225"/>
      <c r="B540" s="213"/>
      <c r="C540" s="356"/>
      <c r="D540" s="330"/>
      <c r="E540" s="157"/>
      <c r="F540" s="12"/>
    </row>
    <row r="541">
      <c r="A541" s="225"/>
      <c r="B541" s="213"/>
      <c r="C541" s="356"/>
      <c r="D541" s="330"/>
      <c r="E541" s="157"/>
      <c r="F541" s="12"/>
    </row>
    <row r="542">
      <c r="A542" s="225"/>
      <c r="B542" s="213"/>
      <c r="C542" s="356"/>
      <c r="D542" s="330"/>
      <c r="E542" s="157"/>
      <c r="F542" s="12"/>
    </row>
    <row r="543">
      <c r="A543" s="225"/>
      <c r="B543" s="213"/>
      <c r="C543" s="356"/>
      <c r="D543" s="330"/>
      <c r="E543" s="157"/>
      <c r="F543" s="12"/>
    </row>
    <row r="544">
      <c r="A544" s="225"/>
      <c r="B544" s="213"/>
      <c r="C544" s="356"/>
      <c r="D544" s="330"/>
      <c r="E544" s="157"/>
      <c r="F544" s="12"/>
    </row>
    <row r="545">
      <c r="A545" s="225"/>
      <c r="B545" s="213"/>
      <c r="C545" s="356"/>
      <c r="D545" s="330"/>
      <c r="E545" s="157"/>
      <c r="F545" s="12"/>
    </row>
    <row r="546">
      <c r="A546" s="225"/>
      <c r="B546" s="213"/>
      <c r="C546" s="356"/>
      <c r="D546" s="330"/>
      <c r="E546" s="157"/>
      <c r="F546" s="12"/>
    </row>
    <row r="547">
      <c r="A547" s="225"/>
      <c r="B547" s="213"/>
      <c r="C547" s="356"/>
      <c r="D547" s="330"/>
      <c r="E547" s="157"/>
      <c r="F547" s="12"/>
    </row>
    <row r="548">
      <c r="A548" s="225"/>
      <c r="B548" s="213"/>
      <c r="C548" s="356"/>
      <c r="D548" s="330"/>
      <c r="E548" s="157"/>
      <c r="F548" s="12"/>
    </row>
    <row r="549">
      <c r="A549" s="225"/>
      <c r="B549" s="213"/>
      <c r="C549" s="356"/>
      <c r="D549" s="330"/>
      <c r="E549" s="157"/>
      <c r="F549" s="12"/>
    </row>
    <row r="550">
      <c r="A550" s="225"/>
      <c r="B550" s="213"/>
      <c r="C550" s="356"/>
      <c r="D550" s="330"/>
      <c r="E550" s="157"/>
      <c r="F550" s="12"/>
    </row>
    <row r="551">
      <c r="A551" s="225"/>
      <c r="B551" s="213"/>
      <c r="C551" s="356"/>
      <c r="D551" s="330"/>
      <c r="E551" s="157"/>
      <c r="F551" s="12"/>
    </row>
    <row r="552">
      <c r="A552" s="225"/>
      <c r="B552" s="213"/>
      <c r="C552" s="356"/>
      <c r="D552" s="330"/>
      <c r="E552" s="157"/>
      <c r="F552" s="12"/>
    </row>
    <row r="553">
      <c r="A553" s="225"/>
      <c r="B553" s="213"/>
      <c r="C553" s="356"/>
      <c r="D553" s="330"/>
      <c r="E553" s="157"/>
      <c r="F553" s="12"/>
    </row>
    <row r="554">
      <c r="A554" s="225"/>
      <c r="B554" s="213"/>
      <c r="C554" s="356"/>
      <c r="D554" s="330"/>
      <c r="E554" s="157"/>
      <c r="F554" s="12"/>
    </row>
    <row r="555">
      <c r="A555" s="225"/>
      <c r="B555" s="213"/>
      <c r="C555" s="356"/>
      <c r="D555" s="330"/>
      <c r="E555" s="157"/>
      <c r="F555" s="12"/>
    </row>
    <row r="556">
      <c r="A556" s="225"/>
      <c r="B556" s="213"/>
      <c r="C556" s="356"/>
      <c r="D556" s="330"/>
      <c r="E556" s="157"/>
      <c r="F556" s="12"/>
    </row>
    <row r="557">
      <c r="A557" s="225"/>
      <c r="B557" s="213"/>
      <c r="C557" s="356"/>
      <c r="D557" s="330"/>
      <c r="E557" s="157"/>
      <c r="F557" s="12"/>
    </row>
    <row r="558">
      <c r="A558" s="225"/>
      <c r="B558" s="213"/>
      <c r="C558" s="356"/>
      <c r="D558" s="330"/>
      <c r="E558" s="157"/>
      <c r="F558" s="12"/>
    </row>
    <row r="559">
      <c r="A559" s="225"/>
      <c r="B559" s="213"/>
      <c r="C559" s="356"/>
      <c r="D559" s="330"/>
      <c r="E559" s="157"/>
      <c r="F559" s="12"/>
    </row>
    <row r="560">
      <c r="A560" s="225"/>
      <c r="B560" s="213"/>
      <c r="C560" s="356"/>
      <c r="D560" s="330"/>
      <c r="E560" s="157"/>
      <c r="F560" s="12"/>
    </row>
    <row r="561">
      <c r="A561" s="225"/>
      <c r="B561" s="213"/>
      <c r="C561" s="356"/>
      <c r="D561" s="330"/>
      <c r="E561" s="157"/>
      <c r="F561" s="12"/>
    </row>
    <row r="562">
      <c r="A562" s="225"/>
      <c r="B562" s="213"/>
      <c r="C562" s="356"/>
      <c r="D562" s="330"/>
      <c r="E562" s="157"/>
      <c r="F562" s="12"/>
    </row>
    <row r="563">
      <c r="A563" s="225"/>
      <c r="B563" s="213"/>
      <c r="C563" s="356"/>
      <c r="D563" s="330"/>
      <c r="E563" s="157"/>
      <c r="F563" s="12"/>
    </row>
    <row r="564">
      <c r="A564" s="225"/>
      <c r="B564" s="213"/>
      <c r="C564" s="356"/>
      <c r="D564" s="330"/>
      <c r="E564" s="157"/>
      <c r="F564" s="12"/>
    </row>
    <row r="565">
      <c r="A565" s="225"/>
      <c r="B565" s="213"/>
      <c r="C565" s="356"/>
      <c r="D565" s="330"/>
      <c r="E565" s="157"/>
      <c r="F565" s="12"/>
    </row>
    <row r="566">
      <c r="A566" s="225"/>
      <c r="B566" s="213"/>
      <c r="C566" s="356"/>
      <c r="D566" s="330"/>
      <c r="E566" s="157"/>
      <c r="F566" s="12"/>
    </row>
    <row r="567">
      <c r="A567" s="225"/>
      <c r="B567" s="213"/>
      <c r="C567" s="356"/>
      <c r="D567" s="330"/>
      <c r="E567" s="157"/>
      <c r="F567" s="12"/>
    </row>
    <row r="568">
      <c r="A568" s="225"/>
      <c r="B568" s="213"/>
      <c r="C568" s="356"/>
      <c r="D568" s="330"/>
      <c r="E568" s="157"/>
      <c r="F568" s="12"/>
    </row>
    <row r="569">
      <c r="A569" s="225"/>
      <c r="B569" s="213"/>
      <c r="C569" s="356"/>
      <c r="D569" s="330"/>
      <c r="E569" s="157"/>
      <c r="F569" s="12"/>
    </row>
    <row r="570">
      <c r="A570" s="225"/>
      <c r="B570" s="213"/>
      <c r="C570" s="356"/>
      <c r="D570" s="330"/>
      <c r="E570" s="157"/>
      <c r="F570" s="12"/>
    </row>
    <row r="571">
      <c r="A571" s="225"/>
      <c r="B571" s="213"/>
      <c r="C571" s="356"/>
      <c r="D571" s="330"/>
      <c r="E571" s="157"/>
      <c r="F571" s="12"/>
    </row>
    <row r="572">
      <c r="A572" s="225"/>
      <c r="B572" s="213"/>
      <c r="C572" s="356"/>
      <c r="D572" s="330"/>
      <c r="E572" s="157"/>
      <c r="F572" s="12"/>
    </row>
    <row r="573">
      <c r="A573" s="225"/>
      <c r="B573" s="213"/>
      <c r="C573" s="356"/>
      <c r="D573" s="330"/>
      <c r="E573" s="157"/>
      <c r="F573" s="12"/>
    </row>
    <row r="574">
      <c r="A574" s="225"/>
      <c r="B574" s="213"/>
      <c r="C574" s="356"/>
      <c r="D574" s="330"/>
      <c r="E574" s="157"/>
      <c r="F574" s="12"/>
    </row>
    <row r="575">
      <c r="A575" s="225"/>
      <c r="B575" s="213"/>
      <c r="C575" s="356"/>
      <c r="D575" s="330"/>
      <c r="E575" s="157"/>
      <c r="F575" s="12"/>
    </row>
    <row r="576">
      <c r="A576" s="225"/>
      <c r="B576" s="213"/>
      <c r="C576" s="356"/>
      <c r="D576" s="330"/>
      <c r="E576" s="157"/>
      <c r="F576" s="12"/>
    </row>
    <row r="577">
      <c r="A577" s="225"/>
      <c r="B577" s="213"/>
      <c r="C577" s="356"/>
      <c r="D577" s="330"/>
      <c r="E577" s="157"/>
      <c r="F577" s="12"/>
    </row>
    <row r="578">
      <c r="A578" s="225"/>
      <c r="B578" s="213"/>
      <c r="C578" s="356"/>
      <c r="D578" s="330"/>
      <c r="E578" s="157"/>
      <c r="F578" s="12"/>
    </row>
    <row r="579">
      <c r="A579" s="225"/>
      <c r="B579" s="213"/>
      <c r="C579" s="356"/>
      <c r="D579" s="330"/>
      <c r="E579" s="157"/>
      <c r="F579" s="12"/>
    </row>
    <row r="580">
      <c r="A580" s="225"/>
      <c r="B580" s="213"/>
      <c r="C580" s="356"/>
      <c r="D580" s="330"/>
      <c r="E580" s="157"/>
      <c r="F580" s="12"/>
    </row>
    <row r="581">
      <c r="A581" s="225"/>
      <c r="B581" s="213"/>
      <c r="C581" s="356"/>
      <c r="D581" s="330"/>
      <c r="E581" s="157"/>
      <c r="F581" s="12"/>
    </row>
    <row r="582">
      <c r="A582" s="225"/>
      <c r="B582" s="213"/>
      <c r="C582" s="356"/>
      <c r="D582" s="330"/>
      <c r="E582" s="157"/>
      <c r="F582" s="12"/>
    </row>
    <row r="583">
      <c r="A583" s="225"/>
      <c r="B583" s="213"/>
      <c r="C583" s="356"/>
      <c r="D583" s="330"/>
      <c r="E583" s="157"/>
      <c r="F583" s="12"/>
    </row>
    <row r="584">
      <c r="A584" s="225"/>
      <c r="B584" s="213"/>
      <c r="C584" s="356"/>
      <c r="D584" s="330"/>
      <c r="E584" s="157"/>
      <c r="F584" s="12"/>
    </row>
    <row r="585">
      <c r="A585" s="225"/>
      <c r="B585" s="213"/>
      <c r="C585" s="356"/>
      <c r="D585" s="330"/>
      <c r="E585" s="157"/>
      <c r="F585" s="12"/>
    </row>
    <row r="586">
      <c r="A586" s="225"/>
      <c r="B586" s="213"/>
      <c r="C586" s="356"/>
      <c r="D586" s="330"/>
      <c r="E586" s="157"/>
      <c r="F586" s="12"/>
    </row>
    <row r="587">
      <c r="A587" s="225"/>
      <c r="B587" s="213"/>
      <c r="C587" s="356"/>
      <c r="D587" s="330"/>
      <c r="E587" s="157"/>
      <c r="F587" s="12"/>
    </row>
    <row r="588">
      <c r="A588" s="225"/>
      <c r="B588" s="213"/>
      <c r="C588" s="356"/>
      <c r="D588" s="330"/>
      <c r="E588" s="157"/>
      <c r="F588" s="12"/>
    </row>
    <row r="589">
      <c r="A589" s="225"/>
      <c r="B589" s="213"/>
      <c r="C589" s="356"/>
      <c r="D589" s="330"/>
      <c r="E589" s="157"/>
      <c r="F589" s="12"/>
    </row>
    <row r="590">
      <c r="A590" s="225"/>
      <c r="B590" s="213"/>
      <c r="C590" s="356"/>
      <c r="D590" s="330"/>
      <c r="E590" s="157"/>
      <c r="F590" s="12"/>
    </row>
    <row r="591">
      <c r="A591" s="225"/>
      <c r="B591" s="213"/>
      <c r="C591" s="356"/>
      <c r="D591" s="330"/>
      <c r="E591" s="157"/>
      <c r="F591" s="12"/>
    </row>
    <row r="592">
      <c r="A592" s="225"/>
      <c r="B592" s="213"/>
      <c r="C592" s="356"/>
      <c r="D592" s="330"/>
      <c r="E592" s="157"/>
      <c r="F592" s="12"/>
    </row>
    <row r="593">
      <c r="A593" s="225"/>
      <c r="B593" s="213"/>
      <c r="C593" s="356"/>
      <c r="D593" s="330"/>
      <c r="E593" s="157"/>
      <c r="F593" s="12"/>
    </row>
    <row r="594">
      <c r="A594" s="225"/>
      <c r="B594" s="213"/>
      <c r="C594" s="356"/>
      <c r="D594" s="330"/>
      <c r="E594" s="157"/>
      <c r="F594" s="12"/>
    </row>
    <row r="595">
      <c r="A595" s="225"/>
      <c r="B595" s="213"/>
      <c r="C595" s="356"/>
      <c r="D595" s="330"/>
      <c r="E595" s="157"/>
      <c r="F595" s="12"/>
    </row>
    <row r="596">
      <c r="A596" s="225"/>
      <c r="B596" s="213"/>
      <c r="C596" s="356"/>
      <c r="D596" s="330"/>
      <c r="E596" s="157"/>
      <c r="F596" s="12"/>
    </row>
    <row r="597">
      <c r="A597" s="225"/>
      <c r="B597" s="213"/>
      <c r="C597" s="356"/>
      <c r="D597" s="330"/>
      <c r="E597" s="157"/>
      <c r="F597" s="12"/>
    </row>
    <row r="598">
      <c r="A598" s="225"/>
      <c r="B598" s="213"/>
      <c r="C598" s="356"/>
      <c r="D598" s="330"/>
      <c r="E598" s="157"/>
      <c r="F598" s="12"/>
    </row>
    <row r="599">
      <c r="A599" s="225"/>
      <c r="B599" s="213"/>
      <c r="C599" s="356"/>
      <c r="D599" s="330"/>
      <c r="E599" s="157"/>
      <c r="F599" s="12"/>
    </row>
    <row r="600">
      <c r="A600" s="225"/>
      <c r="B600" s="213"/>
      <c r="C600" s="356"/>
      <c r="D600" s="330"/>
      <c r="E600" s="157"/>
      <c r="F600" s="12"/>
    </row>
    <row r="601">
      <c r="A601" s="225"/>
      <c r="B601" s="213"/>
      <c r="C601" s="356"/>
      <c r="D601" s="330"/>
      <c r="E601" s="157"/>
      <c r="F601" s="12"/>
    </row>
    <row r="602">
      <c r="A602" s="225"/>
      <c r="B602" s="213"/>
      <c r="C602" s="356"/>
      <c r="D602" s="330"/>
      <c r="E602" s="157"/>
      <c r="F602" s="12"/>
    </row>
    <row r="603">
      <c r="A603" s="225"/>
      <c r="B603" s="213"/>
      <c r="C603" s="356"/>
      <c r="D603" s="330"/>
      <c r="E603" s="157"/>
      <c r="F603" s="12"/>
    </row>
    <row r="604">
      <c r="A604" s="225"/>
      <c r="B604" s="213"/>
      <c r="C604" s="356"/>
      <c r="D604" s="330"/>
      <c r="E604" s="157"/>
      <c r="F604" s="12"/>
    </row>
    <row r="605">
      <c r="A605" s="225"/>
      <c r="B605" s="213"/>
      <c r="C605" s="356"/>
      <c r="D605" s="330"/>
      <c r="E605" s="157"/>
      <c r="F605" s="12"/>
    </row>
    <row r="606">
      <c r="A606" s="225"/>
      <c r="B606" s="213"/>
      <c r="C606" s="356"/>
      <c r="D606" s="330"/>
      <c r="E606" s="157"/>
      <c r="F606" s="12"/>
    </row>
    <row r="607">
      <c r="A607" s="225"/>
      <c r="B607" s="213"/>
      <c r="C607" s="356"/>
      <c r="D607" s="330"/>
      <c r="E607" s="157"/>
      <c r="F607" s="12"/>
    </row>
    <row r="608">
      <c r="A608" s="225"/>
      <c r="B608" s="213"/>
      <c r="C608" s="356"/>
      <c r="D608" s="330"/>
      <c r="E608" s="157"/>
      <c r="F608" s="12"/>
    </row>
    <row r="609">
      <c r="A609" s="225"/>
      <c r="B609" s="213"/>
      <c r="C609" s="356"/>
      <c r="D609" s="330"/>
      <c r="E609" s="157"/>
      <c r="F609" s="12"/>
    </row>
    <row r="610">
      <c r="A610" s="225"/>
      <c r="B610" s="213"/>
      <c r="C610" s="356"/>
      <c r="D610" s="330"/>
      <c r="E610" s="157"/>
      <c r="F610" s="12"/>
    </row>
    <row r="611">
      <c r="A611" s="225"/>
      <c r="B611" s="213"/>
      <c r="C611" s="356"/>
      <c r="D611" s="330"/>
      <c r="E611" s="157"/>
      <c r="F611" s="12"/>
    </row>
    <row r="612">
      <c r="A612" s="225"/>
      <c r="B612" s="213"/>
      <c r="C612" s="356"/>
      <c r="D612" s="330"/>
      <c r="E612" s="157"/>
      <c r="F612" s="12"/>
    </row>
    <row r="613">
      <c r="A613" s="225"/>
      <c r="B613" s="213"/>
      <c r="C613" s="356"/>
      <c r="D613" s="330"/>
      <c r="E613" s="157"/>
      <c r="F613" s="12"/>
    </row>
    <row r="614">
      <c r="A614" s="225"/>
      <c r="B614" s="213"/>
      <c r="C614" s="356"/>
      <c r="D614" s="330"/>
      <c r="E614" s="157"/>
      <c r="F614" s="12"/>
    </row>
    <row r="615">
      <c r="A615" s="225"/>
      <c r="B615" s="213"/>
      <c r="C615" s="356"/>
      <c r="D615" s="330"/>
      <c r="E615" s="157"/>
      <c r="F615" s="12"/>
    </row>
    <row r="616">
      <c r="A616" s="225"/>
      <c r="B616" s="213"/>
      <c r="C616" s="356"/>
      <c r="D616" s="330"/>
      <c r="E616" s="157"/>
      <c r="F616" s="12"/>
    </row>
    <row r="617">
      <c r="A617" s="225"/>
      <c r="B617" s="213"/>
      <c r="C617" s="356"/>
      <c r="D617" s="330"/>
      <c r="E617" s="157"/>
      <c r="F617" s="12"/>
    </row>
    <row r="618">
      <c r="A618" s="225"/>
      <c r="B618" s="213"/>
      <c r="C618" s="356"/>
      <c r="D618" s="330"/>
      <c r="E618" s="157"/>
      <c r="F618" s="12"/>
    </row>
    <row r="619">
      <c r="A619" s="225"/>
      <c r="B619" s="213"/>
      <c r="C619" s="356"/>
      <c r="D619" s="330"/>
      <c r="E619" s="157"/>
      <c r="F619" s="12"/>
    </row>
    <row r="620">
      <c r="A620" s="225"/>
      <c r="B620" s="213"/>
      <c r="C620" s="356"/>
      <c r="D620" s="330"/>
      <c r="E620" s="157"/>
      <c r="F620" s="12"/>
    </row>
    <row r="621">
      <c r="A621" s="225"/>
      <c r="B621" s="213"/>
      <c r="C621" s="356"/>
      <c r="D621" s="330"/>
      <c r="E621" s="157"/>
      <c r="F621" s="12"/>
    </row>
    <row r="622">
      <c r="A622" s="225"/>
      <c r="B622" s="213"/>
      <c r="C622" s="356"/>
      <c r="D622" s="330"/>
      <c r="E622" s="157"/>
      <c r="F622" s="12"/>
    </row>
    <row r="623">
      <c r="A623" s="225"/>
      <c r="B623" s="213"/>
      <c r="C623" s="356"/>
      <c r="D623" s="330"/>
      <c r="E623" s="157"/>
      <c r="F623" s="12"/>
    </row>
    <row r="624">
      <c r="A624" s="225"/>
      <c r="B624" s="213"/>
      <c r="C624" s="356"/>
      <c r="D624" s="330"/>
      <c r="E624" s="157"/>
      <c r="F624" s="12"/>
    </row>
    <row r="625">
      <c r="A625" s="225"/>
      <c r="B625" s="213"/>
      <c r="C625" s="356"/>
      <c r="D625" s="330"/>
      <c r="E625" s="157"/>
      <c r="F625" s="12"/>
    </row>
    <row r="626">
      <c r="A626" s="225"/>
      <c r="B626" s="213"/>
      <c r="C626" s="356"/>
      <c r="D626" s="330"/>
      <c r="E626" s="157"/>
      <c r="F626" s="12"/>
    </row>
    <row r="627">
      <c r="A627" s="225"/>
      <c r="B627" s="213"/>
      <c r="C627" s="356"/>
      <c r="D627" s="330"/>
      <c r="E627" s="157"/>
      <c r="F627" s="12"/>
    </row>
    <row r="628">
      <c r="A628" s="225"/>
      <c r="B628" s="213"/>
      <c r="C628" s="356"/>
      <c r="D628" s="330"/>
      <c r="E628" s="157"/>
      <c r="F628" s="12"/>
    </row>
    <row r="629">
      <c r="A629" s="225"/>
      <c r="B629" s="213"/>
      <c r="C629" s="356"/>
      <c r="D629" s="330"/>
      <c r="E629" s="157"/>
      <c r="F629" s="12"/>
    </row>
    <row r="630">
      <c r="A630" s="225"/>
      <c r="B630" s="213"/>
      <c r="C630" s="356"/>
      <c r="D630" s="330"/>
      <c r="E630" s="157"/>
      <c r="F630" s="12"/>
    </row>
    <row r="631">
      <c r="A631" s="225"/>
      <c r="B631" s="213"/>
      <c r="C631" s="356"/>
      <c r="D631" s="330"/>
      <c r="E631" s="157"/>
      <c r="F631" s="12"/>
    </row>
    <row r="632">
      <c r="A632" s="225"/>
      <c r="B632" s="213"/>
      <c r="C632" s="356"/>
      <c r="D632" s="330"/>
      <c r="E632" s="157"/>
      <c r="F632" s="12"/>
    </row>
    <row r="633">
      <c r="A633" s="225"/>
      <c r="B633" s="213"/>
      <c r="C633" s="356"/>
      <c r="D633" s="330"/>
      <c r="E633" s="157"/>
      <c r="F633" s="12"/>
    </row>
    <row r="634">
      <c r="A634" s="225"/>
      <c r="B634" s="213"/>
      <c r="C634" s="356"/>
      <c r="D634" s="330"/>
      <c r="E634" s="157"/>
      <c r="F634" s="12"/>
    </row>
    <row r="635">
      <c r="A635" s="225"/>
      <c r="B635" s="213"/>
      <c r="C635" s="356"/>
      <c r="D635" s="330"/>
      <c r="E635" s="157"/>
      <c r="F635" s="12"/>
    </row>
    <row r="636">
      <c r="A636" s="225"/>
      <c r="B636" s="213"/>
      <c r="C636" s="356"/>
      <c r="D636" s="330"/>
      <c r="E636" s="157"/>
      <c r="F636" s="12"/>
    </row>
    <row r="637">
      <c r="A637" s="225"/>
      <c r="B637" s="213"/>
      <c r="C637" s="356"/>
      <c r="D637" s="330"/>
      <c r="E637" s="157"/>
      <c r="F637" s="12"/>
    </row>
    <row r="638">
      <c r="A638" s="225"/>
      <c r="B638" s="213"/>
      <c r="C638" s="356"/>
      <c r="D638" s="330"/>
      <c r="E638" s="157"/>
      <c r="F638" s="12"/>
    </row>
    <row r="639">
      <c r="A639" s="225"/>
      <c r="B639" s="213"/>
      <c r="C639" s="356"/>
      <c r="D639" s="330"/>
      <c r="E639" s="157"/>
      <c r="F639" s="12"/>
    </row>
    <row r="640">
      <c r="A640" s="225"/>
      <c r="B640" s="213"/>
      <c r="C640" s="356"/>
      <c r="D640" s="330"/>
      <c r="E640" s="157"/>
      <c r="F640" s="12"/>
    </row>
    <row r="641">
      <c r="A641" s="225"/>
      <c r="B641" s="213"/>
      <c r="C641" s="356"/>
      <c r="D641" s="330"/>
      <c r="E641" s="157"/>
      <c r="F641" s="12"/>
    </row>
    <row r="642">
      <c r="A642" s="225"/>
      <c r="B642" s="213"/>
      <c r="C642" s="356"/>
      <c r="D642" s="330"/>
      <c r="E642" s="157"/>
      <c r="F642" s="12"/>
    </row>
    <row r="643">
      <c r="A643" s="225"/>
      <c r="B643" s="213"/>
      <c r="C643" s="356"/>
      <c r="D643" s="330"/>
      <c r="E643" s="157"/>
      <c r="F643" s="12"/>
    </row>
    <row r="644">
      <c r="A644" s="225"/>
      <c r="B644" s="213"/>
      <c r="C644" s="356"/>
      <c r="D644" s="330"/>
      <c r="E644" s="157"/>
      <c r="F644" s="12"/>
    </row>
    <row r="645">
      <c r="A645" s="225"/>
      <c r="B645" s="213"/>
      <c r="C645" s="356"/>
      <c r="D645" s="330"/>
      <c r="E645" s="157"/>
      <c r="F645" s="12"/>
    </row>
    <row r="646">
      <c r="A646" s="225"/>
      <c r="B646" s="213"/>
      <c r="C646" s="356"/>
      <c r="D646" s="330"/>
      <c r="E646" s="157"/>
      <c r="F646" s="12"/>
    </row>
    <row r="647">
      <c r="A647" s="225"/>
      <c r="B647" s="213"/>
      <c r="C647" s="356"/>
      <c r="D647" s="330"/>
      <c r="E647" s="157"/>
      <c r="F647" s="12"/>
    </row>
    <row r="648">
      <c r="A648" s="225"/>
      <c r="B648" s="213"/>
      <c r="C648" s="356"/>
      <c r="D648" s="330"/>
      <c r="E648" s="157"/>
      <c r="F648" s="12"/>
    </row>
    <row r="649">
      <c r="A649" s="225"/>
      <c r="B649" s="213"/>
      <c r="C649" s="356"/>
      <c r="D649" s="330"/>
      <c r="E649" s="157"/>
      <c r="F649" s="12"/>
    </row>
    <row r="650">
      <c r="A650" s="225"/>
      <c r="B650" s="213"/>
      <c r="C650" s="356"/>
      <c r="D650" s="330"/>
      <c r="E650" s="157"/>
      <c r="F650" s="12"/>
    </row>
    <row r="651">
      <c r="A651" s="225"/>
      <c r="B651" s="213"/>
      <c r="C651" s="356"/>
      <c r="D651" s="330"/>
      <c r="E651" s="157"/>
      <c r="F651" s="12"/>
    </row>
    <row r="652">
      <c r="A652" s="225"/>
      <c r="B652" s="213"/>
      <c r="C652" s="356"/>
      <c r="D652" s="330"/>
      <c r="E652" s="157"/>
      <c r="F652" s="12"/>
    </row>
    <row r="653">
      <c r="A653" s="225"/>
      <c r="B653" s="213"/>
      <c r="C653" s="356"/>
      <c r="D653" s="330"/>
      <c r="E653" s="157"/>
      <c r="F653" s="12"/>
    </row>
    <row r="654">
      <c r="A654" s="225"/>
      <c r="B654" s="213"/>
      <c r="C654" s="356"/>
      <c r="D654" s="330"/>
      <c r="E654" s="157"/>
      <c r="F654" s="12"/>
    </row>
    <row r="655">
      <c r="A655" s="225"/>
      <c r="B655" s="213"/>
      <c r="C655" s="356"/>
      <c r="D655" s="330"/>
      <c r="E655" s="157"/>
      <c r="F655" s="12"/>
    </row>
    <row r="656">
      <c r="A656" s="225"/>
      <c r="B656" s="213"/>
      <c r="C656" s="356"/>
      <c r="D656" s="330"/>
      <c r="E656" s="157"/>
      <c r="F656" s="12"/>
    </row>
    <row r="657">
      <c r="A657" s="225"/>
      <c r="B657" s="213"/>
      <c r="C657" s="356"/>
      <c r="D657" s="330"/>
      <c r="E657" s="157"/>
      <c r="F657" s="12"/>
    </row>
    <row r="658">
      <c r="A658" s="225"/>
      <c r="B658" s="213"/>
      <c r="C658" s="356"/>
      <c r="D658" s="330"/>
      <c r="E658" s="157"/>
      <c r="F658" s="12"/>
    </row>
    <row r="659">
      <c r="A659" s="225"/>
      <c r="B659" s="213"/>
      <c r="C659" s="356"/>
      <c r="D659" s="330"/>
      <c r="E659" s="157"/>
      <c r="F659" s="12"/>
    </row>
    <row r="660">
      <c r="A660" s="225"/>
      <c r="B660" s="213"/>
      <c r="C660" s="356"/>
      <c r="D660" s="330"/>
      <c r="E660" s="157"/>
      <c r="F660" s="12"/>
    </row>
    <row r="661">
      <c r="A661" s="225"/>
      <c r="B661" s="213"/>
      <c r="C661" s="356"/>
      <c r="D661" s="330"/>
      <c r="E661" s="157"/>
      <c r="F661" s="12"/>
    </row>
    <row r="662">
      <c r="A662" s="225"/>
      <c r="B662" s="213"/>
      <c r="C662" s="356"/>
      <c r="D662" s="330"/>
      <c r="E662" s="157"/>
      <c r="F662" s="12"/>
    </row>
    <row r="663">
      <c r="A663" s="225"/>
      <c r="B663" s="213"/>
      <c r="C663" s="356"/>
      <c r="D663" s="330"/>
      <c r="E663" s="157"/>
      <c r="F663" s="12"/>
    </row>
    <row r="664">
      <c r="A664" s="225"/>
      <c r="B664" s="213"/>
      <c r="C664" s="356"/>
      <c r="D664" s="330"/>
      <c r="E664" s="157"/>
      <c r="F664" s="12"/>
    </row>
    <row r="665">
      <c r="A665" s="225"/>
      <c r="B665" s="213"/>
      <c r="C665" s="356"/>
      <c r="D665" s="330"/>
      <c r="E665" s="157"/>
      <c r="F665" s="12"/>
    </row>
    <row r="666">
      <c r="A666" s="225"/>
      <c r="B666" s="213"/>
      <c r="C666" s="356"/>
      <c r="D666" s="330"/>
      <c r="E666" s="157"/>
      <c r="F666" s="12"/>
    </row>
    <row r="667">
      <c r="A667" s="225"/>
      <c r="B667" s="213"/>
      <c r="C667" s="356"/>
      <c r="D667" s="330"/>
      <c r="E667" s="157"/>
      <c r="F667" s="12"/>
    </row>
    <row r="668">
      <c r="A668" s="225"/>
      <c r="B668" s="213"/>
      <c r="C668" s="356"/>
      <c r="D668" s="330"/>
      <c r="E668" s="157"/>
      <c r="F668" s="12"/>
    </row>
    <row r="669">
      <c r="A669" s="225"/>
      <c r="B669" s="213"/>
      <c r="C669" s="356"/>
      <c r="D669" s="330"/>
      <c r="E669" s="157"/>
      <c r="F669" s="12"/>
    </row>
    <row r="670">
      <c r="A670" s="225"/>
      <c r="B670" s="213"/>
      <c r="C670" s="356"/>
      <c r="D670" s="330"/>
      <c r="E670" s="157"/>
      <c r="F670" s="12"/>
    </row>
    <row r="671">
      <c r="A671" s="225"/>
      <c r="B671" s="213"/>
      <c r="C671" s="356"/>
      <c r="D671" s="330"/>
      <c r="E671" s="157"/>
      <c r="F671" s="12"/>
    </row>
    <row r="672">
      <c r="A672" s="225"/>
      <c r="B672" s="213"/>
      <c r="C672" s="356"/>
      <c r="D672" s="330"/>
      <c r="E672" s="157"/>
      <c r="F672" s="12"/>
    </row>
    <row r="673">
      <c r="A673" s="225"/>
      <c r="B673" s="213"/>
      <c r="C673" s="356"/>
      <c r="D673" s="330"/>
      <c r="E673" s="157"/>
      <c r="F673" s="12"/>
    </row>
    <row r="674">
      <c r="A674" s="225"/>
      <c r="B674" s="213"/>
      <c r="C674" s="356"/>
      <c r="D674" s="330"/>
      <c r="E674" s="157"/>
      <c r="F674" s="12"/>
    </row>
    <row r="675">
      <c r="A675" s="225"/>
      <c r="B675" s="213"/>
      <c r="C675" s="356"/>
      <c r="D675" s="330"/>
      <c r="E675" s="157"/>
      <c r="F675" s="12"/>
    </row>
    <row r="676">
      <c r="A676" s="225"/>
      <c r="B676" s="213"/>
      <c r="C676" s="356"/>
      <c r="D676" s="330"/>
      <c r="E676" s="157"/>
      <c r="F676" s="12"/>
    </row>
    <row r="677">
      <c r="A677" s="225"/>
      <c r="B677" s="213"/>
      <c r="C677" s="356"/>
      <c r="D677" s="330"/>
      <c r="E677" s="157"/>
      <c r="F677" s="12"/>
    </row>
    <row r="678">
      <c r="A678" s="225"/>
      <c r="B678" s="213"/>
      <c r="C678" s="356"/>
      <c r="D678" s="330"/>
      <c r="E678" s="157"/>
      <c r="F678" s="12"/>
    </row>
    <row r="679">
      <c r="A679" s="225"/>
      <c r="B679" s="213"/>
      <c r="C679" s="356"/>
      <c r="D679" s="330"/>
      <c r="E679" s="157"/>
      <c r="F679" s="12"/>
    </row>
    <row r="680">
      <c r="A680" s="225"/>
      <c r="B680" s="213"/>
      <c r="C680" s="356"/>
      <c r="D680" s="330"/>
      <c r="E680" s="157"/>
      <c r="F680" s="12"/>
    </row>
    <row r="681">
      <c r="A681" s="225"/>
      <c r="B681" s="213"/>
      <c r="C681" s="356"/>
      <c r="D681" s="330"/>
      <c r="E681" s="157"/>
      <c r="F681" s="12"/>
    </row>
    <row r="682">
      <c r="A682" s="225"/>
      <c r="B682" s="213"/>
      <c r="C682" s="356"/>
      <c r="D682" s="330"/>
      <c r="E682" s="157"/>
      <c r="F682" s="12"/>
    </row>
    <row r="683">
      <c r="A683" s="225"/>
      <c r="B683" s="213"/>
      <c r="C683" s="356"/>
      <c r="D683" s="330"/>
      <c r="E683" s="157"/>
      <c r="F683" s="12"/>
    </row>
    <row r="684">
      <c r="A684" s="225"/>
      <c r="B684" s="213"/>
      <c r="C684" s="356"/>
      <c r="D684" s="330"/>
      <c r="E684" s="157"/>
      <c r="F684" s="12"/>
    </row>
    <row r="685">
      <c r="A685" s="225"/>
      <c r="B685" s="213"/>
      <c r="C685" s="356"/>
      <c r="D685" s="330"/>
      <c r="E685" s="157"/>
      <c r="F685" s="12"/>
    </row>
    <row r="686">
      <c r="A686" s="225"/>
      <c r="B686" s="213"/>
      <c r="C686" s="356"/>
      <c r="D686" s="330"/>
      <c r="E686" s="157"/>
      <c r="F686" s="12"/>
    </row>
    <row r="687">
      <c r="A687" s="225"/>
      <c r="B687" s="213"/>
      <c r="C687" s="356"/>
      <c r="D687" s="330"/>
      <c r="E687" s="157"/>
      <c r="F687" s="12"/>
    </row>
    <row r="688">
      <c r="A688" s="225"/>
      <c r="B688" s="213"/>
      <c r="C688" s="356"/>
      <c r="D688" s="330"/>
      <c r="E688" s="157"/>
      <c r="F688" s="12"/>
    </row>
    <row r="689">
      <c r="A689" s="225"/>
      <c r="B689" s="213"/>
      <c r="C689" s="356"/>
      <c r="D689" s="330"/>
      <c r="E689" s="157"/>
      <c r="F689" s="12"/>
    </row>
    <row r="690">
      <c r="A690" s="225"/>
      <c r="B690" s="213"/>
      <c r="C690" s="356"/>
      <c r="D690" s="330"/>
      <c r="E690" s="157"/>
      <c r="F690" s="12"/>
    </row>
    <row r="691">
      <c r="A691" s="225"/>
      <c r="B691" s="213"/>
      <c r="C691" s="356"/>
      <c r="D691" s="330"/>
      <c r="E691" s="157"/>
      <c r="F691" s="12"/>
    </row>
    <row r="692">
      <c r="A692" s="225"/>
      <c r="B692" s="213"/>
      <c r="C692" s="356"/>
      <c r="D692" s="330"/>
      <c r="E692" s="157"/>
      <c r="F692" s="12"/>
    </row>
    <row r="693">
      <c r="A693" s="225"/>
      <c r="B693" s="213"/>
      <c r="C693" s="356"/>
      <c r="D693" s="330"/>
      <c r="E693" s="157"/>
      <c r="F693" s="12"/>
    </row>
    <row r="694">
      <c r="A694" s="225"/>
      <c r="B694" s="213"/>
      <c r="C694" s="356"/>
      <c r="D694" s="330"/>
      <c r="E694" s="157"/>
      <c r="F694" s="12"/>
    </row>
    <row r="695">
      <c r="A695" s="225"/>
      <c r="B695" s="213"/>
      <c r="C695" s="356"/>
      <c r="D695" s="330"/>
      <c r="E695" s="157"/>
      <c r="F695" s="12"/>
    </row>
    <row r="696">
      <c r="A696" s="225"/>
      <c r="B696" s="213"/>
      <c r="C696" s="356"/>
      <c r="D696" s="330"/>
      <c r="E696" s="157"/>
      <c r="F696" s="12"/>
    </row>
    <row r="697">
      <c r="A697" s="225"/>
      <c r="B697" s="213"/>
      <c r="C697" s="356"/>
      <c r="D697" s="330"/>
      <c r="E697" s="157"/>
      <c r="F697" s="12"/>
    </row>
    <row r="698">
      <c r="A698" s="225"/>
      <c r="B698" s="213"/>
      <c r="C698" s="356"/>
      <c r="D698" s="330"/>
      <c r="E698" s="157"/>
      <c r="F698" s="12"/>
    </row>
    <row r="699">
      <c r="A699" s="225"/>
      <c r="B699" s="213"/>
      <c r="C699" s="356"/>
      <c r="D699" s="330"/>
      <c r="E699" s="157"/>
      <c r="F699" s="12"/>
    </row>
    <row r="700">
      <c r="A700" s="225"/>
      <c r="B700" s="213"/>
      <c r="C700" s="356"/>
      <c r="D700" s="330"/>
      <c r="E700" s="157"/>
      <c r="F700" s="12"/>
    </row>
    <row r="701">
      <c r="A701" s="225"/>
      <c r="B701" s="213"/>
      <c r="C701" s="356"/>
      <c r="D701" s="330"/>
      <c r="E701" s="157"/>
      <c r="F701" s="12"/>
    </row>
    <row r="702">
      <c r="A702" s="225"/>
      <c r="B702" s="213"/>
      <c r="C702" s="356"/>
      <c r="D702" s="330"/>
      <c r="E702" s="157"/>
      <c r="F702" s="12"/>
    </row>
    <row r="703">
      <c r="A703" s="225"/>
      <c r="B703" s="213"/>
      <c r="C703" s="356"/>
      <c r="D703" s="330"/>
      <c r="E703" s="157"/>
      <c r="F703" s="12"/>
    </row>
    <row r="704">
      <c r="A704" s="225"/>
      <c r="B704" s="213"/>
      <c r="C704" s="356"/>
      <c r="D704" s="330"/>
      <c r="E704" s="157"/>
      <c r="F704" s="12"/>
    </row>
    <row r="705">
      <c r="A705" s="225"/>
      <c r="B705" s="213"/>
      <c r="C705" s="356"/>
      <c r="D705" s="330"/>
      <c r="E705" s="157"/>
      <c r="F705" s="12"/>
    </row>
    <row r="706">
      <c r="A706" s="225"/>
      <c r="B706" s="213"/>
      <c r="C706" s="356"/>
      <c r="D706" s="330"/>
      <c r="E706" s="157"/>
      <c r="F706" s="12"/>
    </row>
    <row r="707">
      <c r="A707" s="225"/>
      <c r="B707" s="213"/>
      <c r="C707" s="356"/>
      <c r="D707" s="330"/>
      <c r="E707" s="157"/>
      <c r="F707" s="12"/>
    </row>
    <row r="708">
      <c r="A708" s="225"/>
      <c r="B708" s="213"/>
      <c r="C708" s="356"/>
      <c r="D708" s="330"/>
      <c r="E708" s="157"/>
      <c r="F708" s="12"/>
    </row>
    <row r="709">
      <c r="A709" s="225"/>
      <c r="B709" s="213"/>
      <c r="C709" s="356"/>
      <c r="D709" s="330"/>
      <c r="E709" s="157"/>
      <c r="F709" s="12"/>
    </row>
    <row r="710">
      <c r="A710" s="225"/>
      <c r="B710" s="213"/>
      <c r="C710" s="356"/>
      <c r="D710" s="330"/>
      <c r="E710" s="157"/>
      <c r="F710" s="12"/>
    </row>
    <row r="711">
      <c r="A711" s="225"/>
      <c r="B711" s="213"/>
      <c r="C711" s="356"/>
      <c r="D711" s="330"/>
      <c r="E711" s="157"/>
      <c r="F711" s="12"/>
    </row>
    <row r="712">
      <c r="A712" s="225"/>
      <c r="B712" s="213"/>
      <c r="C712" s="356"/>
      <c r="D712" s="330"/>
      <c r="E712" s="157"/>
      <c r="F712" s="12"/>
    </row>
    <row r="713">
      <c r="A713" s="225"/>
      <c r="B713" s="213"/>
      <c r="C713" s="356"/>
      <c r="D713" s="330"/>
      <c r="E713" s="157"/>
      <c r="F713" s="12"/>
    </row>
    <row r="714">
      <c r="A714" s="225"/>
      <c r="B714" s="213"/>
      <c r="C714" s="356"/>
      <c r="D714" s="330"/>
      <c r="E714" s="157"/>
      <c r="F714" s="12"/>
    </row>
    <row r="715">
      <c r="A715" s="225"/>
      <c r="B715" s="213"/>
      <c r="C715" s="356"/>
      <c r="D715" s="330"/>
      <c r="E715" s="157"/>
      <c r="F715" s="12"/>
    </row>
    <row r="716">
      <c r="A716" s="225"/>
      <c r="B716" s="213"/>
      <c r="C716" s="356"/>
      <c r="D716" s="330"/>
      <c r="E716" s="157"/>
      <c r="F716" s="12"/>
    </row>
    <row r="717">
      <c r="A717" s="225"/>
      <c r="B717" s="213"/>
      <c r="C717" s="356"/>
      <c r="D717" s="330"/>
      <c r="E717" s="157"/>
      <c r="F717" s="12"/>
    </row>
    <row r="718">
      <c r="A718" s="225"/>
      <c r="B718" s="213"/>
      <c r="C718" s="356"/>
      <c r="D718" s="330"/>
      <c r="E718" s="157"/>
      <c r="F718" s="12"/>
    </row>
    <row r="719">
      <c r="A719" s="225"/>
      <c r="B719" s="213"/>
      <c r="C719" s="356"/>
      <c r="D719" s="330"/>
      <c r="E719" s="157"/>
      <c r="F719" s="12"/>
    </row>
    <row r="720">
      <c r="A720" s="225"/>
      <c r="B720" s="213"/>
      <c r="C720" s="356"/>
      <c r="D720" s="330"/>
      <c r="E720" s="157"/>
      <c r="F720" s="12"/>
    </row>
    <row r="721">
      <c r="A721" s="225"/>
      <c r="B721" s="213"/>
      <c r="C721" s="356"/>
      <c r="D721" s="330"/>
      <c r="E721" s="157"/>
      <c r="F721" s="12"/>
    </row>
    <row r="722">
      <c r="A722" s="225"/>
      <c r="B722" s="213"/>
      <c r="C722" s="356"/>
      <c r="D722" s="330"/>
      <c r="E722" s="157"/>
      <c r="F722" s="12"/>
    </row>
    <row r="723">
      <c r="A723" s="225"/>
      <c r="B723" s="213"/>
      <c r="C723" s="356"/>
      <c r="D723" s="330"/>
      <c r="E723" s="157"/>
      <c r="F723" s="12"/>
    </row>
    <row r="724">
      <c r="A724" s="225"/>
      <c r="B724" s="213"/>
      <c r="C724" s="356"/>
      <c r="D724" s="330"/>
      <c r="E724" s="157"/>
      <c r="F724" s="12"/>
    </row>
    <row r="725">
      <c r="A725" s="225"/>
      <c r="B725" s="213"/>
      <c r="C725" s="356"/>
      <c r="D725" s="330"/>
      <c r="E725" s="157"/>
      <c r="F725" s="12"/>
    </row>
    <row r="726">
      <c r="A726" s="225"/>
      <c r="B726" s="213"/>
      <c r="C726" s="356"/>
      <c r="D726" s="330"/>
      <c r="E726" s="157"/>
      <c r="F726" s="12"/>
    </row>
    <row r="727">
      <c r="A727" s="225"/>
      <c r="B727" s="213"/>
      <c r="C727" s="356"/>
      <c r="D727" s="330"/>
      <c r="E727" s="157"/>
      <c r="F727" s="12"/>
    </row>
    <row r="728">
      <c r="A728" s="225"/>
      <c r="B728" s="213"/>
      <c r="C728" s="356"/>
      <c r="D728" s="330"/>
      <c r="E728" s="157"/>
      <c r="F728" s="12"/>
    </row>
    <row r="729">
      <c r="A729" s="225"/>
      <c r="B729" s="213"/>
      <c r="C729" s="356"/>
      <c r="D729" s="330"/>
      <c r="E729" s="157"/>
      <c r="F729" s="12"/>
    </row>
    <row r="730">
      <c r="A730" s="225"/>
      <c r="B730" s="213"/>
      <c r="C730" s="356"/>
      <c r="D730" s="330"/>
      <c r="E730" s="157"/>
      <c r="F730" s="12"/>
    </row>
    <row r="731">
      <c r="A731" s="225"/>
      <c r="B731" s="213"/>
      <c r="C731" s="356"/>
      <c r="D731" s="330"/>
      <c r="E731" s="157"/>
      <c r="F731" s="12"/>
    </row>
    <row r="732">
      <c r="A732" s="225"/>
      <c r="B732" s="213"/>
      <c r="C732" s="356"/>
      <c r="D732" s="330"/>
      <c r="E732" s="157"/>
      <c r="F732" s="12"/>
    </row>
    <row r="733">
      <c r="A733" s="225"/>
      <c r="B733" s="213"/>
      <c r="C733" s="356"/>
      <c r="D733" s="330"/>
      <c r="E733" s="157"/>
      <c r="F733" s="12"/>
    </row>
    <row r="734">
      <c r="A734" s="225"/>
      <c r="B734" s="213"/>
      <c r="C734" s="356"/>
      <c r="D734" s="330"/>
      <c r="E734" s="157"/>
      <c r="F734" s="12"/>
    </row>
    <row r="735">
      <c r="A735" s="225"/>
      <c r="B735" s="213"/>
      <c r="C735" s="356"/>
      <c r="D735" s="330"/>
      <c r="E735" s="157"/>
      <c r="F735" s="12"/>
    </row>
    <row r="736">
      <c r="A736" s="225"/>
      <c r="B736" s="213"/>
      <c r="C736" s="356"/>
      <c r="D736" s="330"/>
      <c r="E736" s="157"/>
      <c r="F736" s="12"/>
    </row>
    <row r="737">
      <c r="A737" s="225"/>
      <c r="B737" s="213"/>
      <c r="C737" s="356"/>
      <c r="D737" s="330"/>
      <c r="E737" s="157"/>
      <c r="F737" s="12"/>
    </row>
    <row r="738">
      <c r="A738" s="225"/>
      <c r="B738" s="213"/>
      <c r="C738" s="356"/>
      <c r="D738" s="330"/>
      <c r="E738" s="157"/>
      <c r="F738" s="12"/>
    </row>
    <row r="739">
      <c r="A739" s="225"/>
      <c r="B739" s="213"/>
      <c r="C739" s="356"/>
      <c r="D739" s="330"/>
      <c r="E739" s="157"/>
      <c r="F739" s="12"/>
    </row>
    <row r="740">
      <c r="A740" s="225"/>
      <c r="B740" s="213"/>
      <c r="C740" s="356"/>
      <c r="D740" s="330"/>
      <c r="E740" s="157"/>
      <c r="F740" s="12"/>
    </row>
    <row r="741">
      <c r="A741" s="225"/>
      <c r="B741" s="213"/>
      <c r="C741" s="356"/>
      <c r="D741" s="330"/>
      <c r="E741" s="157"/>
      <c r="F741" s="12"/>
    </row>
    <row r="742">
      <c r="A742" s="225"/>
      <c r="B742" s="213"/>
      <c r="C742" s="356"/>
      <c r="D742" s="330"/>
      <c r="E742" s="157"/>
      <c r="F742" s="12"/>
    </row>
    <row r="743">
      <c r="A743" s="225"/>
      <c r="B743" s="213"/>
      <c r="C743" s="356"/>
      <c r="D743" s="330"/>
      <c r="E743" s="157"/>
      <c r="F743" s="12"/>
    </row>
    <row r="744">
      <c r="A744" s="225"/>
      <c r="B744" s="213"/>
      <c r="C744" s="356"/>
      <c r="D744" s="330"/>
      <c r="E744" s="157"/>
      <c r="F744" s="12"/>
    </row>
    <row r="745">
      <c r="A745" s="225"/>
      <c r="B745" s="213"/>
      <c r="C745" s="356"/>
      <c r="D745" s="330"/>
      <c r="E745" s="157"/>
      <c r="F745" s="12"/>
    </row>
    <row r="746">
      <c r="A746" s="225"/>
      <c r="B746" s="213"/>
      <c r="C746" s="356"/>
      <c r="D746" s="330"/>
      <c r="E746" s="157"/>
      <c r="F746" s="12"/>
    </row>
    <row r="747">
      <c r="A747" s="225"/>
      <c r="B747" s="213"/>
      <c r="C747" s="356"/>
      <c r="D747" s="330"/>
      <c r="E747" s="157"/>
      <c r="F747" s="12"/>
    </row>
    <row r="748">
      <c r="A748" s="225"/>
      <c r="B748" s="213"/>
      <c r="C748" s="356"/>
      <c r="D748" s="330"/>
      <c r="E748" s="157"/>
      <c r="F748" s="12"/>
    </row>
    <row r="749">
      <c r="A749" s="225"/>
      <c r="B749" s="213"/>
      <c r="C749" s="356"/>
      <c r="D749" s="330"/>
      <c r="E749" s="157"/>
      <c r="F749" s="12"/>
    </row>
    <row r="750">
      <c r="A750" s="225"/>
      <c r="B750" s="213"/>
      <c r="C750" s="356"/>
      <c r="D750" s="330"/>
      <c r="E750" s="157"/>
      <c r="F750" s="12"/>
    </row>
    <row r="751">
      <c r="A751" s="225"/>
      <c r="B751" s="213"/>
      <c r="C751" s="356"/>
      <c r="D751" s="330"/>
      <c r="E751" s="157"/>
      <c r="F751" s="12"/>
    </row>
    <row r="752">
      <c r="A752" s="225"/>
      <c r="B752" s="213"/>
      <c r="C752" s="356"/>
      <c r="D752" s="330"/>
      <c r="E752" s="157"/>
      <c r="F752" s="12"/>
    </row>
    <row r="753">
      <c r="A753" s="225"/>
      <c r="B753" s="213"/>
      <c r="C753" s="356"/>
      <c r="D753" s="330"/>
      <c r="E753" s="157"/>
      <c r="F753" s="12"/>
    </row>
    <row r="754">
      <c r="A754" s="225"/>
      <c r="B754" s="213"/>
      <c r="C754" s="356"/>
      <c r="D754" s="330"/>
      <c r="E754" s="157"/>
      <c r="F754" s="12"/>
    </row>
    <row r="755">
      <c r="A755" s="225"/>
      <c r="B755" s="213"/>
      <c r="C755" s="356"/>
      <c r="D755" s="330"/>
      <c r="E755" s="157"/>
      <c r="F755" s="12"/>
    </row>
    <row r="756">
      <c r="A756" s="225"/>
      <c r="B756" s="213"/>
      <c r="C756" s="356"/>
      <c r="D756" s="330"/>
      <c r="E756" s="157"/>
      <c r="F756" s="12"/>
    </row>
    <row r="757">
      <c r="A757" s="225"/>
      <c r="B757" s="213"/>
      <c r="C757" s="356"/>
      <c r="D757" s="330"/>
      <c r="E757" s="157"/>
      <c r="F757" s="12"/>
    </row>
    <row r="758">
      <c r="A758" s="225"/>
      <c r="B758" s="213"/>
      <c r="C758" s="356"/>
      <c r="D758" s="330"/>
      <c r="E758" s="157"/>
      <c r="F758" s="12"/>
    </row>
    <row r="759">
      <c r="A759" s="225"/>
      <c r="B759" s="213"/>
      <c r="C759" s="356"/>
      <c r="D759" s="330"/>
      <c r="E759" s="157"/>
      <c r="F759" s="12"/>
    </row>
    <row r="760">
      <c r="A760" s="225"/>
      <c r="B760" s="213"/>
      <c r="C760" s="356"/>
      <c r="D760" s="330"/>
      <c r="E760" s="157"/>
      <c r="F760" s="12"/>
    </row>
    <row r="761">
      <c r="A761" s="225"/>
      <c r="B761" s="213"/>
      <c r="C761" s="356"/>
      <c r="D761" s="330"/>
      <c r="E761" s="157"/>
      <c r="F761" s="12"/>
    </row>
    <row r="762">
      <c r="A762" s="225"/>
      <c r="B762" s="213"/>
      <c r="C762" s="356"/>
      <c r="D762" s="330"/>
      <c r="E762" s="157"/>
      <c r="F762" s="12"/>
    </row>
    <row r="763">
      <c r="A763" s="225"/>
      <c r="B763" s="213"/>
      <c r="C763" s="356"/>
      <c r="D763" s="330"/>
      <c r="E763" s="157"/>
      <c r="F763" s="12"/>
    </row>
    <row r="764">
      <c r="A764" s="225"/>
      <c r="B764" s="213"/>
      <c r="C764" s="356"/>
      <c r="D764" s="330"/>
      <c r="E764" s="157"/>
      <c r="F764" s="12"/>
    </row>
    <row r="765">
      <c r="A765" s="225"/>
      <c r="B765" s="213"/>
      <c r="C765" s="356"/>
      <c r="D765" s="330"/>
      <c r="E765" s="157"/>
      <c r="F765" s="12"/>
    </row>
    <row r="766">
      <c r="A766" s="225"/>
      <c r="B766" s="213"/>
      <c r="C766" s="356"/>
      <c r="D766" s="330"/>
      <c r="E766" s="157"/>
      <c r="F766" s="12"/>
    </row>
    <row r="767">
      <c r="A767" s="225"/>
      <c r="B767" s="213"/>
      <c r="C767" s="356"/>
      <c r="D767" s="330"/>
      <c r="E767" s="157"/>
      <c r="F767" s="12"/>
    </row>
    <row r="768">
      <c r="A768" s="225"/>
      <c r="B768" s="213"/>
      <c r="C768" s="356"/>
      <c r="D768" s="330"/>
      <c r="E768" s="157"/>
      <c r="F768" s="12"/>
    </row>
    <row r="769">
      <c r="A769" s="225"/>
      <c r="B769" s="213"/>
      <c r="C769" s="356"/>
      <c r="D769" s="330"/>
      <c r="E769" s="157"/>
      <c r="F769" s="12"/>
    </row>
    <row r="770">
      <c r="A770" s="225"/>
      <c r="B770" s="213"/>
      <c r="C770" s="356"/>
      <c r="D770" s="330"/>
      <c r="E770" s="157"/>
      <c r="F770" s="12"/>
    </row>
    <row r="771">
      <c r="A771" s="225"/>
      <c r="B771" s="213"/>
      <c r="C771" s="356"/>
      <c r="D771" s="330"/>
      <c r="E771" s="157"/>
      <c r="F771" s="12"/>
    </row>
    <row r="772">
      <c r="A772" s="225"/>
      <c r="B772" s="213"/>
      <c r="C772" s="356"/>
      <c r="D772" s="330"/>
      <c r="E772" s="157"/>
      <c r="F772" s="12"/>
    </row>
    <row r="773">
      <c r="A773" s="225"/>
      <c r="B773" s="213"/>
      <c r="C773" s="356"/>
      <c r="D773" s="330"/>
      <c r="E773" s="157"/>
      <c r="F773" s="12"/>
    </row>
    <row r="774">
      <c r="A774" s="225"/>
      <c r="B774" s="213"/>
      <c r="C774" s="356"/>
      <c r="D774" s="330"/>
      <c r="E774" s="157"/>
      <c r="F774" s="12"/>
    </row>
    <row r="775">
      <c r="A775" s="225"/>
      <c r="B775" s="213"/>
      <c r="C775" s="356"/>
      <c r="D775" s="330"/>
      <c r="E775" s="157"/>
      <c r="F775" s="12"/>
    </row>
    <row r="776">
      <c r="A776" s="225"/>
      <c r="B776" s="213"/>
      <c r="C776" s="356"/>
      <c r="D776" s="330"/>
      <c r="E776" s="157"/>
      <c r="F776" s="12"/>
    </row>
    <row r="777">
      <c r="A777" s="225"/>
      <c r="B777" s="213"/>
      <c r="C777" s="356"/>
      <c r="D777" s="330"/>
      <c r="E777" s="157"/>
      <c r="F777" s="12"/>
    </row>
    <row r="778">
      <c r="A778" s="225"/>
      <c r="B778" s="213"/>
      <c r="C778" s="356"/>
      <c r="D778" s="330"/>
      <c r="E778" s="157"/>
      <c r="F778" s="12"/>
    </row>
    <row r="779">
      <c r="A779" s="225"/>
      <c r="B779" s="213"/>
      <c r="C779" s="356"/>
      <c r="D779" s="330"/>
      <c r="E779" s="157"/>
      <c r="F779" s="12"/>
    </row>
    <row r="780">
      <c r="A780" s="225"/>
      <c r="B780" s="213"/>
      <c r="C780" s="356"/>
      <c r="D780" s="330"/>
      <c r="E780" s="157"/>
      <c r="F780" s="12"/>
    </row>
    <row r="781">
      <c r="A781" s="225"/>
      <c r="B781" s="213"/>
      <c r="C781" s="356"/>
      <c r="D781" s="330"/>
      <c r="E781" s="157"/>
      <c r="F781" s="12"/>
    </row>
    <row r="782">
      <c r="A782" s="225"/>
      <c r="B782" s="213"/>
      <c r="C782" s="356"/>
      <c r="D782" s="330"/>
      <c r="E782" s="157"/>
      <c r="F782" s="12"/>
    </row>
    <row r="783">
      <c r="A783" s="225"/>
      <c r="B783" s="213"/>
      <c r="C783" s="356"/>
      <c r="D783" s="330"/>
      <c r="E783" s="157"/>
      <c r="F783" s="12"/>
    </row>
    <row r="784">
      <c r="A784" s="225"/>
      <c r="B784" s="213"/>
      <c r="C784" s="356"/>
      <c r="D784" s="330"/>
      <c r="E784" s="157"/>
      <c r="F784" s="12"/>
    </row>
    <row r="785">
      <c r="A785" s="225"/>
      <c r="B785" s="213"/>
      <c r="C785" s="356"/>
      <c r="D785" s="330"/>
      <c r="E785" s="157"/>
      <c r="F785" s="12"/>
    </row>
    <row r="786">
      <c r="A786" s="225"/>
      <c r="B786" s="213"/>
      <c r="C786" s="356"/>
      <c r="D786" s="330"/>
      <c r="E786" s="157"/>
      <c r="F786" s="12"/>
    </row>
    <row r="787">
      <c r="A787" s="225"/>
      <c r="B787" s="213"/>
      <c r="C787" s="356"/>
      <c r="D787" s="330"/>
      <c r="E787" s="157"/>
      <c r="F787" s="12"/>
    </row>
    <row r="788">
      <c r="A788" s="225"/>
      <c r="B788" s="213"/>
      <c r="C788" s="356"/>
      <c r="D788" s="330"/>
      <c r="E788" s="157"/>
      <c r="F788" s="12"/>
    </row>
    <row r="789">
      <c r="A789" s="225"/>
      <c r="B789" s="213"/>
      <c r="C789" s="356"/>
      <c r="D789" s="330"/>
      <c r="E789" s="157"/>
      <c r="F789" s="12"/>
    </row>
    <row r="790">
      <c r="A790" s="225"/>
      <c r="B790" s="213"/>
      <c r="C790" s="356"/>
      <c r="D790" s="330"/>
      <c r="E790" s="157"/>
      <c r="F790" s="12"/>
    </row>
    <row r="791">
      <c r="A791" s="225"/>
      <c r="B791" s="213"/>
      <c r="C791" s="356"/>
      <c r="D791" s="330"/>
      <c r="E791" s="157"/>
      <c r="F791" s="12"/>
    </row>
    <row r="792">
      <c r="A792" s="225"/>
      <c r="B792" s="213"/>
      <c r="C792" s="356"/>
      <c r="D792" s="330"/>
      <c r="E792" s="157"/>
      <c r="F792" s="12"/>
    </row>
    <row r="793">
      <c r="A793" s="225"/>
      <c r="B793" s="213"/>
      <c r="C793" s="356"/>
      <c r="D793" s="330"/>
      <c r="E793" s="157"/>
      <c r="F793" s="12"/>
    </row>
    <row r="794">
      <c r="A794" s="225"/>
      <c r="B794" s="213"/>
      <c r="C794" s="356"/>
      <c r="D794" s="330"/>
      <c r="E794" s="157"/>
      <c r="F794" s="12"/>
    </row>
    <row r="795">
      <c r="A795" s="225"/>
      <c r="B795" s="213"/>
      <c r="C795" s="356"/>
      <c r="D795" s="330"/>
      <c r="E795" s="157"/>
      <c r="F795" s="12"/>
    </row>
    <row r="796">
      <c r="A796" s="225"/>
      <c r="B796" s="213"/>
      <c r="C796" s="356"/>
      <c r="D796" s="330"/>
      <c r="E796" s="157"/>
      <c r="F796" s="12"/>
    </row>
    <row r="797">
      <c r="A797" s="225"/>
      <c r="B797" s="213"/>
      <c r="C797" s="356"/>
      <c r="D797" s="330"/>
      <c r="E797" s="157"/>
      <c r="F797" s="12"/>
    </row>
    <row r="798">
      <c r="A798" s="225"/>
      <c r="B798" s="213"/>
      <c r="C798" s="356"/>
      <c r="D798" s="330"/>
      <c r="E798" s="157"/>
      <c r="F798" s="12"/>
    </row>
    <row r="799">
      <c r="A799" s="225"/>
      <c r="B799" s="213"/>
      <c r="C799" s="356"/>
      <c r="D799" s="330"/>
      <c r="E799" s="157"/>
      <c r="F799" s="12"/>
    </row>
    <row r="800">
      <c r="A800" s="225"/>
      <c r="B800" s="213"/>
      <c r="C800" s="356"/>
      <c r="D800" s="330"/>
      <c r="E800" s="157"/>
      <c r="F800" s="12"/>
    </row>
    <row r="801">
      <c r="A801" s="225"/>
      <c r="B801" s="213"/>
      <c r="C801" s="356"/>
      <c r="D801" s="330"/>
      <c r="E801" s="157"/>
      <c r="F801" s="12"/>
    </row>
    <row r="802">
      <c r="A802" s="225"/>
      <c r="B802" s="213"/>
      <c r="C802" s="356"/>
      <c r="D802" s="330"/>
      <c r="E802" s="157"/>
      <c r="F802" s="12"/>
    </row>
    <row r="803">
      <c r="A803" s="225"/>
      <c r="B803" s="213"/>
      <c r="C803" s="356"/>
      <c r="D803" s="330"/>
      <c r="E803" s="157"/>
      <c r="F803" s="12"/>
    </row>
    <row r="804">
      <c r="A804" s="225"/>
      <c r="B804" s="213"/>
      <c r="C804" s="356"/>
      <c r="D804" s="330"/>
      <c r="E804" s="157"/>
      <c r="F804" s="12"/>
    </row>
    <row r="805">
      <c r="A805" s="225"/>
      <c r="B805" s="213"/>
      <c r="C805" s="356"/>
      <c r="D805" s="330"/>
      <c r="E805" s="157"/>
      <c r="F805" s="12"/>
    </row>
    <row r="806">
      <c r="A806" s="225"/>
      <c r="B806" s="213"/>
      <c r="C806" s="356"/>
      <c r="D806" s="330"/>
      <c r="E806" s="157"/>
      <c r="F806" s="12"/>
    </row>
    <row r="807">
      <c r="A807" s="225"/>
      <c r="B807" s="213"/>
      <c r="C807" s="356"/>
      <c r="D807" s="330"/>
      <c r="E807" s="157"/>
      <c r="F807" s="12"/>
    </row>
    <row r="808">
      <c r="A808" s="225"/>
      <c r="B808" s="213"/>
      <c r="C808" s="356"/>
      <c r="D808" s="330"/>
      <c r="E808" s="157"/>
      <c r="F808" s="12"/>
    </row>
    <row r="809">
      <c r="A809" s="225"/>
      <c r="B809" s="213"/>
      <c r="C809" s="356"/>
      <c r="D809" s="330"/>
      <c r="E809" s="157"/>
      <c r="F809" s="12"/>
    </row>
    <row r="810">
      <c r="A810" s="225"/>
      <c r="B810" s="213"/>
      <c r="C810" s="356"/>
      <c r="D810" s="330"/>
      <c r="E810" s="157"/>
      <c r="F810" s="12"/>
    </row>
    <row r="811">
      <c r="A811" s="225"/>
      <c r="B811" s="213"/>
      <c r="C811" s="356"/>
      <c r="D811" s="330"/>
      <c r="E811" s="157"/>
      <c r="F811" s="12"/>
    </row>
    <row r="812">
      <c r="A812" s="225"/>
      <c r="B812" s="213"/>
      <c r="C812" s="356"/>
      <c r="D812" s="330"/>
      <c r="E812" s="157"/>
      <c r="F812" s="12"/>
    </row>
    <row r="813">
      <c r="A813" s="225"/>
      <c r="B813" s="213"/>
      <c r="C813" s="356"/>
      <c r="D813" s="330"/>
      <c r="E813" s="157"/>
      <c r="F813" s="12"/>
    </row>
    <row r="814">
      <c r="A814" s="225"/>
      <c r="B814" s="213"/>
      <c r="C814" s="356"/>
      <c r="D814" s="330"/>
      <c r="E814" s="157"/>
      <c r="F814" s="12"/>
    </row>
    <row r="815">
      <c r="A815" s="225"/>
      <c r="B815" s="213"/>
      <c r="C815" s="356"/>
      <c r="D815" s="330"/>
      <c r="E815" s="157"/>
      <c r="F815" s="12"/>
    </row>
    <row r="816">
      <c r="A816" s="225"/>
      <c r="B816" s="213"/>
      <c r="C816" s="356"/>
      <c r="D816" s="330"/>
      <c r="E816" s="157"/>
      <c r="F816" s="12"/>
    </row>
    <row r="817">
      <c r="A817" s="225"/>
      <c r="B817" s="213"/>
      <c r="C817" s="356"/>
      <c r="D817" s="330"/>
      <c r="E817" s="157"/>
      <c r="F817" s="12"/>
    </row>
    <row r="818">
      <c r="A818" s="225"/>
      <c r="B818" s="213"/>
      <c r="C818" s="356"/>
      <c r="D818" s="330"/>
      <c r="E818" s="157"/>
      <c r="F818" s="12"/>
    </row>
    <row r="819">
      <c r="A819" s="225"/>
      <c r="B819" s="213"/>
      <c r="C819" s="356"/>
      <c r="D819" s="330"/>
      <c r="E819" s="157"/>
      <c r="F819" s="12"/>
    </row>
    <row r="820">
      <c r="A820" s="225"/>
      <c r="B820" s="213"/>
      <c r="C820" s="356"/>
      <c r="D820" s="330"/>
      <c r="E820" s="157"/>
      <c r="F820" s="12"/>
    </row>
    <row r="821">
      <c r="A821" s="225"/>
      <c r="B821" s="213"/>
      <c r="C821" s="356"/>
      <c r="D821" s="330"/>
      <c r="E821" s="157"/>
      <c r="F821" s="12"/>
    </row>
    <row r="822">
      <c r="A822" s="225"/>
      <c r="B822" s="213"/>
      <c r="C822" s="356"/>
      <c r="D822" s="330"/>
      <c r="E822" s="157"/>
      <c r="F822" s="12"/>
    </row>
    <row r="823">
      <c r="A823" s="225"/>
      <c r="B823" s="213"/>
      <c r="C823" s="356"/>
      <c r="D823" s="330"/>
      <c r="E823" s="157"/>
      <c r="F823" s="12"/>
    </row>
    <row r="824">
      <c r="A824" s="225"/>
      <c r="B824" s="213"/>
      <c r="C824" s="356"/>
      <c r="D824" s="330"/>
      <c r="E824" s="157"/>
      <c r="F824" s="12"/>
    </row>
    <row r="825">
      <c r="A825" s="225"/>
      <c r="B825" s="213"/>
      <c r="C825" s="356"/>
      <c r="D825" s="330"/>
      <c r="E825" s="157"/>
      <c r="F825" s="12"/>
    </row>
    <row r="826">
      <c r="A826" s="225"/>
      <c r="B826" s="213"/>
      <c r="C826" s="356"/>
      <c r="D826" s="330"/>
      <c r="E826" s="157"/>
      <c r="F826" s="12"/>
    </row>
    <row r="827">
      <c r="A827" s="225"/>
      <c r="B827" s="213"/>
      <c r="C827" s="356"/>
      <c r="D827" s="330"/>
      <c r="E827" s="157"/>
      <c r="F827" s="12"/>
    </row>
    <row r="828">
      <c r="A828" s="225"/>
      <c r="B828" s="213"/>
      <c r="C828" s="356"/>
      <c r="D828" s="330"/>
      <c r="E828" s="157"/>
      <c r="F828" s="12"/>
    </row>
    <row r="829">
      <c r="A829" s="225"/>
      <c r="B829" s="213"/>
      <c r="C829" s="356"/>
      <c r="D829" s="330"/>
      <c r="E829" s="157"/>
      <c r="F829" s="12"/>
    </row>
    <row r="830">
      <c r="A830" s="225"/>
      <c r="B830" s="213"/>
      <c r="C830" s="356"/>
      <c r="D830" s="330"/>
      <c r="E830" s="157"/>
      <c r="F830" s="12"/>
    </row>
    <row r="831">
      <c r="A831" s="225"/>
      <c r="B831" s="213"/>
      <c r="C831" s="356"/>
      <c r="D831" s="330"/>
      <c r="E831" s="157"/>
      <c r="F831" s="12"/>
    </row>
    <row r="832">
      <c r="A832" s="225"/>
      <c r="B832" s="213"/>
      <c r="C832" s="356"/>
      <c r="D832" s="330"/>
      <c r="E832" s="157"/>
      <c r="F832" s="12"/>
    </row>
    <row r="833">
      <c r="A833" s="225"/>
      <c r="B833" s="213"/>
      <c r="C833" s="356"/>
      <c r="D833" s="330"/>
      <c r="E833" s="157"/>
      <c r="F833" s="12"/>
    </row>
    <row r="834">
      <c r="A834" s="225"/>
      <c r="B834" s="213"/>
      <c r="C834" s="356"/>
      <c r="D834" s="330"/>
      <c r="E834" s="157"/>
      <c r="F834" s="12"/>
    </row>
    <row r="835">
      <c r="A835" s="225"/>
      <c r="B835" s="213"/>
      <c r="C835" s="356"/>
      <c r="D835" s="330"/>
      <c r="E835" s="157"/>
      <c r="F835" s="12"/>
    </row>
    <row r="836">
      <c r="A836" s="225"/>
      <c r="B836" s="213"/>
      <c r="C836" s="356"/>
      <c r="D836" s="330"/>
      <c r="E836" s="157"/>
      <c r="F836" s="12"/>
    </row>
    <row r="837">
      <c r="A837" s="225"/>
      <c r="B837" s="213"/>
      <c r="C837" s="356"/>
      <c r="D837" s="330"/>
      <c r="E837" s="157"/>
      <c r="F837" s="12"/>
    </row>
    <row r="838">
      <c r="A838" s="225"/>
      <c r="B838" s="213"/>
      <c r="C838" s="356"/>
      <c r="D838" s="330"/>
      <c r="E838" s="157"/>
      <c r="F838" s="12"/>
    </row>
    <row r="839">
      <c r="A839" s="225"/>
      <c r="B839" s="213"/>
      <c r="C839" s="356"/>
      <c r="D839" s="330"/>
      <c r="E839" s="157"/>
      <c r="F839" s="12"/>
    </row>
    <row r="840">
      <c r="A840" s="225"/>
      <c r="B840" s="213"/>
      <c r="C840" s="356"/>
      <c r="D840" s="330"/>
      <c r="E840" s="157"/>
      <c r="F840" s="12"/>
    </row>
    <row r="841">
      <c r="A841" s="225"/>
      <c r="B841" s="213"/>
      <c r="C841" s="356"/>
      <c r="D841" s="330"/>
      <c r="E841" s="157"/>
      <c r="F841" s="12"/>
    </row>
    <row r="842">
      <c r="A842" s="225"/>
      <c r="B842" s="213"/>
      <c r="C842" s="356"/>
      <c r="D842" s="330"/>
      <c r="E842" s="157"/>
      <c r="F842" s="12"/>
    </row>
    <row r="843">
      <c r="A843" s="225"/>
      <c r="B843" s="213"/>
      <c r="C843" s="356"/>
      <c r="D843" s="330"/>
      <c r="E843" s="157"/>
      <c r="F843" s="12"/>
    </row>
    <row r="844">
      <c r="A844" s="225"/>
      <c r="B844" s="213"/>
      <c r="C844" s="356"/>
      <c r="D844" s="330"/>
      <c r="E844" s="157"/>
      <c r="F844" s="12"/>
    </row>
    <row r="845">
      <c r="A845" s="225"/>
      <c r="B845" s="213"/>
      <c r="C845" s="356"/>
      <c r="D845" s="330"/>
      <c r="E845" s="157"/>
      <c r="F845" s="12"/>
    </row>
    <row r="846">
      <c r="A846" s="225"/>
      <c r="B846" s="213"/>
      <c r="C846" s="356"/>
      <c r="D846" s="330"/>
      <c r="E846" s="157"/>
      <c r="F846" s="12"/>
    </row>
    <row r="847">
      <c r="A847" s="225"/>
      <c r="B847" s="213"/>
      <c r="C847" s="356"/>
      <c r="D847" s="330"/>
      <c r="E847" s="157"/>
      <c r="F847" s="12"/>
    </row>
    <row r="848">
      <c r="A848" s="225"/>
      <c r="B848" s="213"/>
      <c r="C848" s="356"/>
      <c r="D848" s="330"/>
      <c r="E848" s="157"/>
      <c r="F848" s="12"/>
    </row>
    <row r="849">
      <c r="A849" s="225"/>
      <c r="B849" s="213"/>
      <c r="C849" s="356"/>
      <c r="D849" s="330"/>
      <c r="E849" s="157"/>
      <c r="F849" s="12"/>
    </row>
    <row r="850">
      <c r="A850" s="225"/>
      <c r="B850" s="213"/>
      <c r="C850" s="356"/>
      <c r="D850" s="330"/>
      <c r="E850" s="157"/>
      <c r="F850" s="12"/>
    </row>
    <row r="851">
      <c r="A851" s="225"/>
      <c r="B851" s="213"/>
      <c r="C851" s="356"/>
      <c r="D851" s="330"/>
      <c r="E851" s="157"/>
      <c r="F851" s="12"/>
    </row>
    <row r="852">
      <c r="A852" s="225"/>
      <c r="B852" s="213"/>
      <c r="C852" s="356"/>
      <c r="D852" s="330"/>
      <c r="E852" s="157"/>
      <c r="F852" s="12"/>
    </row>
    <row r="853">
      <c r="A853" s="225"/>
      <c r="B853" s="213"/>
      <c r="C853" s="356"/>
      <c r="D853" s="330"/>
      <c r="E853" s="157"/>
      <c r="F853" s="12"/>
    </row>
    <row r="854">
      <c r="A854" s="225"/>
      <c r="B854" s="213"/>
      <c r="C854" s="356"/>
      <c r="D854" s="330"/>
      <c r="E854" s="157"/>
      <c r="F854" s="12"/>
    </row>
    <row r="855">
      <c r="A855" s="225"/>
      <c r="B855" s="213"/>
      <c r="C855" s="356"/>
      <c r="D855" s="330"/>
      <c r="E855" s="157"/>
      <c r="F855" s="12"/>
    </row>
    <row r="856">
      <c r="A856" s="225"/>
      <c r="B856" s="213"/>
      <c r="C856" s="356"/>
      <c r="D856" s="330"/>
      <c r="E856" s="157"/>
      <c r="F856" s="12"/>
    </row>
    <row r="857">
      <c r="A857" s="225"/>
      <c r="B857" s="213"/>
      <c r="C857" s="356"/>
      <c r="D857" s="330"/>
      <c r="E857" s="157"/>
      <c r="F857" s="12"/>
    </row>
    <row r="858">
      <c r="A858" s="225"/>
      <c r="B858" s="213"/>
      <c r="C858" s="356"/>
      <c r="D858" s="330"/>
      <c r="E858" s="157"/>
      <c r="F858" s="12"/>
    </row>
    <row r="859">
      <c r="A859" s="225"/>
      <c r="B859" s="213"/>
      <c r="C859" s="356"/>
      <c r="D859" s="330"/>
      <c r="E859" s="157"/>
      <c r="F859" s="12"/>
    </row>
    <row r="860">
      <c r="A860" s="225"/>
      <c r="B860" s="213"/>
      <c r="C860" s="356"/>
      <c r="D860" s="330"/>
      <c r="E860" s="157"/>
      <c r="F860" s="12"/>
    </row>
    <row r="861">
      <c r="A861" s="225"/>
      <c r="B861" s="213"/>
      <c r="C861" s="356"/>
      <c r="D861" s="330"/>
      <c r="E861" s="157"/>
      <c r="F861" s="12"/>
    </row>
    <row r="862">
      <c r="A862" s="225"/>
      <c r="B862" s="213"/>
      <c r="C862" s="356"/>
      <c r="D862" s="330"/>
      <c r="E862" s="157"/>
      <c r="F862" s="12"/>
    </row>
    <row r="863">
      <c r="A863" s="225"/>
      <c r="B863" s="213"/>
      <c r="C863" s="356"/>
      <c r="D863" s="330"/>
      <c r="E863" s="157"/>
      <c r="F863" s="12"/>
    </row>
    <row r="864">
      <c r="A864" s="225"/>
      <c r="B864" s="213"/>
      <c r="C864" s="356"/>
      <c r="D864" s="330"/>
      <c r="E864" s="157"/>
      <c r="F864" s="12"/>
    </row>
    <row r="865">
      <c r="A865" s="225"/>
      <c r="B865" s="213"/>
      <c r="C865" s="356"/>
      <c r="D865" s="330"/>
      <c r="E865" s="157"/>
      <c r="F865" s="12"/>
    </row>
    <row r="866">
      <c r="A866" s="225"/>
      <c r="B866" s="213"/>
      <c r="C866" s="356"/>
      <c r="D866" s="330"/>
      <c r="E866" s="157"/>
      <c r="F866" s="12"/>
    </row>
    <row r="867">
      <c r="A867" s="225"/>
      <c r="B867" s="213"/>
      <c r="C867" s="356"/>
      <c r="D867" s="330"/>
      <c r="E867" s="157"/>
      <c r="F867" s="12"/>
    </row>
    <row r="868">
      <c r="A868" s="225"/>
      <c r="B868" s="213"/>
      <c r="C868" s="356"/>
      <c r="D868" s="330"/>
      <c r="E868" s="157"/>
      <c r="F868" s="12"/>
    </row>
    <row r="869">
      <c r="A869" s="225"/>
      <c r="B869" s="213"/>
      <c r="C869" s="356"/>
      <c r="D869" s="330"/>
      <c r="E869" s="157"/>
      <c r="F869" s="12"/>
    </row>
    <row r="870">
      <c r="A870" s="225"/>
      <c r="B870" s="213"/>
      <c r="C870" s="356"/>
      <c r="D870" s="330"/>
      <c r="E870" s="157"/>
      <c r="F870" s="12"/>
    </row>
    <row r="871">
      <c r="A871" s="225"/>
      <c r="B871" s="213"/>
      <c r="C871" s="356"/>
      <c r="D871" s="330"/>
      <c r="E871" s="157"/>
      <c r="F871" s="12"/>
    </row>
    <row r="872">
      <c r="A872" s="225"/>
      <c r="B872" s="213"/>
      <c r="C872" s="356"/>
      <c r="D872" s="330"/>
      <c r="E872" s="157"/>
      <c r="F872" s="12"/>
    </row>
    <row r="873">
      <c r="A873" s="225"/>
      <c r="B873" s="213"/>
      <c r="C873" s="356"/>
      <c r="D873" s="330"/>
      <c r="E873" s="157"/>
      <c r="F873" s="12"/>
    </row>
    <row r="874">
      <c r="A874" s="225"/>
      <c r="B874" s="213"/>
      <c r="C874" s="356"/>
      <c r="D874" s="330"/>
      <c r="E874" s="157"/>
      <c r="F874" s="12"/>
    </row>
    <row r="875">
      <c r="A875" s="225"/>
      <c r="B875" s="213"/>
      <c r="C875" s="356"/>
      <c r="D875" s="330"/>
      <c r="E875" s="157"/>
      <c r="F875" s="12"/>
    </row>
    <row r="876">
      <c r="A876" s="225"/>
      <c r="B876" s="213"/>
      <c r="C876" s="356"/>
      <c r="D876" s="330"/>
      <c r="E876" s="157"/>
      <c r="F876" s="12"/>
    </row>
    <row r="877">
      <c r="A877" s="225"/>
      <c r="B877" s="213"/>
      <c r="C877" s="356"/>
      <c r="D877" s="330"/>
      <c r="E877" s="157"/>
      <c r="F877" s="12"/>
    </row>
    <row r="878">
      <c r="A878" s="225"/>
      <c r="B878" s="213"/>
      <c r="C878" s="356"/>
      <c r="D878" s="330"/>
      <c r="E878" s="157"/>
      <c r="F878" s="12"/>
    </row>
    <row r="879">
      <c r="A879" s="225"/>
      <c r="B879" s="213"/>
      <c r="C879" s="356"/>
      <c r="D879" s="330"/>
      <c r="E879" s="157"/>
      <c r="F879" s="12"/>
    </row>
    <row r="880">
      <c r="A880" s="225"/>
      <c r="B880" s="213"/>
      <c r="C880" s="356"/>
      <c r="D880" s="330"/>
      <c r="E880" s="157"/>
      <c r="F880" s="12"/>
    </row>
    <row r="881">
      <c r="A881" s="225"/>
      <c r="B881" s="213"/>
      <c r="C881" s="356"/>
      <c r="D881" s="330"/>
      <c r="E881" s="157"/>
      <c r="F881" s="12"/>
    </row>
    <row r="882">
      <c r="A882" s="225"/>
      <c r="B882" s="213"/>
      <c r="C882" s="356"/>
      <c r="D882" s="330"/>
      <c r="E882" s="157"/>
      <c r="F882" s="12"/>
    </row>
    <row r="883">
      <c r="A883" s="225"/>
      <c r="B883" s="213"/>
      <c r="C883" s="356"/>
      <c r="D883" s="330"/>
      <c r="E883" s="157"/>
      <c r="F883" s="12"/>
    </row>
    <row r="884">
      <c r="A884" s="225"/>
      <c r="B884" s="213"/>
      <c r="C884" s="356"/>
      <c r="D884" s="330"/>
      <c r="E884" s="157"/>
      <c r="F884" s="12"/>
    </row>
    <row r="885">
      <c r="A885" s="225"/>
      <c r="B885" s="213"/>
      <c r="C885" s="356"/>
      <c r="D885" s="330"/>
      <c r="E885" s="157"/>
      <c r="F885" s="12"/>
    </row>
    <row r="886">
      <c r="A886" s="225"/>
      <c r="B886" s="213"/>
      <c r="C886" s="356"/>
      <c r="D886" s="330"/>
      <c r="E886" s="157"/>
      <c r="F886" s="12"/>
    </row>
    <row r="887">
      <c r="A887" s="225"/>
      <c r="B887" s="213"/>
      <c r="C887" s="356"/>
      <c r="D887" s="330"/>
      <c r="E887" s="157"/>
      <c r="F887" s="12"/>
    </row>
    <row r="888">
      <c r="A888" s="225"/>
      <c r="B888" s="213"/>
      <c r="C888" s="356"/>
      <c r="D888" s="330"/>
      <c r="E888" s="157"/>
      <c r="F888" s="12"/>
    </row>
    <row r="889">
      <c r="A889" s="225"/>
      <c r="B889" s="213"/>
      <c r="C889" s="356"/>
      <c r="D889" s="330"/>
      <c r="E889" s="157"/>
      <c r="F889" s="12"/>
    </row>
    <row r="890">
      <c r="A890" s="225"/>
      <c r="B890" s="213"/>
      <c r="C890" s="356"/>
      <c r="D890" s="330"/>
      <c r="E890" s="157"/>
      <c r="F890" s="12"/>
    </row>
    <row r="891">
      <c r="A891" s="225"/>
      <c r="B891" s="213"/>
      <c r="C891" s="356"/>
      <c r="D891" s="330"/>
      <c r="E891" s="157"/>
      <c r="F891" s="12"/>
    </row>
    <row r="892">
      <c r="A892" s="225"/>
      <c r="B892" s="213"/>
      <c r="C892" s="356"/>
      <c r="D892" s="330"/>
      <c r="E892" s="157"/>
      <c r="F892" s="12"/>
    </row>
    <row r="893">
      <c r="A893" s="225"/>
      <c r="B893" s="213"/>
      <c r="C893" s="356"/>
      <c r="D893" s="330"/>
      <c r="E893" s="157"/>
      <c r="F893" s="12"/>
    </row>
    <row r="894">
      <c r="A894" s="225"/>
      <c r="B894" s="213"/>
      <c r="C894" s="356"/>
      <c r="D894" s="330"/>
      <c r="E894" s="157"/>
      <c r="F894" s="12"/>
    </row>
    <row r="895">
      <c r="A895" s="225"/>
      <c r="B895" s="213"/>
      <c r="C895" s="356"/>
      <c r="D895" s="330"/>
      <c r="E895" s="157"/>
      <c r="F895" s="12"/>
    </row>
    <row r="896">
      <c r="A896" s="225"/>
      <c r="B896" s="213"/>
      <c r="C896" s="356"/>
      <c r="D896" s="330"/>
      <c r="E896" s="157"/>
      <c r="F896" s="12"/>
    </row>
    <row r="897">
      <c r="A897" s="225"/>
      <c r="B897" s="213"/>
      <c r="C897" s="356"/>
      <c r="D897" s="330"/>
      <c r="E897" s="157"/>
      <c r="F897" s="12"/>
    </row>
    <row r="898">
      <c r="A898" s="225"/>
      <c r="B898" s="213"/>
      <c r="C898" s="356"/>
      <c r="D898" s="330"/>
      <c r="E898" s="157"/>
      <c r="F898" s="12"/>
    </row>
    <row r="899">
      <c r="A899" s="225"/>
      <c r="B899" s="213"/>
      <c r="C899" s="356"/>
      <c r="D899" s="330"/>
      <c r="E899" s="157"/>
      <c r="F899" s="12"/>
    </row>
    <row r="900">
      <c r="A900" s="225"/>
      <c r="B900" s="213"/>
      <c r="C900" s="356"/>
      <c r="D900" s="330"/>
      <c r="E900" s="157"/>
      <c r="F900" s="12"/>
    </row>
    <row r="901">
      <c r="A901" s="225"/>
      <c r="B901" s="213"/>
      <c r="C901" s="356"/>
      <c r="D901" s="330"/>
      <c r="E901" s="157"/>
      <c r="F901" s="12"/>
    </row>
    <row r="902">
      <c r="A902" s="225"/>
      <c r="B902" s="213"/>
      <c r="C902" s="356"/>
      <c r="D902" s="330"/>
      <c r="E902" s="157"/>
      <c r="F902" s="12"/>
    </row>
    <row r="903">
      <c r="A903" s="225"/>
      <c r="B903" s="213"/>
      <c r="C903" s="356"/>
      <c r="D903" s="330"/>
      <c r="E903" s="157"/>
      <c r="F903" s="12"/>
    </row>
    <row r="904">
      <c r="A904" s="225"/>
      <c r="B904" s="213"/>
      <c r="C904" s="356"/>
      <c r="D904" s="330"/>
      <c r="E904" s="157"/>
      <c r="F904" s="12"/>
    </row>
    <row r="905">
      <c r="A905" s="225"/>
      <c r="B905" s="213"/>
      <c r="C905" s="356"/>
      <c r="D905" s="330"/>
      <c r="E905" s="157"/>
      <c r="F905" s="12"/>
    </row>
    <row r="906">
      <c r="A906" s="225"/>
      <c r="B906" s="213"/>
      <c r="C906" s="356"/>
      <c r="D906" s="330"/>
      <c r="E906" s="157"/>
      <c r="F906" s="12"/>
    </row>
    <row r="907">
      <c r="A907" s="225"/>
      <c r="B907" s="213"/>
      <c r="C907" s="356"/>
      <c r="D907" s="330"/>
      <c r="E907" s="157"/>
      <c r="F907" s="12"/>
    </row>
    <row r="908">
      <c r="A908" s="225"/>
      <c r="B908" s="213"/>
      <c r="C908" s="356"/>
      <c r="D908" s="330"/>
      <c r="E908" s="157"/>
      <c r="F908" s="12"/>
    </row>
    <row r="909">
      <c r="A909" s="225"/>
      <c r="B909" s="213"/>
      <c r="C909" s="356"/>
      <c r="D909" s="330"/>
      <c r="E909" s="157"/>
      <c r="F909" s="12"/>
    </row>
    <row r="910">
      <c r="A910" s="225"/>
      <c r="B910" s="213"/>
      <c r="C910" s="356"/>
      <c r="D910" s="330"/>
      <c r="E910" s="157"/>
      <c r="F910" s="12"/>
    </row>
    <row r="911">
      <c r="A911" s="225"/>
      <c r="B911" s="213"/>
      <c r="C911" s="356"/>
      <c r="D911" s="330"/>
      <c r="E911" s="157"/>
      <c r="F911" s="12"/>
    </row>
    <row r="912">
      <c r="A912" s="225"/>
      <c r="B912" s="213"/>
      <c r="C912" s="356"/>
      <c r="D912" s="330"/>
      <c r="E912" s="157"/>
      <c r="F912" s="12"/>
    </row>
    <row r="913">
      <c r="A913" s="225"/>
      <c r="B913" s="213"/>
      <c r="C913" s="356"/>
      <c r="D913" s="330"/>
      <c r="E913" s="157"/>
      <c r="F913" s="12"/>
    </row>
    <row r="914">
      <c r="A914" s="225"/>
      <c r="B914" s="213"/>
      <c r="C914" s="356"/>
      <c r="D914" s="330"/>
      <c r="E914" s="157"/>
      <c r="F914" s="12"/>
    </row>
    <row r="915">
      <c r="A915" s="225"/>
      <c r="B915" s="213"/>
      <c r="C915" s="356"/>
      <c r="D915" s="330"/>
      <c r="E915" s="157"/>
      <c r="F915" s="12"/>
    </row>
    <row r="916">
      <c r="A916" s="225"/>
      <c r="B916" s="213"/>
      <c r="C916" s="356"/>
      <c r="D916" s="330"/>
      <c r="E916" s="157"/>
      <c r="F916" s="12"/>
    </row>
    <row r="917">
      <c r="A917" s="225"/>
      <c r="B917" s="213"/>
      <c r="C917" s="356"/>
      <c r="D917" s="330"/>
      <c r="E917" s="157"/>
      <c r="F917" s="12"/>
    </row>
    <row r="918">
      <c r="A918" s="225"/>
      <c r="B918" s="213"/>
      <c r="C918" s="356"/>
      <c r="D918" s="330"/>
      <c r="E918" s="157"/>
      <c r="F918" s="12"/>
    </row>
    <row r="919">
      <c r="A919" s="225"/>
      <c r="B919" s="213"/>
      <c r="C919" s="356"/>
      <c r="D919" s="330"/>
      <c r="E919" s="157"/>
      <c r="F919" s="12"/>
    </row>
    <row r="920">
      <c r="A920" s="225"/>
      <c r="B920" s="213"/>
      <c r="C920" s="356"/>
      <c r="D920" s="330"/>
      <c r="E920" s="157"/>
      <c r="F920" s="12"/>
    </row>
    <row r="921">
      <c r="A921" s="225"/>
      <c r="B921" s="213"/>
      <c r="C921" s="356"/>
      <c r="D921" s="330"/>
      <c r="E921" s="157"/>
      <c r="F921" s="12"/>
    </row>
    <row r="922">
      <c r="A922" s="225"/>
      <c r="B922" s="213"/>
      <c r="C922" s="356"/>
      <c r="D922" s="330"/>
      <c r="E922" s="157"/>
      <c r="F922" s="12"/>
    </row>
    <row r="923">
      <c r="A923" s="225"/>
      <c r="B923" s="213"/>
      <c r="C923" s="356"/>
      <c r="D923" s="330"/>
      <c r="E923" s="157"/>
      <c r="F923" s="12"/>
    </row>
    <row r="924">
      <c r="A924" s="225"/>
      <c r="B924" s="213"/>
      <c r="C924" s="356"/>
      <c r="D924" s="330"/>
      <c r="E924" s="157"/>
      <c r="F924" s="12"/>
    </row>
    <row r="925">
      <c r="A925" s="225"/>
      <c r="B925" s="213"/>
      <c r="C925" s="356"/>
      <c r="D925" s="330"/>
      <c r="E925" s="157"/>
      <c r="F925" s="12"/>
    </row>
    <row r="926">
      <c r="A926" s="225"/>
      <c r="B926" s="213"/>
      <c r="C926" s="356"/>
      <c r="D926" s="330"/>
      <c r="E926" s="157"/>
      <c r="F926" s="12"/>
    </row>
    <row r="927">
      <c r="A927" s="225"/>
      <c r="B927" s="213"/>
      <c r="C927" s="356"/>
      <c r="D927" s="330"/>
      <c r="E927" s="157"/>
      <c r="F927" s="12"/>
    </row>
    <row r="928">
      <c r="A928" s="225"/>
      <c r="B928" s="213"/>
      <c r="C928" s="356"/>
      <c r="D928" s="330"/>
      <c r="E928" s="157"/>
      <c r="F928" s="12"/>
    </row>
    <row r="929">
      <c r="A929" s="225"/>
      <c r="B929" s="213"/>
      <c r="C929" s="356"/>
      <c r="D929" s="330"/>
      <c r="E929" s="157"/>
      <c r="F929" s="12"/>
    </row>
    <row r="930">
      <c r="A930" s="225"/>
      <c r="B930" s="213"/>
      <c r="C930" s="356"/>
      <c r="D930" s="330"/>
      <c r="E930" s="157"/>
      <c r="F930" s="12"/>
    </row>
    <row r="931">
      <c r="A931" s="225"/>
      <c r="B931" s="213"/>
      <c r="C931" s="356"/>
      <c r="D931" s="330"/>
      <c r="E931" s="157"/>
      <c r="F931" s="12"/>
    </row>
    <row r="932">
      <c r="A932" s="225"/>
      <c r="B932" s="213"/>
      <c r="C932" s="356"/>
      <c r="D932" s="330"/>
      <c r="E932" s="157"/>
      <c r="F932" s="12"/>
    </row>
    <row r="933">
      <c r="A933" s="225"/>
      <c r="B933" s="213"/>
      <c r="C933" s="356"/>
      <c r="D933" s="330"/>
      <c r="E933" s="157"/>
      <c r="F933" s="12"/>
    </row>
    <row r="934">
      <c r="A934" s="225"/>
      <c r="B934" s="213"/>
      <c r="C934" s="356"/>
      <c r="D934" s="330"/>
      <c r="E934" s="157"/>
      <c r="F934" s="12"/>
    </row>
    <row r="935">
      <c r="A935" s="225"/>
      <c r="B935" s="213"/>
      <c r="C935" s="356"/>
      <c r="D935" s="330"/>
      <c r="E935" s="157"/>
      <c r="F935" s="12"/>
    </row>
    <row r="936">
      <c r="A936" s="225"/>
      <c r="B936" s="213"/>
      <c r="C936" s="356"/>
      <c r="D936" s="330"/>
      <c r="E936" s="157"/>
      <c r="F936" s="12"/>
    </row>
    <row r="937">
      <c r="A937" s="225"/>
      <c r="B937" s="213"/>
      <c r="C937" s="356"/>
      <c r="D937" s="330"/>
      <c r="E937" s="157"/>
      <c r="F937" s="12"/>
    </row>
    <row r="938">
      <c r="A938" s="225"/>
      <c r="B938" s="213"/>
      <c r="C938" s="356"/>
      <c r="D938" s="330"/>
      <c r="E938" s="157"/>
      <c r="F938" s="12"/>
    </row>
    <row r="939">
      <c r="A939" s="225"/>
      <c r="B939" s="213"/>
      <c r="C939" s="356"/>
      <c r="D939" s="330"/>
      <c r="E939" s="157"/>
      <c r="F939" s="12"/>
    </row>
    <row r="940">
      <c r="A940" s="225"/>
      <c r="B940" s="213"/>
      <c r="C940" s="356"/>
      <c r="D940" s="330"/>
      <c r="E940" s="157"/>
      <c r="F940" s="12"/>
    </row>
    <row r="941">
      <c r="A941" s="225"/>
      <c r="B941" s="213"/>
      <c r="C941" s="356"/>
      <c r="D941" s="330"/>
      <c r="E941" s="157"/>
      <c r="F941" s="12"/>
    </row>
    <row r="942">
      <c r="A942" s="225"/>
      <c r="B942" s="213"/>
      <c r="C942" s="356"/>
      <c r="D942" s="330"/>
      <c r="E942" s="157"/>
      <c r="F942" s="12"/>
    </row>
    <row r="943">
      <c r="A943" s="225"/>
      <c r="B943" s="213"/>
      <c r="C943" s="356"/>
      <c r="D943" s="330"/>
      <c r="E943" s="157"/>
      <c r="F943" s="12"/>
    </row>
    <row r="944">
      <c r="A944" s="225"/>
      <c r="B944" s="213"/>
      <c r="C944" s="356"/>
      <c r="D944" s="330"/>
      <c r="E944" s="157"/>
      <c r="F944" s="12"/>
    </row>
    <row r="945">
      <c r="A945" s="225"/>
      <c r="B945" s="213"/>
      <c r="C945" s="356"/>
      <c r="D945" s="330"/>
      <c r="E945" s="157"/>
      <c r="F945" s="12"/>
    </row>
    <row r="946">
      <c r="A946" s="225"/>
      <c r="B946" s="213"/>
      <c r="C946" s="356"/>
      <c r="D946" s="330"/>
      <c r="E946" s="157"/>
      <c r="F946" s="12"/>
    </row>
    <row r="947">
      <c r="A947" s="225"/>
      <c r="B947" s="213"/>
      <c r="C947" s="356"/>
      <c r="D947" s="330"/>
      <c r="E947" s="157"/>
      <c r="F947" s="12"/>
    </row>
    <row r="948">
      <c r="A948" s="225"/>
      <c r="B948" s="213"/>
      <c r="C948" s="356"/>
      <c r="D948" s="330"/>
      <c r="E948" s="157"/>
      <c r="F948" s="12"/>
    </row>
    <row r="949">
      <c r="A949" s="225"/>
      <c r="B949" s="213"/>
      <c r="C949" s="356"/>
      <c r="D949" s="330"/>
      <c r="E949" s="157"/>
      <c r="F949" s="12"/>
    </row>
    <row r="950">
      <c r="A950" s="225"/>
      <c r="B950" s="213"/>
      <c r="C950" s="356"/>
      <c r="D950" s="330"/>
      <c r="E950" s="157"/>
      <c r="F950" s="12"/>
    </row>
    <row r="951">
      <c r="A951" s="225"/>
      <c r="B951" s="213"/>
      <c r="C951" s="356"/>
      <c r="D951" s="330"/>
      <c r="E951" s="157"/>
      <c r="F951" s="12"/>
    </row>
    <row r="952">
      <c r="A952" s="225"/>
      <c r="B952" s="213"/>
      <c r="C952" s="356"/>
      <c r="D952" s="330"/>
      <c r="E952" s="157"/>
      <c r="F952" s="12"/>
    </row>
    <row r="953">
      <c r="A953" s="225"/>
      <c r="B953" s="213"/>
      <c r="C953" s="356"/>
      <c r="D953" s="330"/>
      <c r="E953" s="157"/>
      <c r="F953" s="12"/>
    </row>
    <row r="954">
      <c r="A954" s="225"/>
      <c r="B954" s="213"/>
      <c r="C954" s="356"/>
      <c r="D954" s="330"/>
      <c r="E954" s="157"/>
      <c r="F954" s="12"/>
    </row>
    <row r="955">
      <c r="A955" s="225"/>
      <c r="B955" s="213"/>
      <c r="C955" s="356"/>
      <c r="D955" s="330"/>
      <c r="E955" s="157"/>
      <c r="F955" s="12"/>
    </row>
    <row r="956">
      <c r="A956" s="225"/>
      <c r="B956" s="213"/>
      <c r="C956" s="356"/>
      <c r="D956" s="330"/>
      <c r="E956" s="157"/>
      <c r="F956" s="12"/>
    </row>
    <row r="957">
      <c r="A957" s="225"/>
      <c r="B957" s="213"/>
      <c r="C957" s="356"/>
      <c r="D957" s="330"/>
      <c r="E957" s="157"/>
      <c r="F957" s="12"/>
    </row>
    <row r="958">
      <c r="A958" s="225"/>
      <c r="B958" s="213"/>
      <c r="C958" s="356"/>
      <c r="D958" s="330"/>
      <c r="E958" s="157"/>
      <c r="F958" s="12"/>
    </row>
    <row r="959">
      <c r="A959" s="225"/>
      <c r="B959" s="213"/>
      <c r="C959" s="356"/>
      <c r="D959" s="330"/>
      <c r="E959" s="157"/>
      <c r="F959" s="12"/>
    </row>
    <row r="960">
      <c r="A960" s="225"/>
      <c r="B960" s="213"/>
      <c r="C960" s="356"/>
      <c r="D960" s="330"/>
      <c r="E960" s="157"/>
      <c r="F960" s="12"/>
    </row>
    <row r="961">
      <c r="A961" s="225"/>
      <c r="B961" s="213"/>
      <c r="C961" s="356"/>
      <c r="D961" s="330"/>
      <c r="E961" s="157"/>
      <c r="F961" s="12"/>
    </row>
    <row r="962">
      <c r="A962" s="225"/>
      <c r="B962" s="213"/>
      <c r="C962" s="356"/>
      <c r="D962" s="330"/>
      <c r="E962" s="157"/>
      <c r="F962" s="12"/>
    </row>
    <row r="963">
      <c r="A963" s="225"/>
      <c r="B963" s="213"/>
      <c r="C963" s="356"/>
      <c r="D963" s="330"/>
      <c r="E963" s="157"/>
      <c r="F963" s="12"/>
    </row>
    <row r="964">
      <c r="A964" s="225"/>
      <c r="B964" s="213"/>
      <c r="C964" s="356"/>
      <c r="D964" s="330"/>
      <c r="E964" s="157"/>
      <c r="F964" s="12"/>
    </row>
    <row r="965">
      <c r="A965" s="225"/>
      <c r="B965" s="213"/>
      <c r="C965" s="356"/>
      <c r="D965" s="330"/>
      <c r="E965" s="157"/>
      <c r="F965" s="12"/>
    </row>
    <row r="966">
      <c r="A966" s="225"/>
      <c r="B966" s="213"/>
      <c r="C966" s="356"/>
      <c r="D966" s="330"/>
      <c r="E966" s="157"/>
      <c r="F966" s="12"/>
    </row>
    <row r="967">
      <c r="A967" s="225"/>
      <c r="B967" s="213"/>
      <c r="C967" s="356"/>
      <c r="D967" s="330"/>
      <c r="E967" s="157"/>
      <c r="F967" s="12"/>
    </row>
    <row r="968">
      <c r="A968" s="225"/>
      <c r="B968" s="213"/>
      <c r="C968" s="356"/>
      <c r="D968" s="330"/>
      <c r="E968" s="157"/>
      <c r="F968" s="12"/>
    </row>
    <row r="969">
      <c r="A969" s="225"/>
      <c r="B969" s="213"/>
      <c r="C969" s="356"/>
      <c r="D969" s="330"/>
      <c r="E969" s="157"/>
      <c r="F969" s="12"/>
    </row>
    <row r="970">
      <c r="A970" s="225"/>
      <c r="B970" s="213"/>
      <c r="C970" s="356"/>
      <c r="D970" s="330"/>
      <c r="E970" s="157"/>
      <c r="F970" s="12"/>
    </row>
    <row r="971">
      <c r="A971" s="225"/>
      <c r="B971" s="213"/>
      <c r="C971" s="356"/>
      <c r="D971" s="330"/>
      <c r="E971" s="157"/>
      <c r="F971" s="12"/>
    </row>
    <row r="972">
      <c r="A972" s="225"/>
      <c r="B972" s="213"/>
      <c r="C972" s="356"/>
      <c r="D972" s="330"/>
      <c r="E972" s="157"/>
      <c r="F972" s="12"/>
    </row>
    <row r="973">
      <c r="A973" s="225"/>
      <c r="B973" s="213"/>
      <c r="C973" s="356"/>
      <c r="D973" s="330"/>
      <c r="E973" s="157"/>
      <c r="F973" s="12"/>
    </row>
    <row r="974">
      <c r="A974" s="225"/>
      <c r="B974" s="213"/>
      <c r="C974" s="356"/>
      <c r="D974" s="330"/>
      <c r="E974" s="157"/>
      <c r="F974" s="12"/>
    </row>
    <row r="975">
      <c r="A975" s="225"/>
      <c r="B975" s="213"/>
      <c r="C975" s="356"/>
      <c r="D975" s="330"/>
      <c r="E975" s="157"/>
      <c r="F975" s="12"/>
    </row>
    <row r="976">
      <c r="A976" s="225"/>
      <c r="B976" s="213"/>
      <c r="C976" s="356"/>
      <c r="D976" s="330"/>
      <c r="E976" s="157"/>
      <c r="F976" s="12"/>
    </row>
    <row r="977">
      <c r="A977" s="225"/>
      <c r="B977" s="213"/>
      <c r="C977" s="356"/>
      <c r="D977" s="330"/>
      <c r="E977" s="157"/>
      <c r="F977" s="12"/>
    </row>
    <row r="978">
      <c r="A978" s="225"/>
      <c r="B978" s="213"/>
      <c r="C978" s="356"/>
      <c r="D978" s="330"/>
      <c r="E978" s="157"/>
      <c r="F978" s="12"/>
    </row>
    <row r="979">
      <c r="A979" s="225"/>
      <c r="B979" s="213"/>
      <c r="C979" s="356"/>
      <c r="D979" s="330"/>
      <c r="E979" s="157"/>
      <c r="F979" s="12"/>
    </row>
    <row r="980">
      <c r="A980" s="225"/>
      <c r="B980" s="213"/>
      <c r="C980" s="356"/>
      <c r="D980" s="330"/>
      <c r="E980" s="157"/>
      <c r="F980" s="12"/>
    </row>
    <row r="981">
      <c r="A981" s="225"/>
      <c r="B981" s="213"/>
      <c r="C981" s="356"/>
      <c r="D981" s="330"/>
      <c r="E981" s="157"/>
      <c r="F981" s="12"/>
    </row>
    <row r="982">
      <c r="A982" s="225"/>
      <c r="B982" s="213"/>
      <c r="C982" s="356"/>
      <c r="D982" s="330"/>
      <c r="E982" s="157"/>
      <c r="F982" s="12"/>
    </row>
    <row r="983">
      <c r="A983" s="225"/>
      <c r="B983" s="213"/>
      <c r="C983" s="356"/>
      <c r="D983" s="330"/>
      <c r="E983" s="157"/>
      <c r="F983" s="12"/>
    </row>
    <row r="984">
      <c r="A984" s="225"/>
      <c r="B984" s="213"/>
      <c r="C984" s="356"/>
      <c r="D984" s="330"/>
      <c r="E984" s="157"/>
      <c r="F984" s="12"/>
    </row>
    <row r="985">
      <c r="A985" s="225"/>
      <c r="B985" s="213"/>
      <c r="C985" s="356"/>
      <c r="D985" s="330"/>
      <c r="E985" s="157"/>
      <c r="F985" s="12"/>
    </row>
    <row r="986">
      <c r="A986" s="225"/>
      <c r="B986" s="213"/>
      <c r="C986" s="356"/>
      <c r="D986" s="330"/>
      <c r="E986" s="157"/>
      <c r="F986" s="12"/>
    </row>
    <row r="987">
      <c r="A987" s="225"/>
      <c r="B987" s="213"/>
      <c r="C987" s="356"/>
      <c r="D987" s="330"/>
      <c r="E987" s="157"/>
      <c r="F987" s="12"/>
    </row>
    <row r="988">
      <c r="A988" s="225"/>
      <c r="B988" s="213"/>
      <c r="C988" s="356"/>
      <c r="D988" s="330"/>
      <c r="E988" s="157"/>
      <c r="F988" s="12"/>
    </row>
    <row r="989">
      <c r="A989" s="225"/>
      <c r="B989" s="213"/>
      <c r="C989" s="356"/>
      <c r="D989" s="330"/>
      <c r="E989" s="157"/>
      <c r="F989" s="12"/>
    </row>
    <row r="990">
      <c r="A990" s="225"/>
      <c r="B990" s="213"/>
      <c r="C990" s="356"/>
      <c r="D990" s="330"/>
      <c r="E990" s="157"/>
      <c r="F990" s="12"/>
    </row>
    <row r="991">
      <c r="A991" s="225"/>
      <c r="B991" s="213"/>
      <c r="C991" s="356"/>
      <c r="D991" s="330"/>
      <c r="E991" s="157"/>
      <c r="F991" s="12"/>
    </row>
    <row r="992">
      <c r="A992" s="225"/>
      <c r="B992" s="213"/>
      <c r="C992" s="356"/>
      <c r="D992" s="330"/>
      <c r="E992" s="157"/>
      <c r="F992" s="12"/>
    </row>
    <row r="993">
      <c r="A993" s="225"/>
      <c r="B993" s="213"/>
      <c r="C993" s="356"/>
      <c r="D993" s="330"/>
      <c r="E993" s="157"/>
      <c r="F993" s="12"/>
    </row>
    <row r="994">
      <c r="A994" s="225"/>
      <c r="B994" s="213"/>
      <c r="C994" s="356"/>
      <c r="D994" s="330"/>
      <c r="E994" s="157"/>
      <c r="F994" s="12"/>
    </row>
    <row r="995">
      <c r="A995" s="225"/>
      <c r="B995" s="213"/>
      <c r="C995" s="356"/>
      <c r="D995" s="330"/>
      <c r="E995" s="157"/>
      <c r="F995" s="12"/>
    </row>
    <row r="996">
      <c r="A996" s="225"/>
      <c r="B996" s="213"/>
      <c r="C996" s="356"/>
      <c r="D996" s="330"/>
      <c r="E996" s="157"/>
      <c r="F996" s="12"/>
    </row>
    <row r="997">
      <c r="A997" s="225"/>
      <c r="B997" s="213"/>
      <c r="C997" s="356"/>
      <c r="D997" s="330"/>
      <c r="E997" s="157"/>
      <c r="F997" s="12"/>
    </row>
    <row r="998">
      <c r="A998" s="225"/>
      <c r="B998" s="213"/>
      <c r="C998" s="356"/>
      <c r="D998" s="330"/>
      <c r="E998" s="157"/>
      <c r="F998" s="12"/>
    </row>
    <row r="999">
      <c r="A999" s="225"/>
      <c r="B999" s="213"/>
      <c r="C999" s="356"/>
      <c r="D999" s="330"/>
      <c r="E999" s="157"/>
      <c r="F999" s="12"/>
    </row>
    <row r="1000">
      <c r="A1000" s="225"/>
      <c r="B1000" s="213"/>
      <c r="C1000" s="356"/>
      <c r="D1000" s="330"/>
      <c r="E1000" s="157"/>
      <c r="F1000" s="12"/>
    </row>
    <row r="1001">
      <c r="A1001" s="225"/>
      <c r="B1001" s="213"/>
      <c r="C1001" s="356"/>
      <c r="D1001" s="330"/>
      <c r="E1001" s="157"/>
      <c r="F1001" s="12"/>
    </row>
    <row r="1002">
      <c r="A1002" s="225"/>
      <c r="B1002" s="213"/>
      <c r="C1002" s="356"/>
      <c r="D1002" s="330"/>
      <c r="E1002" s="157"/>
      <c r="F1002" s="12"/>
    </row>
    <row r="1003">
      <c r="A1003" s="225"/>
      <c r="B1003" s="213"/>
      <c r="C1003" s="356"/>
      <c r="D1003" s="330"/>
      <c r="E1003" s="157"/>
      <c r="F1003" s="12"/>
    </row>
    <row r="1004">
      <c r="A1004" s="225"/>
      <c r="B1004" s="213"/>
      <c r="C1004" s="356"/>
      <c r="D1004" s="330"/>
      <c r="E1004" s="157"/>
      <c r="F1004" s="12"/>
    </row>
    <row r="1005">
      <c r="A1005" s="225"/>
      <c r="B1005" s="213"/>
      <c r="C1005" s="356"/>
      <c r="D1005" s="330"/>
      <c r="E1005" s="157"/>
      <c r="F1005" s="12"/>
    </row>
    <row r="1006">
      <c r="A1006" s="225"/>
      <c r="B1006" s="213"/>
      <c r="C1006" s="356"/>
      <c r="D1006" s="330"/>
      <c r="E1006" s="157"/>
      <c r="F1006" s="12"/>
    </row>
    <row r="1007">
      <c r="A1007" s="225"/>
      <c r="B1007" s="213"/>
      <c r="C1007" s="356"/>
      <c r="D1007" s="330"/>
      <c r="E1007" s="157"/>
      <c r="F1007" s="12"/>
    </row>
    <row r="1008">
      <c r="A1008" s="225"/>
      <c r="B1008" s="213"/>
      <c r="C1008" s="356"/>
      <c r="D1008" s="330"/>
      <c r="E1008" s="157"/>
      <c r="F1008" s="12"/>
    </row>
  </sheetData>
  <mergeCells count="39">
    <mergeCell ref="I10:I13"/>
    <mergeCell ref="I14:I15"/>
    <mergeCell ref="I18:I21"/>
    <mergeCell ref="I22:I25"/>
    <mergeCell ref="A27:D27"/>
    <mergeCell ref="A28:D28"/>
    <mergeCell ref="A29:D29"/>
    <mergeCell ref="A30:D30"/>
    <mergeCell ref="A31:D31"/>
    <mergeCell ref="A32:D32"/>
    <mergeCell ref="A33:D33"/>
    <mergeCell ref="A34:D34"/>
    <mergeCell ref="A35:D35"/>
    <mergeCell ref="A36:D36"/>
    <mergeCell ref="A37:D37"/>
    <mergeCell ref="A38:D38"/>
    <mergeCell ref="A39:D39"/>
    <mergeCell ref="A40:D40"/>
    <mergeCell ref="A41:D41"/>
    <mergeCell ref="A42:D42"/>
    <mergeCell ref="A43:D43"/>
    <mergeCell ref="A44:D44"/>
    <mergeCell ref="A45:D45"/>
    <mergeCell ref="A46:D46"/>
    <mergeCell ref="A47:D47"/>
    <mergeCell ref="A48:D48"/>
    <mergeCell ref="A49:D49"/>
    <mergeCell ref="A50:D50"/>
    <mergeCell ref="A58:D58"/>
    <mergeCell ref="A59:D59"/>
    <mergeCell ref="A60:D60"/>
    <mergeCell ref="A61:D61"/>
    <mergeCell ref="A51:D51"/>
    <mergeCell ref="A52:D52"/>
    <mergeCell ref="A53:D53"/>
    <mergeCell ref="A54:D54"/>
    <mergeCell ref="A55:D55"/>
    <mergeCell ref="A56:D56"/>
    <mergeCell ref="A57:D57"/>
  </mergeCells>
  <conditionalFormatting sqref="B9:D24">
    <cfRule type="expression" dxfId="13" priority="1">
      <formula>$A9="Yes!"</formula>
    </cfRule>
  </conditionalFormatting>
  <conditionalFormatting sqref="A9:A24">
    <cfRule type="containsText" dxfId="15" priority="2" operator="containsText" text="Yes">
      <formula>NOT(ISERROR(SEARCH(("Yes"),(A9))))</formula>
    </cfRule>
  </conditionalFormatting>
  <conditionalFormatting sqref="A9:A24">
    <cfRule type="containsText" dxfId="14" priority="3" operator="containsText" text="No">
      <formula>NOT(ISERROR(SEARCH(("No"),(A9))))</formula>
    </cfRule>
  </conditionalFormatting>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0"/>
    <col customWidth="1" min="2" max="2" width="21.0"/>
    <col customWidth="1" min="3" max="3" width="18.75"/>
    <col customWidth="1" min="4" max="4" width="16.0"/>
    <col customWidth="1" min="7" max="7" width="20.5"/>
    <col customWidth="1" min="8" max="8" width="58.13"/>
    <col customWidth="1" min="9" max="9" width="16.63"/>
    <col hidden="1" min="10" max="10" width="12.63"/>
  </cols>
  <sheetData>
    <row r="1">
      <c r="A1" s="382" t="s">
        <v>896</v>
      </c>
      <c r="B1" s="383"/>
      <c r="C1" s="384"/>
      <c r="D1" s="386"/>
      <c r="E1" s="388"/>
      <c r="F1" s="389"/>
      <c r="G1" s="391"/>
      <c r="H1" s="391"/>
      <c r="I1" s="386"/>
      <c r="J1" s="386"/>
    </row>
    <row r="2">
      <c r="A2" s="152" t="s">
        <v>901</v>
      </c>
    </row>
    <row r="3">
      <c r="A3" s="152" t="s">
        <v>902</v>
      </c>
    </row>
    <row r="4">
      <c r="A4" s="152" t="s">
        <v>904</v>
      </c>
    </row>
    <row r="5">
      <c r="A5" s="152" t="s">
        <v>905</v>
      </c>
    </row>
    <row r="6">
      <c r="A6" s="152" t="s">
        <v>906</v>
      </c>
    </row>
    <row r="7">
      <c r="A7" s="153"/>
      <c r="B7" s="154"/>
      <c r="C7" s="155"/>
      <c r="D7" s="156"/>
      <c r="E7" s="157"/>
      <c r="F7" s="12"/>
    </row>
    <row r="8">
      <c r="A8" s="86" t="s">
        <v>199</v>
      </c>
      <c r="B8" s="159" t="s">
        <v>53</v>
      </c>
      <c r="C8" s="159" t="s">
        <v>200</v>
      </c>
      <c r="D8" s="159" t="s">
        <v>201</v>
      </c>
      <c r="E8" s="157"/>
      <c r="F8" s="160" t="s">
        <v>199</v>
      </c>
      <c r="G8" s="159" t="s">
        <v>53</v>
      </c>
      <c r="H8" s="162" t="s">
        <v>202</v>
      </c>
      <c r="I8" s="163" t="s">
        <v>203</v>
      </c>
    </row>
    <row r="9">
      <c r="A9" s="394" t="str">
        <f>if(Waylon_Import!B5=true,"Yes!","No")</f>
        <v>Yes!</v>
      </c>
      <c r="B9" s="395" t="s">
        <v>706</v>
      </c>
      <c r="C9" s="396" t="s">
        <v>205</v>
      </c>
      <c r="D9" s="397" t="s">
        <v>206</v>
      </c>
      <c r="F9" s="345" t="str">
        <f>if(Waylon_Import!B24=true,"Yes!","No")</f>
        <v>Yes!</v>
      </c>
      <c r="G9" s="398" t="s">
        <v>368</v>
      </c>
      <c r="H9" s="399" t="s">
        <v>910</v>
      </c>
      <c r="I9" s="171" t="s">
        <v>209</v>
      </c>
      <c r="J9" s="172">
        <f>COUNTif(F9,"Yes!")</f>
        <v>1</v>
      </c>
    </row>
    <row r="10">
      <c r="A10" s="400" t="str">
        <f>if(Waylon_Import!B6=true,"Yes!","No")</f>
        <v>Yes!</v>
      </c>
      <c r="B10" s="401" t="s">
        <v>290</v>
      </c>
      <c r="C10" s="402" t="s">
        <v>212</v>
      </c>
      <c r="D10" s="403" t="s">
        <v>206</v>
      </c>
      <c r="F10" s="404" t="str">
        <f>if(Waylon_Import!B25=true,"Yes!","No")</f>
        <v>Yes!</v>
      </c>
      <c r="G10" s="405" t="s">
        <v>260</v>
      </c>
      <c r="H10" s="406" t="s">
        <v>914</v>
      </c>
      <c r="I10" s="171" t="s">
        <v>267</v>
      </c>
      <c r="J10" s="172">
        <f>COUNTif(F10:F12,"Yes!")</f>
        <v>3</v>
      </c>
    </row>
    <row r="11">
      <c r="A11" s="400" t="str">
        <f>if(Waylon_Import!B7=true,"Yes!","No")</f>
        <v>Yes!</v>
      </c>
      <c r="B11" s="401" t="s">
        <v>570</v>
      </c>
      <c r="C11" s="402" t="s">
        <v>217</v>
      </c>
      <c r="D11" s="403" t="s">
        <v>206</v>
      </c>
      <c r="F11" s="407" t="str">
        <f>if(Waylon_Import!B26=true,"Yes!","No")</f>
        <v>Yes!</v>
      </c>
      <c r="G11" s="408" t="s">
        <v>481</v>
      </c>
      <c r="H11" s="409" t="s">
        <v>914</v>
      </c>
      <c r="I11" s="182"/>
      <c r="J11" s="172"/>
    </row>
    <row r="12">
      <c r="A12" s="400" t="str">
        <f>if(Waylon_Import!B8=true,"Yes!","No")</f>
        <v>Yes!</v>
      </c>
      <c r="B12" s="401" t="s">
        <v>528</v>
      </c>
      <c r="C12" s="402" t="s">
        <v>221</v>
      </c>
      <c r="D12" s="403" t="s">
        <v>222</v>
      </c>
      <c r="F12" s="407" t="str">
        <f>if(Waylon_Import!B27=true,"Yes!","No")</f>
        <v>Yes!</v>
      </c>
      <c r="G12" s="408" t="s">
        <v>566</v>
      </c>
      <c r="H12" s="409" t="s">
        <v>917</v>
      </c>
      <c r="I12" s="182"/>
      <c r="J12" s="172"/>
    </row>
    <row r="13">
      <c r="A13" s="400" t="str">
        <f>if(Waylon_Import!B9=true,"Yes!","No")</f>
        <v>Yes!</v>
      </c>
      <c r="B13" s="401" t="s">
        <v>502</v>
      </c>
      <c r="C13" s="402" t="s">
        <v>226</v>
      </c>
      <c r="D13" s="403" t="s">
        <v>918</v>
      </c>
      <c r="F13" s="404" t="str">
        <f>if(Waylon_Import!B28=true,"Yes!","No")</f>
        <v>Yes!</v>
      </c>
      <c r="G13" s="398" t="s">
        <v>495</v>
      </c>
      <c r="H13" s="406" t="s">
        <v>920</v>
      </c>
      <c r="I13" s="171" t="s">
        <v>267</v>
      </c>
      <c r="J13" s="172">
        <f>COUNTif(F13:F16,"Yes!")</f>
        <v>2</v>
      </c>
    </row>
    <row r="14">
      <c r="A14" s="400" t="str">
        <f>if(Waylon_Import!B10=true,"Yes!","No")</f>
        <v>Yes!</v>
      </c>
      <c r="B14" s="401" t="s">
        <v>492</v>
      </c>
      <c r="C14" s="402" t="s">
        <v>359</v>
      </c>
      <c r="D14" s="403" t="s">
        <v>922</v>
      </c>
      <c r="F14" s="407" t="str">
        <f>if(Waylon_Import!B29=true,"Yes!","No")</f>
        <v>Yes!</v>
      </c>
      <c r="G14" s="412" t="s">
        <v>294</v>
      </c>
      <c r="H14" s="409" t="s">
        <v>923</v>
      </c>
      <c r="I14" s="182"/>
      <c r="J14" s="172"/>
    </row>
    <row r="15">
      <c r="A15" s="400" t="str">
        <f>if(Waylon_Import!B11=true,"Yes!","No")</f>
        <v>Yes!</v>
      </c>
      <c r="B15" s="401" t="s">
        <v>925</v>
      </c>
      <c r="C15" s="402" t="s">
        <v>926</v>
      </c>
      <c r="D15" s="403" t="s">
        <v>232</v>
      </c>
      <c r="F15" s="415" t="str">
        <f>if(Waylon_Import!B30=true,"Yes!","No")</f>
        <v>No</v>
      </c>
      <c r="G15" s="416" t="s">
        <v>373</v>
      </c>
      <c r="H15" s="417" t="s">
        <v>927</v>
      </c>
      <c r="I15" s="182"/>
      <c r="J15" s="172"/>
    </row>
    <row r="16">
      <c r="A16" s="400" t="str">
        <f>if(Waylon_Import!B12=true,"Yes!","No")</f>
        <v>Yes!</v>
      </c>
      <c r="B16" s="401" t="s">
        <v>795</v>
      </c>
      <c r="C16" s="402" t="s">
        <v>359</v>
      </c>
      <c r="D16" s="403" t="s">
        <v>928</v>
      </c>
      <c r="F16" s="415" t="str">
        <f>if(Waylon_Import!B31=true,"Yes!","No")</f>
        <v>No</v>
      </c>
      <c r="G16" s="416" t="s">
        <v>384</v>
      </c>
      <c r="H16" s="417" t="s">
        <v>929</v>
      </c>
      <c r="I16" s="182"/>
      <c r="J16" s="172"/>
    </row>
    <row r="17">
      <c r="A17" s="400" t="str">
        <f>if(Waylon_Import!B13=true,"Yes!","No")</f>
        <v>Yes!</v>
      </c>
      <c r="B17" s="401" t="s">
        <v>768</v>
      </c>
      <c r="C17" s="402" t="s">
        <v>930</v>
      </c>
      <c r="D17" s="403" t="s">
        <v>931</v>
      </c>
      <c r="F17" s="404" t="str">
        <f>if(Waylon_Import!B32=true,"Yes!","No")</f>
        <v>Yes!</v>
      </c>
      <c r="G17" s="398" t="s">
        <v>553</v>
      </c>
      <c r="H17" s="406" t="s">
        <v>932</v>
      </c>
      <c r="I17" s="171" t="s">
        <v>209</v>
      </c>
      <c r="J17" s="172">
        <f>COUNTif(F17,"Yes!")</f>
        <v>1</v>
      </c>
    </row>
    <row r="18">
      <c r="A18" s="400" t="str">
        <f>if(Waylon_Import!B14=true,"Yes!","No")</f>
        <v>Yes!</v>
      </c>
      <c r="B18" s="401" t="s">
        <v>260</v>
      </c>
      <c r="C18" s="402" t="s">
        <v>933</v>
      </c>
      <c r="D18" s="403" t="s">
        <v>934</v>
      </c>
      <c r="F18" s="418" t="str">
        <f>if(Waylon_Import!B33=true,"Yes!","No")</f>
        <v>No</v>
      </c>
      <c r="G18" s="419" t="s">
        <v>251</v>
      </c>
      <c r="H18" s="420" t="s">
        <v>935</v>
      </c>
      <c r="I18" s="421"/>
      <c r="J18" s="172">
        <f>COUNTif(F18:F20,"Yes!")</f>
        <v>2</v>
      </c>
    </row>
    <row r="19">
      <c r="A19" s="400" t="str">
        <f>if(Waylon_Import!B15=true,"Yes!","No")</f>
        <v>Yes!</v>
      </c>
      <c r="B19" s="401" t="s">
        <v>271</v>
      </c>
      <c r="C19" s="402" t="s">
        <v>247</v>
      </c>
      <c r="D19" s="403" t="s">
        <v>936</v>
      </c>
      <c r="F19" s="404" t="str">
        <f>if(Waylon_Import!B34=true,"Yes!","No")</f>
        <v>Yes!</v>
      </c>
      <c r="G19" s="398" t="s">
        <v>360</v>
      </c>
      <c r="H19" s="406" t="s">
        <v>937</v>
      </c>
      <c r="I19" s="171" t="s">
        <v>267</v>
      </c>
      <c r="J19" s="172">
        <f>COUNTif(F19:F22,"Yes!")</f>
        <v>3</v>
      </c>
    </row>
    <row r="20">
      <c r="A20" s="400" t="str">
        <f>if(Waylon_Import!B16=true,"Yes!","No")</f>
        <v>Yes!</v>
      </c>
      <c r="B20" s="401" t="s">
        <v>213</v>
      </c>
      <c r="C20" s="423" t="s">
        <v>938</v>
      </c>
      <c r="D20" s="424" t="s">
        <v>939</v>
      </c>
      <c r="F20" s="407" t="str">
        <f>if(Waylon_Import!B35=true,"Yes!","No")</f>
        <v>Yes!</v>
      </c>
      <c r="G20" s="412" t="s">
        <v>659</v>
      </c>
      <c r="H20" s="409" t="s">
        <v>940</v>
      </c>
      <c r="I20" s="182"/>
      <c r="J20" s="172"/>
    </row>
    <row r="21">
      <c r="A21" s="400" t="str">
        <f>if(Waylon_Import!B17=true,"Yes!","No")</f>
        <v>Yes!</v>
      </c>
      <c r="B21" s="401" t="s">
        <v>941</v>
      </c>
      <c r="C21" s="402" t="s">
        <v>269</v>
      </c>
      <c r="D21" s="403" t="s">
        <v>547</v>
      </c>
      <c r="F21" s="415" t="str">
        <f>if(Waylon_Import!B36=true,"Yes!","No")</f>
        <v>No</v>
      </c>
      <c r="G21" s="416" t="s">
        <v>262</v>
      </c>
      <c r="H21" s="417" t="s">
        <v>942</v>
      </c>
      <c r="I21" s="182"/>
      <c r="J21" s="172"/>
    </row>
    <row r="22">
      <c r="A22" s="400" t="str">
        <f>if(Waylon_Import!B18=true,"Yes!","No")</f>
        <v>No</v>
      </c>
      <c r="B22" s="401" t="s">
        <v>288</v>
      </c>
      <c r="C22" s="402" t="s">
        <v>943</v>
      </c>
      <c r="D22" s="403" t="s">
        <v>944</v>
      </c>
      <c r="F22" s="407" t="str">
        <f>if(Waylon_Import!B37=true,"Yes!","No")</f>
        <v>Yes!</v>
      </c>
      <c r="G22" s="412" t="s">
        <v>559</v>
      </c>
      <c r="H22" s="409" t="s">
        <v>945</v>
      </c>
      <c r="I22" s="182"/>
      <c r="J22" s="172"/>
    </row>
    <row r="23">
      <c r="A23" s="400" t="str">
        <f>if(Waylon_Import!B19=true,"Yes!","No")</f>
        <v>No</v>
      </c>
      <c r="B23" s="401" t="s">
        <v>211</v>
      </c>
      <c r="C23" s="402" t="s">
        <v>273</v>
      </c>
      <c r="D23" s="403" t="s">
        <v>946</v>
      </c>
      <c r="F23" s="404" t="str">
        <f>if(Waylon_Import!B38=true,"Yes!","No")</f>
        <v>Yes!</v>
      </c>
      <c r="G23" s="405" t="s">
        <v>288</v>
      </c>
      <c r="H23" s="406" t="s">
        <v>947</v>
      </c>
      <c r="I23" s="171" t="s">
        <v>209</v>
      </c>
      <c r="J23" s="172">
        <f>COUNTif(F23,"Yes!")</f>
        <v>1</v>
      </c>
    </row>
    <row r="24">
      <c r="A24" s="400" t="str">
        <f>If(Dashboard!$M13=TRUE,"Yes!","No")</f>
        <v>No</v>
      </c>
      <c r="B24" s="365" t="s">
        <v>849</v>
      </c>
      <c r="C24" s="366"/>
      <c r="D24" s="367"/>
      <c r="F24" s="425" t="str">
        <f>if(Waylon_Import!B39=true,"Yes!","No")</f>
        <v>Yes!</v>
      </c>
      <c r="G24" s="405" t="s">
        <v>297</v>
      </c>
      <c r="H24" s="406" t="s">
        <v>948</v>
      </c>
      <c r="I24" s="171"/>
      <c r="J24" s="172"/>
    </row>
    <row r="25">
      <c r="F25" s="407" t="str">
        <f>if(Waylon_Import!B40=true,"Yes!","No")</f>
        <v>Yes!</v>
      </c>
      <c r="G25" s="405" t="s">
        <v>412</v>
      </c>
      <c r="H25" s="406" t="s">
        <v>949</v>
      </c>
      <c r="I25" s="171" t="s">
        <v>281</v>
      </c>
      <c r="J25" s="172">
        <f>COUNTif(F25:F26,"Yes!")</f>
        <v>1</v>
      </c>
    </row>
    <row r="26">
      <c r="A26" s="202" t="s">
        <v>287</v>
      </c>
      <c r="F26" s="415" t="str">
        <f>if(Waylon_Import!B41=true,"Yes!","No")</f>
        <v>No</v>
      </c>
      <c r="G26" s="426" t="s">
        <v>703</v>
      </c>
      <c r="H26" s="417" t="s">
        <v>950</v>
      </c>
      <c r="I26" s="182"/>
      <c r="J26" s="172"/>
    </row>
    <row r="27">
      <c r="A27" s="205" t="str">
        <f>IFERROR(__xludf.DUMMYFUNCTION("IFERROR(
  FILTER(
    FLATTEN({Waylon_Import!C5:C20; Waylon_Import!C24:C52; Waylon_Import!A59:A90}),
    FLATTEN({Waylon_Import!C5:C20; Waylon_Import!C24:C52; Waylon_Import!A59:A90}) &lt;&gt; """"
  ),
  """"
)"),"Got engagement from every member of the party and seemed to be starting to work together well.  Sledge and one other party member (name I can't remember) proactively decided to approach Ursula.  Weren't shy about mild deception with Ursula and planned out"&amp;" the approach to her together.  One party member expressed a bit of concern about going after Ursula because she had been tried and found innocent earlier in Waylon.  Were interested in Crabtree &amp; Evelyn's.  ")</f>
        <v>Got engagement from every member of the party and seemed to be starting to work together well.  Sledge and one other party member (name I can't remember) proactively decided to approach Ursula.  Weren't shy about mild deception with Ursula and planned out the approach to her together.  One party member expressed a bit of concern about going after Ursula because she had been tried and found innocent earlier in Waylon.  Were interested in Crabtree &amp; Evelyn's.  </v>
      </c>
      <c r="B27" s="4"/>
      <c r="C27" s="4"/>
      <c r="D27" s="5"/>
      <c r="F27" s="404" t="str">
        <f>if(Waylon_Import!B42=true,"Yes!","No")</f>
        <v>Yes!</v>
      </c>
      <c r="G27" s="405" t="s">
        <v>627</v>
      </c>
      <c r="H27" s="406" t="s">
        <v>951</v>
      </c>
      <c r="I27" s="171" t="s">
        <v>281</v>
      </c>
      <c r="J27" s="172">
        <f>COUNTif(F27:F28,"Yes!")</f>
        <v>2</v>
      </c>
    </row>
    <row r="28">
      <c r="A28" s="211" t="str">
        <f>IFERROR(__xludf.DUMMYFUNCTION("""COMPUTED_VALUE"""),"Sledge, Tureek drove the conversation.  Others engaged at the other end of the table with other staff.")</f>
        <v>Sledge, Tureek drove the conversation.  Others engaged at the other end of the table with other staff.</v>
      </c>
      <c r="D28" s="182"/>
      <c r="F28" s="407" t="str">
        <f>if(Waylon_Import!B43=true,"Yes!","No")</f>
        <v>Yes!</v>
      </c>
      <c r="G28" s="408" t="s">
        <v>452</v>
      </c>
      <c r="H28" s="409" t="s">
        <v>951</v>
      </c>
      <c r="I28" s="182"/>
      <c r="J28" s="172"/>
    </row>
    <row r="29">
      <c r="A29" s="211" t="str">
        <f>IFERROR(__xludf.DUMMYFUNCTION("""COMPUTED_VALUE"""),"Took them over to Evelyn, they were hesitant to engage the skeevers on the way, initally snuck around them before deciding to go back and fight")</f>
        <v>Took them over to Evelyn, they were hesitant to engage the skeevers on the way, initally snuck around them before deciding to go back and fight</v>
      </c>
      <c r="D29" s="182"/>
      <c r="F29" s="404" t="str">
        <f>if(Waylon_Import!B44=true,"Yes!","No")</f>
        <v>Yes!</v>
      </c>
      <c r="G29" s="405" t="s">
        <v>343</v>
      </c>
      <c r="H29" s="406" t="s">
        <v>952</v>
      </c>
      <c r="I29" s="171" t="s">
        <v>281</v>
      </c>
      <c r="J29" s="172">
        <f>COUNTif(F29:F31,"Yes!")</f>
        <v>3</v>
      </c>
    </row>
    <row r="30">
      <c r="A30" s="211" t="str">
        <f>IFERROR(__xludf.DUMMYFUNCTION("""COMPUTED_VALUE"""),"4th Friday, gave list and people, they guessed skull cup with cult, everyone seemed engaged, they were sometimes laser focused on the mission but also seemed to enjoy our story")</f>
        <v>4th Friday, gave list and people, they guessed skull cup with cult, everyone seemed engaged, they were sometimes laser focused on the mission but also seemed to enjoy our story</v>
      </c>
      <c r="D30" s="182"/>
      <c r="F30" s="407" t="str">
        <f>if(Waylon_Import!B45=true,"Yes!","No")</f>
        <v>Yes!</v>
      </c>
      <c r="G30" s="408" t="s">
        <v>204</v>
      </c>
      <c r="H30" s="409" t="s">
        <v>953</v>
      </c>
      <c r="I30" s="182"/>
      <c r="J30" s="172"/>
    </row>
    <row r="31">
      <c r="A31" s="211" t="str">
        <f>IFERROR(__xludf.DUMMYFUNCTION("""COMPUTED_VALUE"""),"1st Saturday. The whole group crushed the What Tree challenge. They gave very thoughtful answers and each member ""accepted"" the final choice. Seems like they are firing on all cylinders - RP")</f>
        <v>1st Saturday. The whole group crushed the What Tree challenge. They gave very thoughtful answers and each member "accepted" the final choice. Seems like they are firing on all cylinders - RP</v>
      </c>
      <c r="D31" s="182"/>
      <c r="F31" s="407" t="str">
        <f>if(Waylon_Import!B46=true,"Yes!","No")</f>
        <v>Yes!</v>
      </c>
      <c r="G31" s="408" t="s">
        <v>380</v>
      </c>
      <c r="H31" s="409" t="s">
        <v>954</v>
      </c>
      <c r="I31" s="182"/>
      <c r="J31" s="172"/>
    </row>
    <row r="32">
      <c r="A32" s="211" t="str">
        <f>IFERROR(__xludf.DUMMYFUNCTION("""COMPUTED_VALUE"""),"after lunch out side tavern. made them flatter me and they did a great job")</f>
        <v>after lunch out side tavern. made them flatter me and they did a great job</v>
      </c>
      <c r="D32" s="182"/>
      <c r="F32" s="418" t="str">
        <f>if(Waylon_Import!B47=true,"Yes!","No")</f>
        <v>No</v>
      </c>
      <c r="G32" s="419" t="s">
        <v>620</v>
      </c>
      <c r="H32" s="420" t="s">
        <v>955</v>
      </c>
      <c r="I32" s="171" t="s">
        <v>367</v>
      </c>
      <c r="J32" s="172">
        <f>COUNTif(F32:F36,"Yes!")</f>
        <v>4</v>
      </c>
    </row>
    <row r="33">
      <c r="A33" s="211" t="str">
        <f>IFERROR(__xludf.DUMMYFUNCTION("""COMPUTED_VALUE"""),"Done with flying colors. Scheduled to meet at 930A Sunday in front of tavern. ")</f>
        <v>Done with flying colors. Scheduled to meet at 930A Sunday in front of tavern. </v>
      </c>
      <c r="D33" s="182"/>
      <c r="F33" s="407" t="str">
        <f>if(Waylon_Import!B48=true,"Yes!","No")</f>
        <v>Yes!</v>
      </c>
      <c r="G33" s="408" t="s">
        <v>382</v>
      </c>
      <c r="H33" s="409" t="s">
        <v>963</v>
      </c>
      <c r="I33" s="182"/>
      <c r="J33" s="172"/>
    </row>
    <row r="34">
      <c r="A34" s="211" t="str">
        <f>IFERROR(__xludf.DUMMYFUNCTION("""COMPUTED_VALUE"""),"Just before lunch. They spoke of needing it for a potion they were brewing, but seemed to not want to talk in depth about what the potion was for. May have just been thinking that Makai don't do magic.")</f>
        <v>Just before lunch. They spoke of needing it for a potion they were brewing, but seemed to not want to talk in depth about what the potion was for. May have just been thinking that Makai don't do magic.</v>
      </c>
      <c r="D34" s="182"/>
      <c r="F34" s="407" t="str">
        <f>if(Waylon_Import!B49=true,"Yes!","No")</f>
        <v>Yes!</v>
      </c>
      <c r="G34" s="408" t="s">
        <v>624</v>
      </c>
      <c r="H34" s="409" t="s">
        <v>963</v>
      </c>
      <c r="I34" s="182"/>
      <c r="J34" s="172"/>
    </row>
    <row r="35">
      <c r="A35" s="211" t="str">
        <f>IFERROR(__xludf.DUMMYFUNCTION("""COMPUTED_VALUE"""),"Saturday lunch: the party did tghe Memorial challenge. The way they walted to be remembered is through love, joy and songs. They didn't have a specific song in mind, so I got them talking about the people they met so far, and who they loved -- which was q"&amp;"uite a few (Miscelenia, Light and others). Then I asked them to think if those people also loved them, and after some thought they said they think they did -- so in practice their memorial is already created :-)")</f>
        <v>Saturday lunch: the party did tghe Memorial challenge. The way they walted to be remembered is through love, joy and songs. They didn't have a specific song in mind, so I got them talking about the people they met so far, and who they loved -- which was quite a few (Miscelenia, Light and others). Then I asked them to think if those people also loved them, and after some thought they said they think they did -- so in practice their memorial is already created :-)</v>
      </c>
      <c r="D35" s="182"/>
      <c r="F35" s="407" t="str">
        <f>if(Waylon_Import!B50=true,"Yes!","No")</f>
        <v>Yes!</v>
      </c>
      <c r="G35" s="408" t="s">
        <v>593</v>
      </c>
      <c r="H35" s="409" t="s">
        <v>964</v>
      </c>
      <c r="I35" s="182"/>
      <c r="J35" s="172"/>
    </row>
    <row r="36">
      <c r="A36" s="211" t="str">
        <f>IFERROR(__xludf.DUMMYFUNCTION("""COMPUTED_VALUE"""),"was warmly welcomed to their table at lumnch as if Dusty was Lady Gaga-famous, brought me a cup of coffee and told me all about their duchy and their need for a smoke stone jar and were invited up to the peacock camp after lunch. Came up, sang their heart"&amp;"s out and played guitar, then did 2 rounds of perfect square challenge. When asked if they were satisfied with the first square (rhombus) or second square (hourglass) they asked for one more round to try again, and nailed it. Lots of patience, comraderie,"&amp;" sharing of tasks. Got their item from Dusty.")</f>
        <v>was warmly welcomed to their table at lumnch as if Dusty was Lady Gaga-famous, brought me a cup of coffee and told me all about their duchy and their need for a smoke stone jar and were invited up to the peacock camp after lunch. Came up, sang their hearts out and played guitar, then did 2 rounds of perfect square challenge. When asked if they were satisfied with the first square (rhombus) or second square (hourglass) they asked for one more round to try again, and nailed it. Lots of patience, comraderie, sharing of tasks. Got their item from Dusty.</v>
      </c>
      <c r="D36" s="182"/>
      <c r="F36" s="407" t="str">
        <f>if(Waylon_Import!B51=true,"Yes!","No")</f>
        <v>Yes!</v>
      </c>
      <c r="G36" s="408" t="s">
        <v>480</v>
      </c>
      <c r="H36" s="409" t="s">
        <v>965</v>
      </c>
      <c r="I36" s="182"/>
      <c r="J36" s="172"/>
    </row>
    <row r="37">
      <c r="A37" s="211" t="str">
        <f>IFERROR(__xludf.DUMMYFUNCTION("""COMPUTED_VALUE"""),"they enthusiastically engaged with the test of 10 and were very grateful for the skull cup. I made sure to mention that i would miss it because it's so bad-ass --TSR")</f>
        <v>they enthusiastically engaged with the test of 10 and were very grateful for the skull cup. I made sure to mention that i would miss it because it's so bad-ass --TSR</v>
      </c>
      <c r="D37" s="182"/>
      <c r="F37" s="425" t="str">
        <f>if(Waylon_Import!B52=true,"Yes!","No")</f>
        <v>Yes!</v>
      </c>
      <c r="G37" s="405" t="s">
        <v>290</v>
      </c>
      <c r="H37" s="406" t="s">
        <v>966</v>
      </c>
      <c r="I37" s="171" t="s">
        <v>209</v>
      </c>
      <c r="J37" s="172">
        <f>COUNTif(F37,"Yes!")</f>
        <v>1</v>
      </c>
    </row>
    <row r="38">
      <c r="A38" s="211" t="str">
        <f>IFERROR(__xludf.DUMMYFUNCTION("""COMPUTED_VALUE"""),"Got the orb by surprising Geneva with a human pyramid! Very surprising and terrifying!")</f>
        <v>Got the orb by surprising Geneva with a human pyramid! Very surprising and terrifying!</v>
      </c>
      <c r="D38" s="182"/>
      <c r="F38" s="425" t="str">
        <f>if(Dashboard!G13=true,"Yes!","No")</f>
        <v>Yes!</v>
      </c>
      <c r="G38" s="405" t="s">
        <v>967</v>
      </c>
      <c r="H38" s="406" t="s">
        <v>968</v>
      </c>
      <c r="I38" s="428"/>
      <c r="J38" s="172"/>
    </row>
    <row r="39">
      <c r="A39" s="211" t="str">
        <f>IFERROR(__xludf.DUMMYFUNCTION("""COMPUTED_VALUE"""),"Adorable.  Did the Mind in 13 minutes or something.  Sang Backstreet Boys.  5 out of 5.  (KLH)")</f>
        <v>Adorable.  Did the Mind in 13 minutes or something.  Sang Backstreet Boys.  5 out of 5.  (KLH)</v>
      </c>
      <c r="D39" s="182"/>
      <c r="F39" s="429" t="str">
        <f>if(Waylon_Import!B54=true,"Yes!","No")</f>
        <v>No</v>
      </c>
      <c r="G39" s="419" t="s">
        <v>353</v>
      </c>
      <c r="H39" s="420" t="s">
        <v>969</v>
      </c>
      <c r="I39" s="421"/>
      <c r="J39" s="172"/>
    </row>
    <row r="40">
      <c r="A40" s="211" t="str">
        <f>IFERROR(__xludf.DUMMYFUNCTION("""COMPUTED_VALUE"""),"Met with Caster Fri Night, hopefully enough to establish connection - PSC")</f>
        <v>Met with Caster Fri Night, hopefully enough to establish connection - PSC</v>
      </c>
      <c r="D40" s="182"/>
      <c r="F40" s="430" t="str">
        <f>if(Waylon_Import!B55=true,"Yes!","No")</f>
        <v>No</v>
      </c>
      <c r="G40" s="419" t="s">
        <v>396</v>
      </c>
      <c r="H40" s="420" t="s">
        <v>970</v>
      </c>
      <c r="I40" s="421"/>
      <c r="J40" s="172"/>
    </row>
    <row r="41">
      <c r="A41" s="211" t="str">
        <f>IFERROR(__xludf.DUMMYFUNCTION("""COMPUTED_VALUE"""),"Had a good conversation with Waylon and a bunch of Peacocks around 3pm. Went well. They seemed interested. -LBD")</f>
        <v>Had a good conversation with Waylon and a bunch of Peacocks around 3pm. Went well. They seemed interested. -LBD</v>
      </c>
      <c r="D41" s="182"/>
      <c r="F41" s="430" t="str">
        <f>if(Waylon_Import!B56=true,"Yes!","No")</f>
        <v>No</v>
      </c>
      <c r="G41" s="431" t="s">
        <v>416</v>
      </c>
      <c r="H41" s="432" t="s">
        <v>971</v>
      </c>
      <c r="I41" s="433"/>
      <c r="J41" s="172"/>
    </row>
    <row r="42">
      <c r="A42" s="211" t="str">
        <f>IFERROR(__xludf.DUMMYFUNCTION("""COMPUTED_VALUE"""),"Brief interaction after lunch - spoke to 2 or 3 party members.")</f>
        <v>Brief interaction after lunch - spoke to 2 or 3 party members.</v>
      </c>
      <c r="D42" s="182"/>
      <c r="E42" s="157"/>
      <c r="F42" s="12"/>
    </row>
    <row r="43">
      <c r="A43" s="226" t="str">
        <f>IFERROR(__xludf.DUMMYFUNCTION("""COMPUTED_VALUE""")," Spoke to the party at lunch, they seemed interested. Told them to find some Peacock and ask more questions!")</f>
        <v> Spoke to the party at lunch, they seemed interested. Told them to find some Peacock and ask more questions!</v>
      </c>
      <c r="D43" s="182"/>
      <c r="E43" s="157"/>
      <c r="F43" s="12"/>
    </row>
    <row r="44">
      <c r="A44" s="226" t="str">
        <f>IFERROR(__xludf.DUMMYFUNCTION("""COMPUTED_VALUE"""),"Fri pm made friends, also had conversation at fire pit Fri pm with Orion about how he wants speedy trials and if he has evidence and a confession he'll find people guilty. --JF
Saturday at dinner. LONG conversation, hitting all the topics: Why'd you do it"&amp;"? (gambling debts). What's your game? (poker) Who did you owe money to? (Lots of people). Anyone you would take a sword for? (change topic). What do you think of Miscellania - would you bring her as your date for the wedding, etc.  They also zoomed in whe"&amp;"n I was listing things she was good at when I mentioned investing amongst other topics -- investing in what? How does she invest? Did she invest for you?  They're thinking some sort of Ponzi scheme maybe. They want to talk with me in private later (of cou"&amp;"rse I'll be gone). Basically they seem all over this and I expect the revelation tonight will get gears turning.")</f>
        <v>Fri pm made friends, also had conversation at fire pit Fri pm with Orion about how he wants speedy trials and if he has evidence and a confession he'll find people guilty. --JF
Saturday at dinner. LONG conversation, hitting all the topics: Why'd you do it? (gambling debts). What's your game? (poker) Who did you owe money to? (Lots of people). Anyone you would take a sword for? (change topic). What do you think of Miscellania - would you bring her as your date for the wedding, etc.  They also zoomed in when I was listing things she was good at when I mentioned investing amongst other topics -- investing in what? How does she invest? Did she invest for you?  They're thinking some sort of Ponzi scheme maybe. They want to talk with me in private later (of course I'll be gone). Basically they seem all over this and I expect the revelation tonight will get gears turning.</v>
      </c>
      <c r="D44" s="182"/>
      <c r="E44" s="157"/>
      <c r="F44" s="12"/>
    </row>
    <row r="45">
      <c r="A45" s="226" t="str">
        <f>IFERROR(__xludf.DUMMYFUNCTION("""COMPUTED_VALUE"""),"asked good questions about Mick, seemed interested in his wellbeing (MR)")</f>
        <v>asked good questions about Mick, seemed interested in his wellbeing (MR)</v>
      </c>
      <c r="D45" s="182"/>
      <c r="E45" s="157"/>
      <c r="F45" s="12"/>
    </row>
    <row r="46">
      <c r="A46" s="226" t="str">
        <f>IFERROR(__xludf.DUMMYFUNCTION("""COMPUTED_VALUE"""),"talked about good family dynamic of peacocks before lunch and they were sold on wanting to meet more peacocks.")</f>
        <v>talked about good family dynamic of peacocks before lunch and they were sold on wanting to meet more peacocks.</v>
      </c>
      <c r="D46" s="182"/>
      <c r="E46" s="157"/>
      <c r="F46" s="12"/>
    </row>
    <row r="47">
      <c r="A47" s="226" t="str">
        <f>IFERROR(__xludf.DUMMYFUNCTION("""COMPUTED_VALUE"""),"Took the note and were looking it over; asked me the circumstances under which I'd gotten the autograph.")</f>
        <v>Took the note and were looking it over; asked me the circumstances under which I'd gotten the autograph.</v>
      </c>
      <c r="D47" s="182"/>
      <c r="E47" s="157"/>
      <c r="F47" s="12"/>
    </row>
    <row r="48">
      <c r="A48" s="226" t="str">
        <f>IFERROR(__xludf.DUMMYFUNCTION("""COMPUTED_VALUE"""),"Very interested, plan to make it a point to see Milton 's handwriting CL")</f>
        <v>Very interested, plan to make it a point to see Milton 's handwriting CL</v>
      </c>
      <c r="D48" s="182"/>
      <c r="E48" s="157"/>
      <c r="F48" s="12"/>
    </row>
    <row r="49">
      <c r="A49" s="226" t="str">
        <f>IFERROR(__xludf.DUMMYFUNCTION("""COMPUTED_VALUE"""),"Walked up. Talked to them. They sounded like they'd heard lots of clues, but were not quite centering in on what the answer is. This was in the tavern during soulspeaking.")</f>
        <v>Walked up. Talked to them. They sounded like they'd heard lots of clues, but were not quite centering in on what the answer is. This was in the tavern during soulspeaking.</v>
      </c>
      <c r="D49" s="182"/>
      <c r="E49" s="157"/>
      <c r="F49" s="12"/>
    </row>
    <row r="50">
      <c r="A50" s="226" t="str">
        <f>IFERROR(__xludf.DUMMYFUNCTION("""COMPUTED_VALUE"""),"worked it in to Miltons conversation very much focused on her investing")</f>
        <v>worked it in to Miltons conversation very much focused on her investing</v>
      </c>
      <c r="D50" s="182"/>
      <c r="E50" s="157"/>
      <c r="F50" s="12"/>
    </row>
    <row r="51">
      <c r="A51" s="226" t="str">
        <f>IFERROR(__xludf.DUMMYFUNCTION("""COMPUTED_VALUE"""),"Sat AM breakfast- Aria shared story about Milton nervously trying to book PFS for gig at theater, and explained how difficult it must be to book large group/expensive, Aria wishes she could help. Entire party was engaged, they wanted to meet a Peacock, Ar"&amp;"ia introduced them to Tanya, they all sang a song together at breakfast. DG")</f>
        <v>Sat AM breakfast- Aria shared story about Milton nervously trying to book PFS for gig at theater, and explained how difficult it must be to book large group/expensive, Aria wishes she could help. Entire party was engaged, they wanted to meet a Peacock, Aria introduced them to Tanya, they all sang a song together at breakfast. DG</v>
      </c>
      <c r="D51" s="182"/>
      <c r="E51" s="157"/>
      <c r="F51" s="12"/>
    </row>
    <row r="52">
      <c r="A52" s="226" t="str">
        <f>IFERROR(__xludf.DUMMYFUNCTION("""COMPUTED_VALUE"""),"Full party conversation at peacock camp, charge was given by JJ and Cal Coleman offered services.  Party was curious about Milton's stress about money and the disappearance of this unexpected $")</f>
        <v>Full party conversation at peacock camp, charge was given by JJ and Cal Coleman offered services.  Party was curious about Milton's stress about money and the disappearance of this unexpected $</v>
      </c>
      <c r="D52" s="182"/>
      <c r="E52" s="157"/>
      <c r="F52" s="12"/>
    </row>
    <row r="53">
      <c r="A53" s="226" t="str">
        <f>IFERROR(__xludf.DUMMYFUNCTION("""COMPUTED_VALUE"""),"Had not heard anything about embezzlement as of 11a on Sat. Told them he was ""dating not-dating"" one of those hot muses. -Mirin")</f>
        <v>Had not heard anything about embezzlement as of 11a on Sat. Told them he was "dating not-dating" one of those hot muses. -Mirin</v>
      </c>
      <c r="D53" s="182"/>
      <c r="E53" s="157"/>
      <c r="F53" s="12"/>
    </row>
    <row r="54">
      <c r="A54" s="226" t="str">
        <f>IFERROR(__xludf.DUMMYFUNCTION("""COMPUTED_VALUE"""),"Gave Traveler Ender a personal reading to help them get to their next set location, told him my readings are usually accurate - just look at Misc. &amp; Milton! - ESD")</f>
        <v>Gave Traveler Ender a personal reading to help them get to their next set location, told him my readings are usually accurate - just look at Misc. &amp; Milton! - ESD</v>
      </c>
      <c r="D54" s="182"/>
      <c r="E54" s="157"/>
      <c r="F54" s="12"/>
    </row>
    <row r="55">
      <c r="A55" s="226" t="str">
        <f>IFERROR(__xludf.DUMMYFUNCTION("""COMPUTED_VALUE"""),"knowledge 100% imparted 4pm")</f>
        <v>knowledge 100% imparted 4pm</v>
      </c>
      <c r="D55" s="182"/>
      <c r="E55" s="157"/>
      <c r="F55" s="12"/>
    </row>
    <row r="56">
      <c r="A56" s="226" t="str">
        <f>IFERROR(__xludf.DUMMYFUNCTION("""COMPUTED_VALUE"""),"Had a delightful conversation with them at lunch. I asked if they thought I should encourage Milton to bring her to the wedding as his plus one and they said yes. When I said I just didn't want to overstep - in case they were actually just friends - they'"&amp;"d keep an eye out and let me know if they get the right ""vibe"" that suggests I should ask Milton the question")</f>
        <v>Had a delightful conversation with them at lunch. I asked if they thought I should encourage Milton to bring her to the wedding as his plus one and they said yes. When I said I just didn't want to overstep - in case they were actually just friends - they'd keep an eye out and let me know if they get the right "vibe" that suggests I should ask Milton the question</v>
      </c>
      <c r="D56" s="182"/>
      <c r="E56" s="157"/>
      <c r="F56" s="12"/>
    </row>
    <row r="57">
      <c r="A57" s="226" t="str">
        <f>IFERROR(__xludf.DUMMYFUNCTION("""COMPUTED_VALUE"""),"They were already thinking that Milton was covering for Miscellania.  They think he invested the money in her Ponzi scheme.  Only one member of the party is ready to abandon the party path to use the Testimony spell on Milton.")</f>
        <v>They were already thinking that Milton was covering for Miscellania.  They think he invested the money in her Ponzi scheme.  Only one member of the party is ready to abandon the party path to use the Testimony spell on Milton.</v>
      </c>
      <c r="D57" s="182"/>
      <c r="E57" s="157"/>
      <c r="F57" s="12"/>
    </row>
    <row r="58">
      <c r="A58" s="226" t="str">
        <f>IFERROR(__xludf.DUMMYFUNCTION("""COMPUTED_VALUE"""),"Poppy had a conversation with one of Waylon's folks around the fire. Seemed very concerned about who they could trust in World's Edge, whether there were rivalries, etc. Wouldn't say why they were really here - just said here for ""tourism.""")</f>
        <v>Poppy had a conversation with one of Waylon's folks around the fire. Seemed very concerned about who they could trust in World's Edge, whether there were rivalries, etc. Wouldn't say why they were really here - just said here for "tourism."</v>
      </c>
      <c r="D58" s="182"/>
      <c r="E58" s="157"/>
      <c r="F58" s="12"/>
    </row>
    <row r="59">
      <c r="A59" s="226" t="str">
        <f>IFERROR(__xludf.DUMMYFUNCTION("""COMPUTED_VALUE"""),"Two of the men are VERY high energy fighters, I would not be surprised to hear of an injury.")</f>
        <v>Two of the men are VERY high energy fighters, I would not be surprised to hear of an injury.</v>
      </c>
      <c r="D59" s="182"/>
      <c r="E59" s="157"/>
      <c r="F59" s="12"/>
    </row>
    <row r="60">
      <c r="A60" s="226" t="str">
        <f>IFERROR(__xludf.DUMMYFUNCTION("""COMPUTED_VALUE"""),"""Nutmeg"" and ""Oak"" are very interested in soaking up background stories from many characters.  Spent a lot of time at Fri pm fire doing more of that. —JF")</f>
        <v>"Nutmeg" and "Oak" are very interested in soaking up background stories from many characters.  Spent a lot of time at Fri pm fire doing more of that. —JF</v>
      </c>
      <c r="D60" s="182"/>
      <c r="E60" s="157"/>
      <c r="F60" s="12"/>
    </row>
    <row r="61">
      <c r="A61" s="227" t="str">
        <f>IFERROR(__xludf.DUMMYFUNCTION("""COMPUTED_VALUE"""),"Talked to them Friday night before they went out to C&amp;E; they asked the name of our group, and I told them the handbook bit about how Equi objected to ""White Skulls"".  When they came back, they said, hey, you had that whole skull thing going on, do you "&amp;"have a skull cup?  I make clear that that's just a metaphor, we don't have skulls...but in fact their vision should lead them to Equi.  So.  I'm sure they'll get there, but I may have accidentally steered them away from the right answer.  --LN")</f>
        <v>Talked to them Friday night before they went out to C&amp;E; they asked the name of our group, and I told them the handbook bit about how Equi objected to "White Skulls".  When they came back, they said, hey, you had that whole skull thing going on, do you have a skull cup?  I make clear that that's just a metaphor, we don't have skulls...but in fact their vision should lead them to Equi.  So.  I'm sure they'll get there, but I may have accidentally steered them away from the right answer.  --LN</v>
      </c>
      <c r="B61" s="228"/>
      <c r="C61" s="228"/>
      <c r="D61" s="189"/>
      <c r="E61" s="157"/>
      <c r="F61" s="12"/>
    </row>
    <row r="62">
      <c r="A62" s="138" t="str">
        <f>IFERROR(__xludf.DUMMYFUNCTION("""COMPUTED_VALUE"""),"Worked with Sythwan to fight chitters.  Both rangers sootheded.  Seemed to communicate well - Peggy Saturday 8-10")</f>
        <v>Worked with Sythwan to fight chitters.  Both rangers sootheded.  Seemed to communicate well - Peggy Saturday 8-10</v>
      </c>
      <c r="E62" s="157"/>
      <c r="F62" s="12"/>
    </row>
    <row r="63">
      <c r="A63" s="138" t="str">
        <f>IFERROR(__xludf.DUMMYFUNCTION("""COMPUTED_VALUE"""),"party photo taken -Mirin")</f>
        <v>party photo taken -Mirin</v>
      </c>
      <c r="E63" s="157"/>
      <c r="F63" s="12"/>
    </row>
    <row r="64">
      <c r="A64" s="434" t="str">
        <f>IFERROR(__xludf.DUMMYFUNCTION("""COMPUTED_VALUE"""),"Surprised  Geneva Sprink by making a 6 person pyramid on top of the circular picnic table!")</f>
        <v>Surprised  Geneva Sprink by making a 6 person pyramid on top of the circular picnic table!</v>
      </c>
      <c r="E64" s="157"/>
      <c r="F64" s="12"/>
    </row>
    <row r="65">
      <c r="A65" s="153" t="str">
        <f>IFERROR(__xludf.DUMMYFUNCTION("""COMPUTED_VALUE"""),"They are very interested in the details of the use of magic at the trial, especially truth magic, and how it relates to their Testimony details. Gave the explanation of what isn't allowed in the trial, and the ways in which magic is sometimes used outside"&amp;" of trials to learn/find things, but that all testimony during the trial cannot be compelled/etc. --TR")</f>
        <v>They are very interested in the details of the use of magic at the trial, especially truth magic, and how it relates to their Testimony details. Gave the explanation of what isn't allowed in the trial, and the ways in which magic is sometimes used outside of trials to learn/find things, but that all testimony during the trial cannot be compelled/etc. --TR</v>
      </c>
      <c r="B65" s="229"/>
      <c r="C65" s="230"/>
      <c r="D65" s="231"/>
      <c r="E65" s="157"/>
      <c r="F65" s="12"/>
    </row>
    <row r="66">
      <c r="A66" s="153" t="str">
        <f>IFERROR(__xludf.DUMMYFUNCTION("""COMPUTED_VALUE"""),"Bought a root foot spell renewal, having used theirs successfully; fought cursed Skeever on Hillside side; jovial &amp; seemed to be connected as a party - Saturday Noon  -- MO")</f>
        <v>Bought a root foot spell renewal, having used theirs successfully; fought cursed Skeever on Hillside side; jovial &amp; seemed to be connected as a party - Saturday Noon  -- MO</v>
      </c>
      <c r="B66" s="229"/>
      <c r="C66" s="230"/>
      <c r="D66" s="231"/>
      <c r="E66" s="157"/>
      <c r="F66" s="12"/>
    </row>
    <row r="67">
      <c r="A67" s="153" t="str">
        <f>IFERROR(__xludf.DUMMYFUNCTION("""COMPUTED_VALUE"""),"Seeker came to Shadow for guidance at 352PM Sat.  We balanced introspection with not being in guidance at 400, he reflected and got his hits back. - BW")</f>
        <v>Seeker came to Shadow for guidance at 352PM Sat.  We balanced introspection with not being in guidance at 400, he reflected and got his hits back. - BW</v>
      </c>
      <c r="B67" s="229"/>
      <c r="C67" s="230"/>
      <c r="D67" s="231"/>
      <c r="E67" s="157"/>
      <c r="F67" s="12"/>
    </row>
    <row r="68">
      <c r="A68" s="153" t="str">
        <f>IFERROR(__xludf.DUMMYFUNCTION("""COMPUTED_VALUE"""),"Sang Backstreet Boys in Mind of a Madman - amazing - Kels")</f>
        <v>Sang Backstreet Boys in Mind of a Madman - amazing - Kels</v>
      </c>
      <c r="B68" s="229"/>
      <c r="C68" s="230"/>
      <c r="D68" s="231"/>
      <c r="E68" s="157"/>
      <c r="F68" s="12"/>
    </row>
    <row r="69">
      <c r="A69" s="153" t="str">
        <f>IFERROR(__xludf.DUMMYFUNCTION("""COMPUTED_VALUE"""),"Walking them to soul speaking they talked about believing that Milton is innocent; they wish that Dimitri would have given them the wine today rather than waiting until tomorrow, but they trust that he'll give it tomorrow; then after soul speaking they wa"&amp;"lked away singing ""Beneditu Gracia"" beautifully. - MO")</f>
        <v>Walking them to soul speaking they talked about believing that Milton is innocent; they wish that Dimitri would have given them the wine today rather than waiting until tomorrow, but they trust that he'll give it tomorrow; then after soul speaking they walked away singing "Beneditu Gracia" beautifully. - MO</v>
      </c>
      <c r="B69" s="229"/>
      <c r="C69" s="230"/>
      <c r="D69" s="231"/>
      <c r="E69" s="157"/>
      <c r="F69" s="12"/>
    </row>
    <row r="70">
      <c r="A70" s="153"/>
      <c r="B70" s="229"/>
      <c r="C70" s="230"/>
      <c r="D70" s="231"/>
      <c r="E70" s="157"/>
      <c r="F70" s="12"/>
    </row>
    <row r="71">
      <c r="A71" s="153"/>
      <c r="B71" s="229"/>
      <c r="C71" s="230"/>
      <c r="D71" s="231"/>
      <c r="E71" s="157"/>
      <c r="F71" s="12"/>
    </row>
    <row r="72">
      <c r="A72" s="153"/>
      <c r="B72" s="229"/>
      <c r="C72" s="230"/>
      <c r="D72" s="231"/>
      <c r="E72" s="157"/>
      <c r="F72" s="12"/>
    </row>
    <row r="73">
      <c r="A73" s="153"/>
      <c r="B73" s="229"/>
      <c r="C73" s="230"/>
      <c r="D73" s="231"/>
      <c r="E73" s="157"/>
      <c r="F73" s="12"/>
    </row>
    <row r="74">
      <c r="A74" s="153"/>
      <c r="B74" s="229"/>
      <c r="C74" s="230"/>
      <c r="D74" s="231"/>
      <c r="E74" s="157"/>
      <c r="F74" s="12"/>
    </row>
    <row r="75">
      <c r="A75" s="153"/>
      <c r="B75" s="229"/>
      <c r="C75" s="230"/>
      <c r="D75" s="231"/>
      <c r="E75" s="157"/>
      <c r="F75" s="12"/>
    </row>
    <row r="76">
      <c r="A76" s="153"/>
      <c r="B76" s="229"/>
      <c r="C76" s="230"/>
      <c r="D76" s="231"/>
      <c r="E76" s="157"/>
      <c r="F76" s="12"/>
    </row>
    <row r="77">
      <c r="A77" s="153"/>
      <c r="B77" s="229"/>
      <c r="C77" s="230"/>
      <c r="D77" s="231"/>
      <c r="E77" s="157"/>
      <c r="F77" s="12"/>
    </row>
    <row r="78">
      <c r="A78" s="153"/>
      <c r="B78" s="229"/>
      <c r="C78" s="230"/>
      <c r="D78" s="231"/>
      <c r="E78" s="157"/>
      <c r="F78" s="12"/>
    </row>
    <row r="79">
      <c r="A79" s="153"/>
      <c r="B79" s="229"/>
      <c r="C79" s="230"/>
      <c r="D79" s="231"/>
      <c r="E79" s="157"/>
      <c r="F79" s="12"/>
    </row>
    <row r="80">
      <c r="A80" s="153"/>
      <c r="B80" s="229"/>
      <c r="C80" s="230"/>
      <c r="D80" s="231"/>
      <c r="E80" s="157"/>
      <c r="F80" s="12"/>
    </row>
    <row r="81">
      <c r="A81" s="153"/>
      <c r="B81" s="229"/>
      <c r="C81" s="230"/>
      <c r="D81" s="231"/>
      <c r="E81" s="157"/>
      <c r="F81" s="12"/>
    </row>
    <row r="82">
      <c r="A82" s="153"/>
      <c r="B82" s="229"/>
      <c r="C82" s="230"/>
      <c r="D82" s="231"/>
      <c r="E82" s="157"/>
      <c r="F82" s="12"/>
    </row>
    <row r="83">
      <c r="A83" s="153"/>
      <c r="B83" s="229"/>
      <c r="C83" s="230"/>
      <c r="D83" s="231"/>
      <c r="E83" s="157"/>
      <c r="F83" s="12"/>
    </row>
    <row r="84">
      <c r="A84" s="153"/>
      <c r="B84" s="229"/>
      <c r="C84" s="230"/>
      <c r="D84" s="231"/>
      <c r="E84" s="157"/>
      <c r="F84" s="12"/>
    </row>
    <row r="85">
      <c r="A85" s="153"/>
      <c r="B85" s="229"/>
      <c r="C85" s="230"/>
      <c r="D85" s="231"/>
      <c r="E85" s="157"/>
      <c r="F85" s="12"/>
    </row>
    <row r="86">
      <c r="A86" s="153"/>
      <c r="B86" s="229"/>
      <c r="C86" s="230"/>
      <c r="D86" s="231"/>
      <c r="E86" s="157"/>
      <c r="F86" s="12"/>
    </row>
    <row r="87">
      <c r="A87" s="153"/>
      <c r="B87" s="229"/>
      <c r="C87" s="230"/>
      <c r="D87" s="231"/>
      <c r="E87" s="157"/>
      <c r="F87" s="12"/>
    </row>
    <row r="88">
      <c r="A88" s="153"/>
      <c r="B88" s="229"/>
      <c r="C88" s="230"/>
      <c r="D88" s="231"/>
      <c r="E88" s="157"/>
      <c r="F88" s="12"/>
    </row>
    <row r="89">
      <c r="A89" s="153"/>
      <c r="B89" s="229"/>
      <c r="C89" s="230"/>
      <c r="D89" s="231"/>
      <c r="E89" s="157"/>
      <c r="F89" s="12"/>
    </row>
    <row r="90">
      <c r="A90" s="153"/>
      <c r="B90" s="229"/>
      <c r="C90" s="230"/>
      <c r="D90" s="231"/>
      <c r="E90" s="157"/>
      <c r="F90" s="12"/>
    </row>
    <row r="91">
      <c r="A91" s="153"/>
      <c r="B91" s="229"/>
      <c r="C91" s="230"/>
      <c r="D91" s="231"/>
      <c r="E91" s="157"/>
      <c r="F91" s="12"/>
    </row>
    <row r="92">
      <c r="A92" s="153"/>
      <c r="B92" s="229"/>
      <c r="C92" s="230"/>
      <c r="D92" s="231"/>
      <c r="E92" s="157"/>
      <c r="F92" s="12"/>
    </row>
    <row r="93">
      <c r="A93" s="153"/>
      <c r="B93" s="229"/>
      <c r="C93" s="230"/>
      <c r="D93" s="231"/>
      <c r="E93" s="157"/>
      <c r="F93" s="12"/>
    </row>
    <row r="94">
      <c r="A94" s="153"/>
      <c r="B94" s="229"/>
      <c r="C94" s="230"/>
      <c r="D94" s="231"/>
      <c r="E94" s="157"/>
      <c r="F94" s="12"/>
    </row>
    <row r="95">
      <c r="A95" s="153"/>
      <c r="B95" s="229"/>
      <c r="C95" s="230"/>
      <c r="D95" s="231"/>
      <c r="E95" s="157"/>
      <c r="F95" s="12"/>
    </row>
    <row r="96">
      <c r="A96" s="153"/>
      <c r="B96" s="229"/>
      <c r="C96" s="230"/>
      <c r="D96" s="231"/>
      <c r="E96" s="157"/>
      <c r="F96" s="12"/>
    </row>
    <row r="97">
      <c r="A97" s="153"/>
      <c r="B97" s="229"/>
      <c r="C97" s="230"/>
      <c r="D97" s="231"/>
      <c r="E97" s="157"/>
      <c r="F97" s="12"/>
    </row>
    <row r="98">
      <c r="A98" s="153"/>
      <c r="B98" s="229"/>
      <c r="C98" s="230"/>
      <c r="D98" s="231"/>
      <c r="E98" s="157"/>
      <c r="F98" s="12"/>
    </row>
    <row r="99">
      <c r="A99" s="153"/>
      <c r="B99" s="229"/>
      <c r="C99" s="230"/>
      <c r="D99" s="231"/>
      <c r="E99" s="157"/>
      <c r="F99" s="12"/>
    </row>
    <row r="100">
      <c r="A100" s="153"/>
      <c r="B100" s="229"/>
      <c r="C100" s="230"/>
      <c r="D100" s="231"/>
      <c r="E100" s="157"/>
      <c r="F100" s="12"/>
    </row>
    <row r="101">
      <c r="A101" s="153"/>
      <c r="B101" s="229"/>
      <c r="C101" s="230"/>
      <c r="D101" s="231"/>
      <c r="E101" s="157"/>
      <c r="F101" s="12"/>
    </row>
    <row r="102">
      <c r="A102" s="153"/>
      <c r="B102" s="229"/>
      <c r="C102" s="230"/>
      <c r="D102" s="231"/>
      <c r="E102" s="157"/>
      <c r="F102" s="12"/>
    </row>
    <row r="103">
      <c r="A103" s="153"/>
      <c r="B103" s="229"/>
      <c r="C103" s="230"/>
      <c r="D103" s="231"/>
      <c r="E103" s="157"/>
      <c r="F103" s="12"/>
    </row>
    <row r="104">
      <c r="A104" s="153"/>
      <c r="B104" s="229"/>
      <c r="C104" s="230"/>
      <c r="D104" s="231"/>
      <c r="E104" s="157"/>
      <c r="F104" s="12"/>
    </row>
    <row r="105">
      <c r="A105" s="153"/>
      <c r="B105" s="229"/>
      <c r="C105" s="230"/>
      <c r="D105" s="231"/>
      <c r="E105" s="157"/>
      <c r="F105" s="12"/>
    </row>
    <row r="106">
      <c r="A106" s="153"/>
      <c r="B106" s="229"/>
      <c r="C106" s="230"/>
      <c r="D106" s="231"/>
      <c r="E106" s="157"/>
      <c r="F106" s="12"/>
    </row>
    <row r="107">
      <c r="A107" s="153"/>
      <c r="B107" s="229"/>
      <c r="C107" s="230"/>
      <c r="D107" s="231"/>
      <c r="E107" s="157"/>
      <c r="F107" s="12"/>
    </row>
    <row r="108">
      <c r="A108" s="153"/>
      <c r="B108" s="229"/>
      <c r="C108" s="230"/>
      <c r="D108" s="231"/>
      <c r="E108" s="157"/>
      <c r="F108" s="12"/>
    </row>
    <row r="109">
      <c r="A109" s="153"/>
      <c r="B109" s="229"/>
      <c r="C109" s="230"/>
      <c r="D109" s="231"/>
      <c r="E109" s="157"/>
      <c r="F109" s="12"/>
    </row>
    <row r="110">
      <c r="A110" s="153"/>
      <c r="B110" s="229"/>
      <c r="C110" s="230"/>
      <c r="D110" s="231"/>
      <c r="E110" s="157"/>
      <c r="F110" s="12"/>
    </row>
    <row r="111">
      <c r="A111" s="153"/>
      <c r="B111" s="229"/>
      <c r="C111" s="230"/>
      <c r="D111" s="231"/>
      <c r="E111" s="157"/>
      <c r="F111" s="12"/>
    </row>
    <row r="112">
      <c r="A112" s="153"/>
      <c r="B112" s="229"/>
      <c r="C112" s="230"/>
      <c r="D112" s="231"/>
      <c r="E112" s="157"/>
      <c r="F112" s="12"/>
    </row>
    <row r="113">
      <c r="A113" s="153"/>
      <c r="B113" s="229"/>
      <c r="C113" s="230"/>
      <c r="D113" s="231"/>
      <c r="E113" s="157"/>
      <c r="F113" s="12"/>
    </row>
    <row r="114">
      <c r="A114" s="153"/>
      <c r="B114" s="229"/>
      <c r="C114" s="230"/>
      <c r="D114" s="231"/>
      <c r="E114" s="157"/>
      <c r="F114" s="12"/>
    </row>
    <row r="115">
      <c r="A115" s="153"/>
      <c r="B115" s="229"/>
      <c r="C115" s="230"/>
      <c r="D115" s="231"/>
      <c r="E115" s="157"/>
      <c r="F115" s="12"/>
    </row>
    <row r="116">
      <c r="A116" s="153"/>
      <c r="B116" s="229"/>
      <c r="C116" s="230"/>
      <c r="D116" s="231"/>
      <c r="E116" s="157"/>
      <c r="F116" s="12"/>
    </row>
    <row r="117">
      <c r="A117" s="153"/>
      <c r="B117" s="229"/>
      <c r="C117" s="230"/>
      <c r="D117" s="231"/>
      <c r="E117" s="157"/>
      <c r="F117" s="12"/>
    </row>
    <row r="118">
      <c r="A118" s="153"/>
      <c r="B118" s="229"/>
      <c r="C118" s="230"/>
      <c r="D118" s="231"/>
      <c r="E118" s="157"/>
      <c r="F118" s="12"/>
    </row>
    <row r="119">
      <c r="A119" s="153"/>
      <c r="B119" s="229"/>
      <c r="C119" s="230"/>
      <c r="D119" s="231"/>
      <c r="E119" s="157"/>
      <c r="F119" s="12"/>
    </row>
    <row r="120">
      <c r="A120" s="153"/>
      <c r="B120" s="229"/>
      <c r="C120" s="230"/>
      <c r="D120" s="231"/>
      <c r="E120" s="157"/>
      <c r="F120" s="12"/>
    </row>
    <row r="121">
      <c r="A121" s="153"/>
      <c r="B121" s="229"/>
      <c r="C121" s="230"/>
      <c r="D121" s="231"/>
      <c r="E121" s="157"/>
      <c r="F121" s="12"/>
    </row>
    <row r="122">
      <c r="A122" s="153"/>
      <c r="B122" s="229"/>
      <c r="C122" s="230"/>
      <c r="D122" s="231"/>
      <c r="E122" s="157"/>
      <c r="F122" s="12"/>
    </row>
    <row r="123">
      <c r="A123" s="153"/>
      <c r="B123" s="229"/>
      <c r="C123" s="230"/>
      <c r="D123" s="231"/>
      <c r="E123" s="157"/>
      <c r="F123" s="12"/>
    </row>
    <row r="124">
      <c r="A124" s="153"/>
      <c r="B124" s="229"/>
      <c r="C124" s="230"/>
      <c r="D124" s="231"/>
      <c r="E124" s="157"/>
      <c r="F124" s="12"/>
    </row>
    <row r="125">
      <c r="A125" s="153"/>
      <c r="B125" s="229"/>
      <c r="C125" s="230"/>
      <c r="D125" s="231"/>
      <c r="E125" s="157"/>
      <c r="F125" s="12"/>
    </row>
    <row r="126">
      <c r="A126" s="153"/>
      <c r="B126" s="229"/>
      <c r="C126" s="230"/>
      <c r="D126" s="231"/>
      <c r="E126" s="157"/>
      <c r="F126" s="12"/>
    </row>
    <row r="127">
      <c r="A127" s="153"/>
      <c r="B127" s="229"/>
      <c r="C127" s="230"/>
      <c r="D127" s="231"/>
      <c r="E127" s="157"/>
      <c r="F127" s="12"/>
    </row>
    <row r="128">
      <c r="A128" s="153"/>
      <c r="B128" s="229"/>
      <c r="C128" s="230"/>
      <c r="D128" s="231"/>
      <c r="E128" s="157"/>
      <c r="F128" s="12"/>
    </row>
    <row r="129">
      <c r="A129" s="153"/>
      <c r="B129" s="229"/>
      <c r="C129" s="230"/>
      <c r="D129" s="231"/>
      <c r="E129" s="157"/>
      <c r="F129" s="12"/>
    </row>
    <row r="130">
      <c r="A130" s="153"/>
      <c r="B130" s="229"/>
      <c r="C130" s="230"/>
      <c r="D130" s="231"/>
      <c r="E130" s="157"/>
      <c r="F130" s="12"/>
    </row>
    <row r="131">
      <c r="A131" s="153"/>
      <c r="B131" s="229"/>
      <c r="C131" s="230"/>
      <c r="D131" s="231"/>
      <c r="E131" s="157"/>
      <c r="F131" s="12"/>
    </row>
    <row r="132">
      <c r="A132" s="153"/>
      <c r="B132" s="229"/>
      <c r="C132" s="230"/>
      <c r="D132" s="231"/>
      <c r="E132" s="157"/>
      <c r="F132" s="12"/>
    </row>
    <row r="133">
      <c r="A133" s="153"/>
      <c r="B133" s="229"/>
      <c r="C133" s="230"/>
      <c r="D133" s="231"/>
      <c r="E133" s="157"/>
      <c r="F133" s="12"/>
    </row>
    <row r="134">
      <c r="A134" s="153"/>
      <c r="B134" s="229"/>
      <c r="C134" s="230"/>
      <c r="D134" s="231"/>
      <c r="E134" s="157"/>
      <c r="F134" s="12"/>
    </row>
    <row r="135">
      <c r="A135" s="153"/>
      <c r="B135" s="229"/>
      <c r="C135" s="230"/>
      <c r="D135" s="231"/>
      <c r="E135" s="157"/>
      <c r="F135" s="12"/>
    </row>
    <row r="136">
      <c r="A136" s="153"/>
      <c r="B136" s="229"/>
      <c r="C136" s="230"/>
      <c r="D136" s="231"/>
      <c r="E136" s="157"/>
      <c r="F136" s="12"/>
    </row>
    <row r="137">
      <c r="A137" s="153"/>
      <c r="B137" s="229"/>
      <c r="C137" s="230"/>
      <c r="D137" s="231"/>
      <c r="E137" s="157"/>
      <c r="F137" s="12"/>
    </row>
    <row r="138">
      <c r="A138" s="153"/>
      <c r="B138" s="229"/>
      <c r="C138" s="230"/>
      <c r="D138" s="231"/>
      <c r="E138" s="157"/>
      <c r="F138" s="12"/>
    </row>
    <row r="139">
      <c r="A139" s="153"/>
      <c r="B139" s="229"/>
      <c r="C139" s="230"/>
      <c r="D139" s="231"/>
      <c r="E139" s="157"/>
      <c r="F139" s="12"/>
    </row>
    <row r="140">
      <c r="A140" s="153"/>
      <c r="B140" s="229"/>
      <c r="C140" s="230"/>
      <c r="D140" s="231"/>
      <c r="E140" s="157"/>
      <c r="F140" s="12"/>
    </row>
    <row r="141">
      <c r="A141" s="153"/>
      <c r="B141" s="229"/>
      <c r="C141" s="230"/>
      <c r="D141" s="231"/>
      <c r="E141" s="157"/>
      <c r="F141" s="12"/>
    </row>
    <row r="142">
      <c r="A142" s="153"/>
      <c r="B142" s="229"/>
      <c r="C142" s="230"/>
      <c r="D142" s="231"/>
      <c r="E142" s="157"/>
      <c r="F142" s="12"/>
    </row>
    <row r="143">
      <c r="A143" s="153"/>
      <c r="B143" s="229"/>
      <c r="C143" s="230"/>
      <c r="D143" s="231"/>
      <c r="E143" s="157"/>
      <c r="F143" s="12"/>
    </row>
    <row r="144">
      <c r="A144" s="153"/>
      <c r="B144" s="229"/>
      <c r="C144" s="230"/>
      <c r="D144" s="231"/>
      <c r="E144" s="157"/>
      <c r="F144" s="12"/>
    </row>
    <row r="145">
      <c r="A145" s="153"/>
      <c r="B145" s="229"/>
      <c r="C145" s="230"/>
      <c r="D145" s="231"/>
      <c r="E145" s="157"/>
      <c r="F145" s="12"/>
    </row>
    <row r="146">
      <c r="A146" s="153"/>
      <c r="B146" s="229"/>
      <c r="C146" s="230"/>
      <c r="D146" s="231"/>
      <c r="E146" s="157"/>
      <c r="F146" s="12"/>
    </row>
    <row r="147">
      <c r="A147" s="153"/>
      <c r="B147" s="229"/>
      <c r="C147" s="230"/>
      <c r="D147" s="231"/>
      <c r="E147" s="157"/>
      <c r="F147" s="12"/>
    </row>
    <row r="148">
      <c r="A148" s="153"/>
      <c r="B148" s="229"/>
      <c r="C148" s="230"/>
      <c r="D148" s="231"/>
      <c r="E148" s="157"/>
      <c r="F148" s="12"/>
    </row>
    <row r="149">
      <c r="A149" s="153"/>
      <c r="B149" s="229"/>
      <c r="C149" s="230"/>
      <c r="D149" s="231"/>
      <c r="E149" s="157"/>
      <c r="F149" s="12"/>
    </row>
    <row r="150">
      <c r="A150" s="153"/>
      <c r="B150" s="229"/>
      <c r="C150" s="230"/>
      <c r="D150" s="231"/>
      <c r="E150" s="157"/>
      <c r="F150" s="12"/>
    </row>
    <row r="151">
      <c r="A151" s="153"/>
      <c r="B151" s="229"/>
      <c r="C151" s="230"/>
      <c r="D151" s="231"/>
      <c r="E151" s="157"/>
      <c r="F151" s="12"/>
    </row>
    <row r="152">
      <c r="A152" s="153"/>
      <c r="B152" s="229"/>
      <c r="C152" s="230"/>
      <c r="D152" s="231"/>
      <c r="E152" s="157"/>
      <c r="F152" s="12"/>
    </row>
    <row r="153">
      <c r="A153" s="153"/>
      <c r="B153" s="229"/>
      <c r="C153" s="230"/>
      <c r="D153" s="231"/>
      <c r="E153" s="157"/>
      <c r="F153" s="12"/>
    </row>
    <row r="154">
      <c r="A154" s="153"/>
      <c r="B154" s="229"/>
      <c r="C154" s="230"/>
      <c r="D154" s="231"/>
      <c r="E154" s="157"/>
      <c r="F154" s="12"/>
    </row>
    <row r="155">
      <c r="A155" s="153"/>
      <c r="B155" s="229"/>
      <c r="C155" s="230"/>
      <c r="D155" s="231"/>
      <c r="E155" s="157"/>
      <c r="F155" s="12"/>
    </row>
    <row r="156">
      <c r="A156" s="153"/>
      <c r="B156" s="229"/>
      <c r="C156" s="230"/>
      <c r="D156" s="231"/>
      <c r="E156" s="157"/>
      <c r="F156" s="12"/>
    </row>
    <row r="157">
      <c r="A157" s="153"/>
      <c r="B157" s="229"/>
      <c r="C157" s="230"/>
      <c r="D157" s="231"/>
      <c r="E157" s="157"/>
      <c r="F157" s="12"/>
    </row>
    <row r="158">
      <c r="A158" s="153"/>
      <c r="B158" s="229"/>
      <c r="C158" s="230"/>
      <c r="D158" s="231"/>
      <c r="E158" s="157"/>
      <c r="F158" s="12"/>
    </row>
    <row r="159">
      <c r="A159" s="153"/>
      <c r="B159" s="229"/>
      <c r="C159" s="230"/>
      <c r="D159" s="231"/>
      <c r="E159" s="157"/>
      <c r="F159" s="12"/>
    </row>
    <row r="160">
      <c r="A160" s="153"/>
      <c r="B160" s="229"/>
      <c r="C160" s="230"/>
      <c r="D160" s="231"/>
      <c r="E160" s="157"/>
      <c r="F160" s="12"/>
    </row>
    <row r="161">
      <c r="A161" s="153"/>
      <c r="B161" s="229"/>
      <c r="C161" s="230"/>
      <c r="D161" s="231"/>
      <c r="E161" s="157"/>
      <c r="F161" s="12"/>
    </row>
    <row r="162">
      <c r="A162" s="153"/>
      <c r="B162" s="229"/>
      <c r="C162" s="230"/>
      <c r="D162" s="231"/>
      <c r="E162" s="157"/>
      <c r="F162" s="12"/>
    </row>
    <row r="163">
      <c r="A163" s="153"/>
      <c r="B163" s="229"/>
      <c r="C163" s="230"/>
      <c r="D163" s="231"/>
      <c r="E163" s="157"/>
      <c r="F163" s="12"/>
    </row>
    <row r="164">
      <c r="A164" s="153"/>
      <c r="B164" s="229"/>
      <c r="C164" s="230"/>
      <c r="D164" s="231"/>
      <c r="E164" s="157"/>
      <c r="F164" s="12"/>
    </row>
    <row r="165">
      <c r="A165" s="153"/>
      <c r="B165" s="229"/>
      <c r="C165" s="230"/>
      <c r="D165" s="231"/>
      <c r="E165" s="157"/>
      <c r="F165" s="12"/>
    </row>
    <row r="166">
      <c r="A166" s="153"/>
      <c r="B166" s="229"/>
      <c r="C166" s="230"/>
      <c r="D166" s="231"/>
      <c r="E166" s="157"/>
      <c r="F166" s="12"/>
    </row>
    <row r="167">
      <c r="A167" s="153"/>
      <c r="B167" s="229"/>
      <c r="C167" s="230"/>
      <c r="D167" s="231"/>
      <c r="E167" s="157"/>
      <c r="F167" s="12"/>
    </row>
    <row r="168">
      <c r="A168" s="153"/>
      <c r="B168" s="229"/>
      <c r="C168" s="230"/>
      <c r="D168" s="231"/>
      <c r="E168" s="157"/>
      <c r="F168" s="12"/>
    </row>
    <row r="169">
      <c r="A169" s="153"/>
      <c r="B169" s="229"/>
      <c r="C169" s="230"/>
      <c r="D169" s="231"/>
      <c r="E169" s="157"/>
      <c r="F169" s="12"/>
    </row>
    <row r="170">
      <c r="A170" s="153"/>
      <c r="B170" s="229"/>
      <c r="C170" s="230"/>
      <c r="D170" s="231"/>
      <c r="E170" s="157"/>
      <c r="F170" s="12"/>
    </row>
    <row r="171">
      <c r="A171" s="153"/>
      <c r="B171" s="229"/>
      <c r="C171" s="230"/>
      <c r="D171" s="231"/>
      <c r="E171" s="157"/>
      <c r="F171" s="12"/>
    </row>
    <row r="172">
      <c r="A172" s="153"/>
      <c r="B172" s="229"/>
      <c r="C172" s="230"/>
      <c r="D172" s="231"/>
      <c r="E172" s="157"/>
      <c r="F172" s="12"/>
    </row>
    <row r="173">
      <c r="A173" s="153"/>
      <c r="B173" s="229"/>
      <c r="C173" s="230"/>
      <c r="D173" s="231"/>
      <c r="E173" s="157"/>
      <c r="F173" s="12"/>
    </row>
    <row r="174">
      <c r="A174" s="153"/>
      <c r="B174" s="229"/>
      <c r="C174" s="230"/>
      <c r="D174" s="231"/>
      <c r="E174" s="157"/>
      <c r="F174" s="12"/>
    </row>
    <row r="175">
      <c r="A175" s="153"/>
      <c r="B175" s="229"/>
      <c r="C175" s="230"/>
      <c r="D175" s="231"/>
      <c r="E175" s="157"/>
      <c r="F175" s="12"/>
    </row>
    <row r="176">
      <c r="A176" s="153"/>
      <c r="B176" s="229"/>
      <c r="C176" s="230"/>
      <c r="D176" s="231"/>
      <c r="E176" s="157"/>
      <c r="F176" s="12"/>
    </row>
    <row r="177">
      <c r="A177" s="153"/>
      <c r="B177" s="229"/>
      <c r="C177" s="230"/>
      <c r="D177" s="231"/>
      <c r="E177" s="157"/>
      <c r="F177" s="12"/>
    </row>
    <row r="178">
      <c r="A178" s="153"/>
      <c r="B178" s="229"/>
      <c r="C178" s="230"/>
      <c r="D178" s="231"/>
      <c r="E178" s="157"/>
      <c r="F178" s="12"/>
    </row>
    <row r="179">
      <c r="A179" s="153"/>
      <c r="B179" s="229"/>
      <c r="C179" s="230"/>
      <c r="D179" s="231"/>
      <c r="E179" s="157"/>
      <c r="F179" s="12"/>
    </row>
    <row r="180">
      <c r="A180" s="153"/>
      <c r="B180" s="229"/>
      <c r="C180" s="230"/>
      <c r="D180" s="231"/>
      <c r="E180" s="157"/>
      <c r="F180" s="12"/>
    </row>
    <row r="181">
      <c r="A181" s="153"/>
      <c r="B181" s="229"/>
      <c r="C181" s="230"/>
      <c r="D181" s="231"/>
      <c r="E181" s="157"/>
      <c r="F181" s="12"/>
    </row>
    <row r="182">
      <c r="A182" s="153"/>
      <c r="B182" s="229"/>
      <c r="C182" s="230"/>
      <c r="D182" s="231"/>
      <c r="E182" s="157"/>
      <c r="F182" s="12"/>
    </row>
    <row r="183">
      <c r="A183" s="153"/>
      <c r="B183" s="229"/>
      <c r="C183" s="230"/>
      <c r="D183" s="231"/>
      <c r="E183" s="157"/>
      <c r="F183" s="12"/>
    </row>
    <row r="184">
      <c r="A184" s="153"/>
      <c r="B184" s="229"/>
      <c r="C184" s="230"/>
      <c r="D184" s="231"/>
      <c r="E184" s="157"/>
      <c r="F184" s="12"/>
    </row>
    <row r="185">
      <c r="A185" s="153"/>
      <c r="B185" s="229"/>
      <c r="C185" s="230"/>
      <c r="D185" s="231"/>
      <c r="E185" s="157"/>
      <c r="F185" s="12"/>
    </row>
    <row r="186">
      <c r="A186" s="153"/>
      <c r="B186" s="229"/>
      <c r="C186" s="230"/>
      <c r="D186" s="231"/>
      <c r="E186" s="157"/>
      <c r="F186" s="12"/>
    </row>
    <row r="187">
      <c r="A187" s="153"/>
      <c r="B187" s="229"/>
      <c r="C187" s="230"/>
      <c r="D187" s="231"/>
      <c r="E187" s="157"/>
      <c r="F187" s="12"/>
    </row>
    <row r="188">
      <c r="A188" s="153"/>
      <c r="B188" s="229"/>
      <c r="C188" s="230"/>
      <c r="D188" s="231"/>
      <c r="E188" s="157"/>
      <c r="F188" s="12"/>
    </row>
    <row r="189">
      <c r="A189" s="153"/>
      <c r="B189" s="229"/>
      <c r="C189" s="230"/>
      <c r="D189" s="231"/>
      <c r="E189" s="157"/>
      <c r="F189" s="12"/>
    </row>
    <row r="190">
      <c r="A190" s="153"/>
      <c r="B190" s="229"/>
      <c r="C190" s="230"/>
      <c r="D190" s="231"/>
      <c r="E190" s="157"/>
      <c r="F190" s="12"/>
    </row>
    <row r="191">
      <c r="A191" s="153"/>
      <c r="B191" s="229"/>
      <c r="C191" s="230"/>
      <c r="D191" s="231"/>
      <c r="E191" s="157"/>
      <c r="F191" s="12"/>
    </row>
    <row r="192">
      <c r="A192" s="153"/>
      <c r="B192" s="229"/>
      <c r="C192" s="230"/>
      <c r="D192" s="231"/>
      <c r="E192" s="157"/>
      <c r="F192" s="12"/>
    </row>
    <row r="193">
      <c r="A193" s="153"/>
      <c r="B193" s="229"/>
      <c r="C193" s="230"/>
      <c r="D193" s="231"/>
      <c r="E193" s="157"/>
      <c r="F193" s="12"/>
    </row>
    <row r="194">
      <c r="A194" s="153"/>
      <c r="B194" s="229"/>
      <c r="C194" s="230"/>
      <c r="D194" s="231"/>
      <c r="E194" s="157"/>
      <c r="F194" s="12"/>
    </row>
    <row r="195">
      <c r="A195" s="153"/>
      <c r="B195" s="229"/>
      <c r="C195" s="230"/>
      <c r="D195" s="231"/>
      <c r="E195" s="157"/>
      <c r="F195" s="12"/>
    </row>
    <row r="196">
      <c r="A196" s="153"/>
      <c r="B196" s="229"/>
      <c r="C196" s="230"/>
      <c r="D196" s="231"/>
      <c r="E196" s="157"/>
      <c r="F196" s="12"/>
    </row>
    <row r="197">
      <c r="A197" s="153"/>
      <c r="B197" s="229"/>
      <c r="C197" s="230"/>
      <c r="D197" s="231"/>
      <c r="E197" s="157"/>
      <c r="F197" s="12"/>
    </row>
    <row r="198">
      <c r="A198" s="153"/>
      <c r="B198" s="229"/>
      <c r="C198" s="230"/>
      <c r="D198" s="231"/>
      <c r="E198" s="157"/>
      <c r="F198" s="12"/>
    </row>
    <row r="199">
      <c r="A199" s="153"/>
      <c r="B199" s="229"/>
      <c r="C199" s="230"/>
      <c r="D199" s="231"/>
      <c r="E199" s="157"/>
      <c r="F199" s="12"/>
    </row>
    <row r="200">
      <c r="A200" s="153"/>
      <c r="B200" s="229"/>
      <c r="C200" s="230"/>
      <c r="D200" s="231"/>
      <c r="E200" s="157"/>
      <c r="F200" s="12"/>
    </row>
    <row r="201">
      <c r="A201" s="153"/>
      <c r="B201" s="229"/>
      <c r="C201" s="230"/>
      <c r="D201" s="231"/>
      <c r="E201" s="157"/>
      <c r="F201" s="12"/>
    </row>
    <row r="202">
      <c r="A202" s="153"/>
      <c r="B202" s="229"/>
      <c r="C202" s="230"/>
      <c r="D202" s="231"/>
      <c r="E202" s="157"/>
      <c r="F202" s="12"/>
    </row>
    <row r="203">
      <c r="A203" s="153"/>
      <c r="B203" s="229"/>
      <c r="C203" s="230"/>
      <c r="D203" s="231"/>
      <c r="E203" s="157"/>
      <c r="F203" s="12"/>
    </row>
    <row r="204">
      <c r="A204" s="153"/>
      <c r="B204" s="229"/>
      <c r="C204" s="230"/>
      <c r="D204" s="231"/>
      <c r="E204" s="157"/>
      <c r="F204" s="12"/>
    </row>
    <row r="205">
      <c r="A205" s="153"/>
      <c r="B205" s="229"/>
      <c r="C205" s="230"/>
      <c r="D205" s="231"/>
      <c r="E205" s="157"/>
      <c r="F205" s="12"/>
    </row>
    <row r="206">
      <c r="A206" s="153"/>
      <c r="B206" s="229"/>
      <c r="C206" s="230"/>
      <c r="D206" s="231"/>
      <c r="E206" s="157"/>
      <c r="F206" s="12"/>
    </row>
    <row r="207">
      <c r="A207" s="153"/>
      <c r="B207" s="229"/>
      <c r="C207" s="230"/>
      <c r="D207" s="231"/>
      <c r="E207" s="157"/>
      <c r="F207" s="12"/>
    </row>
    <row r="208">
      <c r="A208" s="153"/>
      <c r="B208" s="229"/>
      <c r="C208" s="230"/>
      <c r="D208" s="231"/>
      <c r="E208" s="157"/>
      <c r="F208" s="12"/>
    </row>
    <row r="209">
      <c r="A209" s="153"/>
      <c r="B209" s="229"/>
      <c r="C209" s="230"/>
      <c r="D209" s="231"/>
      <c r="E209" s="157"/>
      <c r="F209" s="12"/>
    </row>
    <row r="210">
      <c r="A210" s="153"/>
      <c r="B210" s="229"/>
      <c r="C210" s="230"/>
      <c r="D210" s="231"/>
      <c r="E210" s="157"/>
      <c r="F210" s="12"/>
    </row>
    <row r="211">
      <c r="A211" s="153"/>
      <c r="B211" s="229"/>
      <c r="C211" s="230"/>
      <c r="D211" s="231"/>
      <c r="E211" s="157"/>
      <c r="F211" s="12"/>
    </row>
    <row r="212">
      <c r="A212" s="153"/>
      <c r="B212" s="229"/>
      <c r="C212" s="230"/>
      <c r="D212" s="231"/>
      <c r="E212" s="157"/>
      <c r="F212" s="12"/>
    </row>
    <row r="213">
      <c r="A213" s="153"/>
      <c r="B213" s="229"/>
      <c r="C213" s="230"/>
      <c r="D213" s="231"/>
      <c r="E213" s="157"/>
      <c r="F213" s="12"/>
    </row>
    <row r="214">
      <c r="A214" s="153"/>
      <c r="B214" s="229"/>
      <c r="C214" s="230"/>
      <c r="D214" s="231"/>
      <c r="E214" s="157"/>
      <c r="F214" s="12"/>
    </row>
    <row r="215">
      <c r="A215" s="153"/>
      <c r="B215" s="229"/>
      <c r="C215" s="230"/>
      <c r="D215" s="231"/>
      <c r="E215" s="157"/>
      <c r="F215" s="12"/>
    </row>
    <row r="216">
      <c r="A216" s="153"/>
      <c r="B216" s="229"/>
      <c r="C216" s="230"/>
      <c r="D216" s="231"/>
      <c r="E216" s="157"/>
      <c r="F216" s="12"/>
    </row>
    <row r="217">
      <c r="A217" s="153"/>
      <c r="B217" s="229"/>
      <c r="C217" s="230"/>
      <c r="D217" s="231"/>
      <c r="E217" s="157"/>
      <c r="F217" s="12"/>
    </row>
    <row r="218">
      <c r="A218" s="153"/>
      <c r="B218" s="229"/>
      <c r="C218" s="230"/>
      <c r="D218" s="231"/>
      <c r="E218" s="157"/>
      <c r="F218" s="12"/>
    </row>
    <row r="219">
      <c r="A219" s="153"/>
      <c r="B219" s="229"/>
      <c r="C219" s="230"/>
      <c r="D219" s="231"/>
      <c r="E219" s="157"/>
      <c r="F219" s="12"/>
    </row>
    <row r="220">
      <c r="A220" s="153"/>
      <c r="B220" s="229"/>
      <c r="C220" s="230"/>
      <c r="D220" s="231"/>
      <c r="E220" s="157"/>
      <c r="F220" s="12"/>
    </row>
    <row r="221">
      <c r="A221" s="153"/>
      <c r="B221" s="229"/>
      <c r="C221" s="230"/>
      <c r="D221" s="231"/>
      <c r="E221" s="157"/>
      <c r="F221" s="12"/>
    </row>
    <row r="222">
      <c r="A222" s="153"/>
      <c r="B222" s="229"/>
      <c r="C222" s="230"/>
      <c r="D222" s="231"/>
      <c r="E222" s="157"/>
      <c r="F222" s="12"/>
    </row>
    <row r="223">
      <c r="A223" s="153"/>
      <c r="B223" s="229"/>
      <c r="C223" s="230"/>
      <c r="D223" s="231"/>
      <c r="E223" s="157"/>
      <c r="F223" s="12"/>
    </row>
    <row r="224">
      <c r="A224" s="153"/>
      <c r="B224" s="229"/>
      <c r="C224" s="230"/>
      <c r="D224" s="231"/>
      <c r="E224" s="157"/>
      <c r="F224" s="12"/>
    </row>
    <row r="225">
      <c r="A225" s="153"/>
      <c r="B225" s="229"/>
      <c r="C225" s="230"/>
      <c r="D225" s="231"/>
      <c r="E225" s="157"/>
      <c r="F225" s="12"/>
    </row>
    <row r="226">
      <c r="A226" s="153"/>
      <c r="B226" s="229"/>
      <c r="C226" s="230"/>
      <c r="D226" s="231"/>
      <c r="E226" s="157"/>
      <c r="F226" s="12"/>
    </row>
    <row r="227">
      <c r="A227" s="153"/>
      <c r="B227" s="229"/>
      <c r="C227" s="230"/>
      <c r="D227" s="231"/>
      <c r="E227" s="157"/>
      <c r="F227" s="12"/>
    </row>
    <row r="228">
      <c r="A228" s="153"/>
      <c r="B228" s="229"/>
      <c r="C228" s="230"/>
      <c r="D228" s="231"/>
      <c r="E228" s="157"/>
      <c r="F228" s="12"/>
    </row>
    <row r="229">
      <c r="A229" s="153"/>
      <c r="B229" s="229"/>
      <c r="C229" s="230"/>
      <c r="D229" s="231"/>
      <c r="E229" s="157"/>
      <c r="F229" s="12"/>
    </row>
    <row r="230">
      <c r="A230" s="153"/>
      <c r="B230" s="229"/>
      <c r="C230" s="230"/>
      <c r="D230" s="231"/>
      <c r="E230" s="157"/>
      <c r="F230" s="12"/>
    </row>
    <row r="231">
      <c r="A231" s="153"/>
      <c r="B231" s="229"/>
      <c r="C231" s="230"/>
      <c r="D231" s="231"/>
      <c r="E231" s="157"/>
      <c r="F231" s="12"/>
    </row>
    <row r="232">
      <c r="A232" s="153"/>
      <c r="B232" s="229"/>
      <c r="C232" s="230"/>
      <c r="D232" s="231"/>
      <c r="E232" s="157"/>
      <c r="F232" s="12"/>
    </row>
    <row r="233">
      <c r="A233" s="153"/>
      <c r="B233" s="229"/>
      <c r="C233" s="230"/>
      <c r="D233" s="231"/>
      <c r="E233" s="157"/>
      <c r="F233" s="12"/>
    </row>
    <row r="234">
      <c r="A234" s="153"/>
      <c r="B234" s="229"/>
      <c r="C234" s="230"/>
      <c r="D234" s="231"/>
      <c r="E234" s="157"/>
      <c r="F234" s="12"/>
    </row>
    <row r="235">
      <c r="A235" s="153"/>
      <c r="B235" s="229"/>
      <c r="C235" s="230"/>
      <c r="D235" s="231"/>
      <c r="E235" s="157"/>
      <c r="F235" s="12"/>
    </row>
    <row r="236">
      <c r="A236" s="153"/>
      <c r="B236" s="229"/>
      <c r="C236" s="230"/>
      <c r="D236" s="231"/>
      <c r="E236" s="157"/>
      <c r="F236" s="12"/>
    </row>
    <row r="237">
      <c r="A237" s="153"/>
      <c r="B237" s="229"/>
      <c r="C237" s="230"/>
      <c r="D237" s="231"/>
      <c r="E237" s="157"/>
      <c r="F237" s="12"/>
    </row>
    <row r="238">
      <c r="A238" s="153"/>
      <c r="B238" s="229"/>
      <c r="C238" s="230"/>
      <c r="D238" s="231"/>
      <c r="E238" s="157"/>
      <c r="F238" s="12"/>
    </row>
    <row r="239">
      <c r="A239" s="153"/>
      <c r="B239" s="229"/>
      <c r="C239" s="230"/>
      <c r="D239" s="231"/>
      <c r="E239" s="157"/>
      <c r="F239" s="12"/>
    </row>
    <row r="240">
      <c r="A240" s="153"/>
      <c r="B240" s="229"/>
      <c r="C240" s="230"/>
      <c r="D240" s="231"/>
      <c r="E240" s="157"/>
      <c r="F240" s="12"/>
    </row>
    <row r="241">
      <c r="A241" s="153"/>
      <c r="B241" s="229"/>
      <c r="C241" s="230"/>
      <c r="D241" s="231"/>
      <c r="E241" s="157"/>
      <c r="F241" s="12"/>
    </row>
    <row r="242">
      <c r="A242" s="153"/>
      <c r="B242" s="229"/>
      <c r="C242" s="230"/>
      <c r="D242" s="231"/>
      <c r="E242" s="157"/>
      <c r="F242" s="12"/>
    </row>
    <row r="243">
      <c r="A243" s="153"/>
      <c r="B243" s="229"/>
      <c r="C243" s="230"/>
      <c r="D243" s="231"/>
      <c r="E243" s="157"/>
      <c r="F243" s="12"/>
    </row>
    <row r="244">
      <c r="A244" s="153"/>
      <c r="B244" s="229"/>
      <c r="C244" s="230"/>
      <c r="D244" s="231"/>
      <c r="E244" s="157"/>
      <c r="F244" s="12"/>
    </row>
    <row r="245">
      <c r="A245" s="153"/>
      <c r="B245" s="229"/>
      <c r="C245" s="230"/>
      <c r="D245" s="231"/>
      <c r="E245" s="157"/>
      <c r="F245" s="12"/>
    </row>
    <row r="246">
      <c r="A246" s="153"/>
      <c r="B246" s="229"/>
      <c r="C246" s="230"/>
      <c r="D246" s="231"/>
      <c r="E246" s="157"/>
      <c r="F246" s="12"/>
    </row>
    <row r="247">
      <c r="A247" s="153"/>
      <c r="B247" s="229"/>
      <c r="C247" s="230"/>
      <c r="D247" s="231"/>
      <c r="E247" s="157"/>
      <c r="F247" s="12"/>
    </row>
    <row r="248">
      <c r="A248" s="153"/>
      <c r="B248" s="229"/>
      <c r="C248" s="230"/>
      <c r="D248" s="231"/>
      <c r="E248" s="157"/>
      <c r="F248" s="12"/>
    </row>
    <row r="249">
      <c r="A249" s="153"/>
      <c r="B249" s="229"/>
      <c r="C249" s="230"/>
      <c r="D249" s="231"/>
      <c r="E249" s="157"/>
      <c r="F249" s="12"/>
    </row>
    <row r="250">
      <c r="A250" s="153"/>
      <c r="B250" s="229"/>
      <c r="C250" s="230"/>
      <c r="D250" s="231"/>
      <c r="E250" s="157"/>
      <c r="F250" s="12"/>
    </row>
    <row r="251">
      <c r="A251" s="153"/>
      <c r="B251" s="229"/>
      <c r="C251" s="230"/>
      <c r="D251" s="231"/>
      <c r="E251" s="157"/>
      <c r="F251" s="12"/>
    </row>
    <row r="252">
      <c r="A252" s="153"/>
      <c r="B252" s="229"/>
      <c r="C252" s="230"/>
      <c r="D252" s="231"/>
      <c r="E252" s="157"/>
      <c r="F252" s="12"/>
    </row>
    <row r="253">
      <c r="A253" s="153"/>
      <c r="B253" s="229"/>
      <c r="C253" s="230"/>
      <c r="D253" s="231"/>
      <c r="E253" s="157"/>
      <c r="F253" s="12"/>
    </row>
    <row r="254">
      <c r="A254" s="153"/>
      <c r="B254" s="229"/>
      <c r="C254" s="230"/>
      <c r="D254" s="231"/>
      <c r="E254" s="157"/>
      <c r="F254" s="12"/>
    </row>
    <row r="255">
      <c r="A255" s="153"/>
      <c r="B255" s="229"/>
      <c r="C255" s="230"/>
      <c r="D255" s="231"/>
      <c r="E255" s="157"/>
      <c r="F255" s="12"/>
    </row>
    <row r="256">
      <c r="A256" s="153"/>
      <c r="B256" s="229"/>
      <c r="C256" s="230"/>
      <c r="D256" s="231"/>
      <c r="E256" s="157"/>
      <c r="F256" s="12"/>
    </row>
    <row r="257">
      <c r="A257" s="153"/>
      <c r="B257" s="229"/>
      <c r="C257" s="230"/>
      <c r="D257" s="231"/>
      <c r="E257" s="157"/>
      <c r="F257" s="12"/>
    </row>
    <row r="258">
      <c r="A258" s="153"/>
      <c r="B258" s="229"/>
      <c r="C258" s="230"/>
      <c r="D258" s="231"/>
      <c r="E258" s="157"/>
      <c r="F258" s="12"/>
    </row>
    <row r="259">
      <c r="A259" s="153"/>
      <c r="B259" s="229"/>
      <c r="C259" s="230"/>
      <c r="D259" s="231"/>
      <c r="E259" s="157"/>
      <c r="F259" s="12"/>
    </row>
    <row r="260">
      <c r="A260" s="153"/>
      <c r="B260" s="229"/>
      <c r="C260" s="230"/>
      <c r="D260" s="231"/>
      <c r="E260" s="157"/>
      <c r="F260" s="12"/>
    </row>
    <row r="261">
      <c r="A261" s="153"/>
      <c r="B261" s="229"/>
      <c r="C261" s="230"/>
      <c r="D261" s="231"/>
      <c r="E261" s="157"/>
      <c r="F261" s="12"/>
    </row>
    <row r="262">
      <c r="A262" s="153"/>
      <c r="B262" s="229"/>
      <c r="C262" s="230"/>
      <c r="D262" s="231"/>
      <c r="E262" s="157"/>
      <c r="F262" s="12"/>
    </row>
    <row r="263">
      <c r="A263" s="153"/>
      <c r="B263" s="229"/>
      <c r="C263" s="230"/>
      <c r="D263" s="231"/>
      <c r="E263" s="157"/>
      <c r="F263" s="12"/>
    </row>
    <row r="264">
      <c r="A264" s="153"/>
      <c r="B264" s="229"/>
      <c r="C264" s="230"/>
      <c r="D264" s="231"/>
      <c r="E264" s="157"/>
      <c r="F264" s="12"/>
    </row>
    <row r="265">
      <c r="A265" s="153"/>
      <c r="B265" s="229"/>
      <c r="C265" s="230"/>
      <c r="D265" s="231"/>
      <c r="E265" s="157"/>
      <c r="F265" s="12"/>
    </row>
    <row r="266">
      <c r="A266" s="153"/>
      <c r="B266" s="229"/>
      <c r="C266" s="230"/>
      <c r="D266" s="231"/>
      <c r="E266" s="157"/>
      <c r="F266" s="12"/>
    </row>
    <row r="267">
      <c r="A267" s="153"/>
      <c r="B267" s="229"/>
      <c r="C267" s="230"/>
      <c r="D267" s="231"/>
      <c r="E267" s="157"/>
      <c r="F267" s="12"/>
    </row>
    <row r="268">
      <c r="A268" s="153"/>
      <c r="B268" s="229"/>
      <c r="C268" s="230"/>
      <c r="D268" s="231"/>
      <c r="E268" s="157"/>
      <c r="F268" s="12"/>
    </row>
    <row r="269">
      <c r="A269" s="153"/>
      <c r="B269" s="229"/>
      <c r="C269" s="230"/>
      <c r="D269" s="231"/>
      <c r="E269" s="157"/>
      <c r="F269" s="12"/>
    </row>
    <row r="270">
      <c r="A270" s="153"/>
      <c r="B270" s="229"/>
      <c r="C270" s="230"/>
      <c r="D270" s="231"/>
      <c r="E270" s="157"/>
      <c r="F270" s="12"/>
    </row>
    <row r="271">
      <c r="A271" s="153"/>
      <c r="B271" s="229"/>
      <c r="C271" s="230"/>
      <c r="D271" s="231"/>
      <c r="E271" s="157"/>
      <c r="F271" s="12"/>
    </row>
    <row r="272">
      <c r="A272" s="153"/>
      <c r="B272" s="229"/>
      <c r="C272" s="230"/>
      <c r="D272" s="231"/>
      <c r="E272" s="157"/>
      <c r="F272" s="12"/>
    </row>
    <row r="273">
      <c r="A273" s="153"/>
      <c r="B273" s="229"/>
      <c r="C273" s="230"/>
      <c r="D273" s="231"/>
      <c r="E273" s="157"/>
      <c r="F273" s="12"/>
    </row>
    <row r="274">
      <c r="A274" s="153"/>
      <c r="B274" s="229"/>
      <c r="C274" s="230"/>
      <c r="D274" s="231"/>
      <c r="E274" s="157"/>
      <c r="F274" s="12"/>
    </row>
    <row r="275">
      <c r="A275" s="153"/>
      <c r="B275" s="229"/>
      <c r="C275" s="230"/>
      <c r="D275" s="231"/>
      <c r="E275" s="157"/>
      <c r="F275" s="12"/>
    </row>
    <row r="276">
      <c r="A276" s="153"/>
      <c r="B276" s="229"/>
      <c r="C276" s="230"/>
      <c r="D276" s="231"/>
      <c r="E276" s="157"/>
      <c r="F276" s="12"/>
    </row>
    <row r="277">
      <c r="A277" s="153"/>
      <c r="B277" s="229"/>
      <c r="C277" s="230"/>
      <c r="D277" s="231"/>
      <c r="E277" s="157"/>
      <c r="F277" s="12"/>
    </row>
    <row r="278">
      <c r="A278" s="153"/>
      <c r="B278" s="229"/>
      <c r="C278" s="230"/>
      <c r="D278" s="231"/>
      <c r="E278" s="157"/>
      <c r="F278" s="12"/>
    </row>
    <row r="279">
      <c r="A279" s="153"/>
      <c r="B279" s="229"/>
      <c r="C279" s="230"/>
      <c r="D279" s="231"/>
      <c r="E279" s="157"/>
      <c r="F279" s="12"/>
    </row>
    <row r="280">
      <c r="A280" s="153"/>
      <c r="B280" s="229"/>
      <c r="C280" s="230"/>
      <c r="D280" s="231"/>
      <c r="E280" s="157"/>
      <c r="F280" s="12"/>
    </row>
    <row r="281">
      <c r="A281" s="153"/>
      <c r="B281" s="229"/>
      <c r="C281" s="230"/>
      <c r="D281" s="231"/>
      <c r="E281" s="157"/>
      <c r="F281" s="12"/>
    </row>
    <row r="282">
      <c r="A282" s="153"/>
      <c r="B282" s="229"/>
      <c r="C282" s="230"/>
      <c r="D282" s="231"/>
      <c r="E282" s="157"/>
      <c r="F282" s="12"/>
    </row>
    <row r="283">
      <c r="A283" s="153"/>
      <c r="B283" s="229"/>
      <c r="C283" s="230"/>
      <c r="D283" s="231"/>
      <c r="E283" s="157"/>
      <c r="F283" s="12"/>
    </row>
    <row r="284">
      <c r="A284" s="153"/>
      <c r="B284" s="229"/>
      <c r="C284" s="230"/>
      <c r="D284" s="231"/>
      <c r="E284" s="157"/>
      <c r="F284" s="12"/>
    </row>
    <row r="285">
      <c r="A285" s="153"/>
      <c r="B285" s="229"/>
      <c r="C285" s="230"/>
      <c r="D285" s="231"/>
      <c r="E285" s="157"/>
      <c r="F285" s="12"/>
    </row>
    <row r="286">
      <c r="A286" s="153"/>
      <c r="B286" s="229"/>
      <c r="C286" s="230"/>
      <c r="D286" s="231"/>
      <c r="E286" s="157"/>
      <c r="F286" s="12"/>
    </row>
    <row r="287">
      <c r="A287" s="153"/>
      <c r="B287" s="229"/>
      <c r="C287" s="230"/>
      <c r="D287" s="231"/>
      <c r="E287" s="157"/>
      <c r="F287" s="12"/>
    </row>
    <row r="288">
      <c r="A288" s="153"/>
      <c r="B288" s="229"/>
      <c r="C288" s="230"/>
      <c r="D288" s="231"/>
      <c r="E288" s="157"/>
      <c r="F288" s="12"/>
    </row>
    <row r="289">
      <c r="A289" s="153"/>
      <c r="B289" s="229"/>
      <c r="C289" s="230"/>
      <c r="D289" s="231"/>
      <c r="E289" s="157"/>
      <c r="F289" s="12"/>
    </row>
    <row r="290">
      <c r="A290" s="153"/>
      <c r="B290" s="229"/>
      <c r="C290" s="230"/>
      <c r="D290" s="231"/>
      <c r="E290" s="157"/>
      <c r="F290" s="12"/>
    </row>
    <row r="291">
      <c r="A291" s="153"/>
      <c r="B291" s="229"/>
      <c r="C291" s="230"/>
      <c r="D291" s="231"/>
      <c r="E291" s="157"/>
      <c r="F291" s="12"/>
    </row>
    <row r="292">
      <c r="A292" s="153"/>
      <c r="B292" s="229"/>
      <c r="C292" s="230"/>
      <c r="D292" s="231"/>
      <c r="E292" s="157"/>
      <c r="F292" s="12"/>
    </row>
    <row r="293">
      <c r="A293" s="153"/>
      <c r="B293" s="229"/>
      <c r="C293" s="230"/>
      <c r="D293" s="231"/>
      <c r="E293" s="157"/>
      <c r="F293" s="12"/>
    </row>
    <row r="294">
      <c r="A294" s="153"/>
      <c r="B294" s="229"/>
      <c r="C294" s="230"/>
      <c r="D294" s="231"/>
      <c r="E294" s="157"/>
      <c r="F294" s="12"/>
    </row>
    <row r="295">
      <c r="A295" s="153"/>
      <c r="B295" s="229"/>
      <c r="C295" s="230"/>
      <c r="D295" s="231"/>
      <c r="E295" s="157"/>
      <c r="F295" s="12"/>
    </row>
    <row r="296">
      <c r="A296" s="153"/>
      <c r="B296" s="229"/>
      <c r="C296" s="230"/>
      <c r="D296" s="231"/>
      <c r="E296" s="157"/>
      <c r="F296" s="12"/>
    </row>
    <row r="297">
      <c r="A297" s="153"/>
      <c r="B297" s="229"/>
      <c r="C297" s="230"/>
      <c r="D297" s="231"/>
      <c r="E297" s="157"/>
      <c r="F297" s="12"/>
    </row>
    <row r="298">
      <c r="A298" s="153"/>
      <c r="B298" s="229"/>
      <c r="C298" s="230"/>
      <c r="D298" s="231"/>
      <c r="E298" s="157"/>
      <c r="F298" s="12"/>
    </row>
    <row r="299">
      <c r="A299" s="153"/>
      <c r="B299" s="229"/>
      <c r="C299" s="230"/>
      <c r="D299" s="231"/>
      <c r="E299" s="157"/>
      <c r="F299" s="12"/>
    </row>
    <row r="300">
      <c r="A300" s="153"/>
      <c r="B300" s="229"/>
      <c r="C300" s="230"/>
      <c r="D300" s="231"/>
      <c r="E300" s="157"/>
      <c r="F300" s="12"/>
    </row>
    <row r="301">
      <c r="A301" s="153"/>
      <c r="B301" s="229"/>
      <c r="C301" s="230"/>
      <c r="D301" s="231"/>
      <c r="E301" s="157"/>
      <c r="F301" s="12"/>
    </row>
    <row r="302">
      <c r="A302" s="153"/>
      <c r="B302" s="229"/>
      <c r="C302" s="230"/>
      <c r="D302" s="231"/>
      <c r="E302" s="157"/>
      <c r="F302" s="12"/>
    </row>
    <row r="303">
      <c r="A303" s="153"/>
      <c r="B303" s="229"/>
      <c r="C303" s="230"/>
      <c r="D303" s="231"/>
      <c r="E303" s="157"/>
      <c r="F303" s="12"/>
    </row>
    <row r="304">
      <c r="A304" s="153"/>
      <c r="B304" s="229"/>
      <c r="C304" s="230"/>
      <c r="D304" s="231"/>
      <c r="E304" s="157"/>
      <c r="F304" s="12"/>
    </row>
    <row r="305">
      <c r="A305" s="153"/>
      <c r="B305" s="229"/>
      <c r="C305" s="230"/>
      <c r="D305" s="231"/>
      <c r="E305" s="157"/>
      <c r="F305" s="12"/>
    </row>
    <row r="306">
      <c r="A306" s="153"/>
      <c r="B306" s="229"/>
      <c r="C306" s="230"/>
      <c r="D306" s="231"/>
      <c r="E306" s="157"/>
      <c r="F306" s="12"/>
    </row>
    <row r="307">
      <c r="A307" s="153"/>
      <c r="B307" s="229"/>
      <c r="C307" s="230"/>
      <c r="D307" s="231"/>
      <c r="E307" s="157"/>
      <c r="F307" s="12"/>
    </row>
    <row r="308">
      <c r="A308" s="153"/>
      <c r="B308" s="229"/>
      <c r="C308" s="230"/>
      <c r="D308" s="231"/>
      <c r="E308" s="157"/>
      <c r="F308" s="12"/>
    </row>
    <row r="309">
      <c r="A309" s="153"/>
      <c r="B309" s="229"/>
      <c r="C309" s="230"/>
      <c r="D309" s="231"/>
      <c r="E309" s="157"/>
      <c r="F309" s="12"/>
    </row>
    <row r="310">
      <c r="A310" s="153"/>
      <c r="B310" s="229"/>
      <c r="C310" s="230"/>
      <c r="D310" s="231"/>
      <c r="E310" s="157"/>
      <c r="F310" s="12"/>
    </row>
    <row r="311">
      <c r="A311" s="153"/>
      <c r="B311" s="229"/>
      <c r="C311" s="230"/>
      <c r="D311" s="231"/>
      <c r="E311" s="157"/>
      <c r="F311" s="12"/>
    </row>
    <row r="312">
      <c r="A312" s="153"/>
      <c r="B312" s="229"/>
      <c r="C312" s="230"/>
      <c r="D312" s="231"/>
      <c r="E312" s="157"/>
      <c r="F312" s="12"/>
    </row>
    <row r="313">
      <c r="A313" s="153"/>
      <c r="B313" s="229"/>
      <c r="C313" s="230"/>
      <c r="D313" s="231"/>
      <c r="E313" s="157"/>
      <c r="F313" s="12"/>
    </row>
    <row r="314">
      <c r="A314" s="153"/>
      <c r="B314" s="229"/>
      <c r="C314" s="230"/>
      <c r="D314" s="231"/>
      <c r="E314" s="157"/>
      <c r="F314" s="12"/>
    </row>
    <row r="315">
      <c r="A315" s="153"/>
      <c r="B315" s="229"/>
      <c r="C315" s="230"/>
      <c r="D315" s="231"/>
      <c r="E315" s="157"/>
      <c r="F315" s="12"/>
    </row>
    <row r="316">
      <c r="A316" s="153"/>
      <c r="B316" s="229"/>
      <c r="C316" s="230"/>
      <c r="D316" s="231"/>
      <c r="E316" s="157"/>
      <c r="F316" s="12"/>
    </row>
    <row r="317">
      <c r="A317" s="153"/>
      <c r="B317" s="229"/>
      <c r="C317" s="230"/>
      <c r="D317" s="231"/>
      <c r="E317" s="157"/>
      <c r="F317" s="12"/>
    </row>
    <row r="318">
      <c r="A318" s="153"/>
      <c r="B318" s="229"/>
      <c r="C318" s="230"/>
      <c r="D318" s="231"/>
      <c r="E318" s="157"/>
      <c r="F318" s="12"/>
    </row>
    <row r="319">
      <c r="A319" s="153"/>
      <c r="B319" s="229"/>
      <c r="C319" s="230"/>
      <c r="D319" s="231"/>
      <c r="E319" s="157"/>
      <c r="F319" s="12"/>
    </row>
    <row r="320">
      <c r="A320" s="153"/>
      <c r="B320" s="229"/>
      <c r="C320" s="230"/>
      <c r="D320" s="231"/>
      <c r="E320" s="157"/>
      <c r="F320" s="12"/>
    </row>
    <row r="321">
      <c r="A321" s="153"/>
      <c r="B321" s="229"/>
      <c r="C321" s="230"/>
      <c r="D321" s="231"/>
      <c r="E321" s="157"/>
      <c r="F321" s="12"/>
    </row>
    <row r="322">
      <c r="A322" s="153"/>
      <c r="B322" s="229"/>
      <c r="C322" s="230"/>
      <c r="D322" s="231"/>
      <c r="E322" s="157"/>
      <c r="F322" s="12"/>
    </row>
    <row r="323">
      <c r="A323" s="153"/>
      <c r="B323" s="229"/>
      <c r="C323" s="230"/>
      <c r="D323" s="231"/>
      <c r="E323" s="157"/>
      <c r="F323" s="12"/>
    </row>
    <row r="324">
      <c r="A324" s="153"/>
      <c r="B324" s="229"/>
      <c r="C324" s="230"/>
      <c r="D324" s="231"/>
      <c r="E324" s="157"/>
      <c r="F324" s="12"/>
    </row>
    <row r="325">
      <c r="A325" s="153"/>
      <c r="B325" s="229"/>
      <c r="C325" s="230"/>
      <c r="D325" s="231"/>
      <c r="E325" s="157"/>
      <c r="F325" s="12"/>
    </row>
    <row r="326">
      <c r="A326" s="153"/>
      <c r="B326" s="229"/>
      <c r="C326" s="230"/>
      <c r="D326" s="231"/>
      <c r="E326" s="157"/>
      <c r="F326" s="12"/>
    </row>
    <row r="327">
      <c r="A327" s="153"/>
      <c r="B327" s="229"/>
      <c r="C327" s="230"/>
      <c r="D327" s="231"/>
      <c r="E327" s="157"/>
      <c r="F327" s="12"/>
    </row>
    <row r="328">
      <c r="A328" s="153"/>
      <c r="B328" s="229"/>
      <c r="C328" s="230"/>
      <c r="D328" s="231"/>
      <c r="E328" s="157"/>
      <c r="F328" s="12"/>
    </row>
    <row r="329">
      <c r="A329" s="153"/>
      <c r="B329" s="229"/>
      <c r="C329" s="230"/>
      <c r="D329" s="231"/>
      <c r="E329" s="157"/>
      <c r="F329" s="12"/>
    </row>
    <row r="330">
      <c r="A330" s="153"/>
      <c r="B330" s="229"/>
      <c r="C330" s="230"/>
      <c r="D330" s="231"/>
      <c r="E330" s="157"/>
      <c r="F330" s="12"/>
    </row>
    <row r="331">
      <c r="A331" s="153"/>
      <c r="B331" s="229"/>
      <c r="C331" s="230"/>
      <c r="D331" s="231"/>
      <c r="E331" s="157"/>
      <c r="F331" s="12"/>
    </row>
    <row r="332">
      <c r="A332" s="153"/>
      <c r="B332" s="229"/>
      <c r="C332" s="230"/>
      <c r="D332" s="231"/>
      <c r="E332" s="157"/>
      <c r="F332" s="12"/>
    </row>
    <row r="333">
      <c r="A333" s="153"/>
      <c r="B333" s="229"/>
      <c r="C333" s="230"/>
      <c r="D333" s="231"/>
      <c r="E333" s="157"/>
      <c r="F333" s="12"/>
    </row>
    <row r="334">
      <c r="A334" s="153"/>
      <c r="B334" s="229"/>
      <c r="C334" s="230"/>
      <c r="D334" s="231"/>
      <c r="E334" s="157"/>
      <c r="F334" s="12"/>
    </row>
    <row r="335">
      <c r="A335" s="153"/>
      <c r="B335" s="229"/>
      <c r="C335" s="230"/>
      <c r="D335" s="231"/>
      <c r="E335" s="157"/>
      <c r="F335" s="12"/>
    </row>
    <row r="336">
      <c r="A336" s="153"/>
      <c r="B336" s="229"/>
      <c r="C336" s="230"/>
      <c r="D336" s="231"/>
      <c r="E336" s="157"/>
      <c r="F336" s="12"/>
    </row>
    <row r="337">
      <c r="A337" s="153"/>
      <c r="B337" s="229"/>
      <c r="C337" s="230"/>
      <c r="D337" s="231"/>
      <c r="E337" s="157"/>
      <c r="F337" s="12"/>
    </row>
    <row r="338">
      <c r="A338" s="153"/>
      <c r="B338" s="229"/>
      <c r="C338" s="230"/>
      <c r="D338" s="231"/>
      <c r="E338" s="157"/>
      <c r="F338" s="12"/>
    </row>
    <row r="339">
      <c r="A339" s="153"/>
      <c r="B339" s="229"/>
      <c r="C339" s="230"/>
      <c r="D339" s="231"/>
      <c r="E339" s="157"/>
      <c r="F339" s="12"/>
    </row>
    <row r="340">
      <c r="A340" s="153"/>
      <c r="B340" s="229"/>
      <c r="C340" s="230"/>
      <c r="D340" s="231"/>
      <c r="E340" s="157"/>
      <c r="F340" s="12"/>
    </row>
    <row r="341">
      <c r="A341" s="153"/>
      <c r="B341" s="229"/>
      <c r="C341" s="230"/>
      <c r="D341" s="231"/>
      <c r="E341" s="157"/>
      <c r="F341" s="12"/>
    </row>
    <row r="342">
      <c r="A342" s="153"/>
      <c r="B342" s="229"/>
      <c r="C342" s="230"/>
      <c r="D342" s="231"/>
      <c r="E342" s="157"/>
      <c r="F342" s="12"/>
    </row>
    <row r="343">
      <c r="A343" s="153"/>
      <c r="B343" s="229"/>
      <c r="C343" s="230"/>
      <c r="D343" s="231"/>
      <c r="E343" s="157"/>
      <c r="F343" s="12"/>
    </row>
    <row r="344">
      <c r="A344" s="153"/>
      <c r="B344" s="229"/>
      <c r="C344" s="230"/>
      <c r="D344" s="231"/>
      <c r="E344" s="157"/>
      <c r="F344" s="12"/>
    </row>
    <row r="345">
      <c r="A345" s="153"/>
      <c r="B345" s="229"/>
      <c r="C345" s="230"/>
      <c r="D345" s="231"/>
      <c r="E345" s="157"/>
      <c r="F345" s="12"/>
    </row>
    <row r="346">
      <c r="A346" s="153"/>
      <c r="B346" s="229"/>
      <c r="C346" s="230"/>
      <c r="D346" s="231"/>
      <c r="E346" s="157"/>
      <c r="F346" s="12"/>
    </row>
    <row r="347">
      <c r="A347" s="153"/>
      <c r="B347" s="229"/>
      <c r="C347" s="230"/>
      <c r="D347" s="231"/>
      <c r="E347" s="157"/>
      <c r="F347" s="12"/>
    </row>
    <row r="348">
      <c r="A348" s="153"/>
      <c r="B348" s="229"/>
      <c r="C348" s="230"/>
      <c r="D348" s="231"/>
      <c r="E348" s="157"/>
      <c r="F348" s="12"/>
    </row>
    <row r="349">
      <c r="A349" s="153"/>
      <c r="B349" s="229"/>
      <c r="C349" s="230"/>
      <c r="D349" s="231"/>
      <c r="E349" s="157"/>
      <c r="F349" s="12"/>
    </row>
    <row r="350">
      <c r="A350" s="153"/>
      <c r="B350" s="229"/>
      <c r="C350" s="230"/>
      <c r="D350" s="231"/>
      <c r="E350" s="157"/>
      <c r="F350" s="12"/>
    </row>
    <row r="351">
      <c r="A351" s="153"/>
      <c r="B351" s="229"/>
      <c r="C351" s="230"/>
      <c r="D351" s="231"/>
      <c r="E351" s="157"/>
      <c r="F351" s="12"/>
    </row>
    <row r="352">
      <c r="A352" s="153"/>
      <c r="B352" s="229"/>
      <c r="C352" s="230"/>
      <c r="D352" s="231"/>
      <c r="E352" s="157"/>
      <c r="F352" s="12"/>
    </row>
    <row r="353">
      <c r="A353" s="153"/>
      <c r="B353" s="229"/>
      <c r="C353" s="230"/>
      <c r="D353" s="231"/>
      <c r="E353" s="157"/>
      <c r="F353" s="12"/>
    </row>
    <row r="354">
      <c r="A354" s="153"/>
      <c r="B354" s="229"/>
      <c r="C354" s="230"/>
      <c r="D354" s="231"/>
      <c r="E354" s="157"/>
      <c r="F354" s="12"/>
    </row>
    <row r="355">
      <c r="A355" s="153"/>
      <c r="B355" s="229"/>
      <c r="C355" s="230"/>
      <c r="D355" s="231"/>
      <c r="E355" s="157"/>
      <c r="F355" s="12"/>
    </row>
    <row r="356">
      <c r="A356" s="153"/>
      <c r="B356" s="229"/>
      <c r="C356" s="230"/>
      <c r="D356" s="231"/>
      <c r="E356" s="157"/>
      <c r="F356" s="12"/>
    </row>
    <row r="357">
      <c r="A357" s="153"/>
      <c r="B357" s="229"/>
      <c r="C357" s="230"/>
      <c r="D357" s="231"/>
      <c r="E357" s="157"/>
      <c r="F357" s="12"/>
    </row>
    <row r="358">
      <c r="A358" s="153"/>
      <c r="B358" s="229"/>
      <c r="C358" s="230"/>
      <c r="D358" s="231"/>
      <c r="E358" s="157"/>
      <c r="F358" s="12"/>
    </row>
    <row r="359">
      <c r="A359" s="153"/>
      <c r="B359" s="229"/>
      <c r="C359" s="230"/>
      <c r="D359" s="231"/>
      <c r="E359" s="157"/>
      <c r="F359" s="12"/>
    </row>
    <row r="360">
      <c r="A360" s="153"/>
      <c r="B360" s="229"/>
      <c r="C360" s="230"/>
      <c r="D360" s="231"/>
      <c r="E360" s="157"/>
      <c r="F360" s="12"/>
    </row>
    <row r="361">
      <c r="A361" s="153"/>
      <c r="B361" s="229"/>
      <c r="C361" s="230"/>
      <c r="D361" s="231"/>
      <c r="E361" s="157"/>
      <c r="F361" s="12"/>
    </row>
    <row r="362">
      <c r="A362" s="153"/>
      <c r="B362" s="229"/>
      <c r="C362" s="230"/>
      <c r="D362" s="231"/>
      <c r="E362" s="157"/>
      <c r="F362" s="12"/>
    </row>
    <row r="363">
      <c r="A363" s="153"/>
      <c r="B363" s="229"/>
      <c r="C363" s="230"/>
      <c r="D363" s="231"/>
      <c r="E363" s="157"/>
      <c r="F363" s="12"/>
    </row>
    <row r="364">
      <c r="A364" s="153"/>
      <c r="B364" s="229"/>
      <c r="C364" s="230"/>
      <c r="D364" s="231"/>
      <c r="E364" s="157"/>
      <c r="F364" s="12"/>
    </row>
    <row r="365">
      <c r="A365" s="153"/>
      <c r="B365" s="229"/>
      <c r="C365" s="230"/>
      <c r="D365" s="231"/>
      <c r="E365" s="157"/>
      <c r="F365" s="12"/>
    </row>
    <row r="366">
      <c r="A366" s="153"/>
      <c r="B366" s="229"/>
      <c r="C366" s="230"/>
      <c r="D366" s="231"/>
      <c r="E366" s="157"/>
      <c r="F366" s="12"/>
    </row>
    <row r="367">
      <c r="A367" s="153"/>
      <c r="B367" s="229"/>
      <c r="C367" s="230"/>
      <c r="D367" s="231"/>
      <c r="E367" s="157"/>
      <c r="F367" s="12"/>
    </row>
    <row r="368">
      <c r="A368" s="153"/>
      <c r="B368" s="229"/>
      <c r="C368" s="230"/>
      <c r="D368" s="231"/>
      <c r="E368" s="157"/>
      <c r="F368" s="12"/>
    </row>
    <row r="369">
      <c r="A369" s="153"/>
      <c r="B369" s="229"/>
      <c r="C369" s="230"/>
      <c r="D369" s="231"/>
      <c r="E369" s="157"/>
      <c r="F369" s="12"/>
    </row>
    <row r="370">
      <c r="A370" s="153"/>
      <c r="B370" s="229"/>
      <c r="C370" s="230"/>
      <c r="D370" s="231"/>
      <c r="E370" s="157"/>
      <c r="F370" s="12"/>
    </row>
    <row r="371">
      <c r="A371" s="153"/>
      <c r="B371" s="229"/>
      <c r="C371" s="230"/>
      <c r="D371" s="231"/>
      <c r="E371" s="157"/>
      <c r="F371" s="12"/>
    </row>
    <row r="372">
      <c r="A372" s="153"/>
      <c r="B372" s="229"/>
      <c r="C372" s="230"/>
      <c r="D372" s="231"/>
      <c r="E372" s="157"/>
      <c r="F372" s="12"/>
    </row>
    <row r="373">
      <c r="A373" s="153"/>
      <c r="B373" s="229"/>
      <c r="C373" s="230"/>
      <c r="D373" s="231"/>
      <c r="E373" s="157"/>
      <c r="F373" s="12"/>
    </row>
    <row r="374">
      <c r="A374" s="153"/>
      <c r="B374" s="229"/>
      <c r="C374" s="230"/>
      <c r="D374" s="231"/>
      <c r="E374" s="157"/>
      <c r="F374" s="12"/>
    </row>
    <row r="375">
      <c r="A375" s="153"/>
      <c r="B375" s="229"/>
      <c r="C375" s="230"/>
      <c r="D375" s="231"/>
      <c r="E375" s="157"/>
      <c r="F375" s="12"/>
    </row>
    <row r="376">
      <c r="A376" s="153"/>
      <c r="B376" s="229"/>
      <c r="C376" s="230"/>
      <c r="D376" s="231"/>
      <c r="E376" s="157"/>
      <c r="F376" s="12"/>
    </row>
    <row r="377">
      <c r="A377" s="153"/>
      <c r="B377" s="229"/>
      <c r="C377" s="230"/>
      <c r="D377" s="231"/>
      <c r="E377" s="157"/>
      <c r="F377" s="12"/>
    </row>
    <row r="378">
      <c r="A378" s="153"/>
      <c r="B378" s="229"/>
      <c r="C378" s="230"/>
      <c r="D378" s="231"/>
      <c r="E378" s="157"/>
      <c r="F378" s="12"/>
    </row>
    <row r="379">
      <c r="A379" s="153"/>
      <c r="B379" s="229"/>
      <c r="C379" s="230"/>
      <c r="D379" s="231"/>
      <c r="E379" s="157"/>
      <c r="F379" s="12"/>
    </row>
    <row r="380">
      <c r="A380" s="153"/>
      <c r="B380" s="229"/>
      <c r="C380" s="230"/>
      <c r="D380" s="231"/>
      <c r="E380" s="157"/>
      <c r="F380" s="12"/>
    </row>
    <row r="381">
      <c r="A381" s="153"/>
      <c r="B381" s="229"/>
      <c r="C381" s="230"/>
      <c r="D381" s="231"/>
      <c r="E381" s="157"/>
      <c r="F381" s="12"/>
    </row>
    <row r="382">
      <c r="A382" s="153"/>
      <c r="B382" s="229"/>
      <c r="C382" s="230"/>
      <c r="D382" s="231"/>
      <c r="E382" s="157"/>
      <c r="F382" s="12"/>
    </row>
    <row r="383">
      <c r="A383" s="153"/>
      <c r="B383" s="229"/>
      <c r="C383" s="230"/>
      <c r="D383" s="231"/>
      <c r="E383" s="157"/>
      <c r="F383" s="12"/>
    </row>
    <row r="384">
      <c r="A384" s="153"/>
      <c r="B384" s="229"/>
      <c r="C384" s="230"/>
      <c r="D384" s="231"/>
      <c r="E384" s="157"/>
      <c r="F384" s="12"/>
    </row>
    <row r="385">
      <c r="A385" s="153"/>
      <c r="B385" s="229"/>
      <c r="C385" s="230"/>
      <c r="D385" s="231"/>
      <c r="E385" s="157"/>
      <c r="F385" s="12"/>
    </row>
    <row r="386">
      <c r="A386" s="153"/>
      <c r="B386" s="229"/>
      <c r="C386" s="230"/>
      <c r="D386" s="231"/>
      <c r="E386" s="157"/>
      <c r="F386" s="12"/>
    </row>
    <row r="387">
      <c r="A387" s="153"/>
      <c r="B387" s="229"/>
      <c r="C387" s="230"/>
      <c r="D387" s="231"/>
      <c r="E387" s="157"/>
      <c r="F387" s="12"/>
    </row>
    <row r="388">
      <c r="A388" s="153"/>
      <c r="B388" s="229"/>
      <c r="C388" s="230"/>
      <c r="D388" s="231"/>
      <c r="E388" s="157"/>
      <c r="F388" s="12"/>
    </row>
    <row r="389">
      <c r="A389" s="153"/>
      <c r="B389" s="229"/>
      <c r="C389" s="230"/>
      <c r="D389" s="231"/>
      <c r="E389" s="157"/>
      <c r="F389" s="12"/>
    </row>
    <row r="390">
      <c r="A390" s="153"/>
      <c r="B390" s="229"/>
      <c r="C390" s="230"/>
      <c r="D390" s="231"/>
      <c r="E390" s="157"/>
      <c r="F390" s="12"/>
    </row>
    <row r="391">
      <c r="A391" s="153"/>
      <c r="B391" s="229"/>
      <c r="C391" s="230"/>
      <c r="D391" s="231"/>
      <c r="E391" s="157"/>
      <c r="F391" s="12"/>
    </row>
    <row r="392">
      <c r="A392" s="153"/>
      <c r="B392" s="229"/>
      <c r="C392" s="230"/>
      <c r="D392" s="231"/>
      <c r="E392" s="157"/>
      <c r="F392" s="12"/>
    </row>
    <row r="393">
      <c r="A393" s="153"/>
      <c r="B393" s="229"/>
      <c r="C393" s="230"/>
      <c r="D393" s="231"/>
      <c r="E393" s="157"/>
      <c r="F393" s="12"/>
    </row>
    <row r="394">
      <c r="A394" s="153"/>
      <c r="B394" s="229"/>
      <c r="C394" s="230"/>
      <c r="D394" s="231"/>
      <c r="E394" s="157"/>
      <c r="F394" s="12"/>
    </row>
    <row r="395">
      <c r="A395" s="153"/>
      <c r="B395" s="229"/>
      <c r="C395" s="230"/>
      <c r="D395" s="231"/>
      <c r="E395" s="157"/>
      <c r="F395" s="12"/>
    </row>
    <row r="396">
      <c r="A396" s="153"/>
      <c r="B396" s="229"/>
      <c r="C396" s="230"/>
      <c r="D396" s="231"/>
      <c r="E396" s="157"/>
      <c r="F396" s="12"/>
    </row>
    <row r="397">
      <c r="A397" s="153"/>
      <c r="B397" s="229"/>
      <c r="C397" s="230"/>
      <c r="D397" s="231"/>
      <c r="E397" s="157"/>
      <c r="F397" s="12"/>
    </row>
    <row r="398">
      <c r="A398" s="153"/>
      <c r="B398" s="229"/>
      <c r="C398" s="230"/>
      <c r="D398" s="231"/>
      <c r="E398" s="157"/>
      <c r="F398" s="12"/>
    </row>
    <row r="399">
      <c r="A399" s="153"/>
      <c r="B399" s="229"/>
      <c r="C399" s="230"/>
      <c r="D399" s="231"/>
      <c r="E399" s="157"/>
      <c r="F399" s="12"/>
    </row>
    <row r="400">
      <c r="A400" s="153"/>
      <c r="B400" s="229"/>
      <c r="C400" s="230"/>
      <c r="D400" s="231"/>
      <c r="E400" s="157"/>
      <c r="F400" s="12"/>
    </row>
    <row r="401">
      <c r="A401" s="153"/>
      <c r="B401" s="229"/>
      <c r="C401" s="230"/>
      <c r="D401" s="231"/>
      <c r="E401" s="157"/>
      <c r="F401" s="12"/>
    </row>
    <row r="402">
      <c r="A402" s="153"/>
      <c r="B402" s="229"/>
      <c r="C402" s="230"/>
      <c r="D402" s="231"/>
      <c r="E402" s="157"/>
      <c r="F402" s="12"/>
    </row>
    <row r="403">
      <c r="A403" s="153"/>
      <c r="B403" s="229"/>
      <c r="C403" s="230"/>
      <c r="D403" s="231"/>
      <c r="E403" s="157"/>
      <c r="F403" s="12"/>
    </row>
    <row r="404">
      <c r="A404" s="153"/>
      <c r="B404" s="229"/>
      <c r="C404" s="230"/>
      <c r="D404" s="231"/>
      <c r="E404" s="157"/>
      <c r="F404" s="12"/>
    </row>
    <row r="405">
      <c r="A405" s="153"/>
      <c r="B405" s="229"/>
      <c r="C405" s="230"/>
      <c r="D405" s="231"/>
      <c r="E405" s="157"/>
      <c r="F405" s="12"/>
    </row>
    <row r="406">
      <c r="A406" s="153"/>
      <c r="B406" s="229"/>
      <c r="C406" s="230"/>
      <c r="D406" s="231"/>
      <c r="E406" s="157"/>
      <c r="F406" s="12"/>
    </row>
    <row r="407">
      <c r="A407" s="153"/>
      <c r="B407" s="229"/>
      <c r="C407" s="230"/>
      <c r="D407" s="231"/>
      <c r="E407" s="157"/>
      <c r="F407" s="12"/>
    </row>
    <row r="408">
      <c r="A408" s="153"/>
      <c r="B408" s="229"/>
      <c r="C408" s="230"/>
      <c r="D408" s="231"/>
      <c r="E408" s="157"/>
      <c r="F408" s="12"/>
    </row>
    <row r="409">
      <c r="A409" s="153"/>
      <c r="B409" s="229"/>
      <c r="C409" s="230"/>
      <c r="D409" s="231"/>
      <c r="E409" s="157"/>
      <c r="F409" s="12"/>
    </row>
    <row r="410">
      <c r="A410" s="153"/>
      <c r="B410" s="229"/>
      <c r="C410" s="230"/>
      <c r="D410" s="231"/>
      <c r="E410" s="157"/>
      <c r="F410" s="12"/>
    </row>
    <row r="411">
      <c r="A411" s="153"/>
      <c r="B411" s="229"/>
      <c r="C411" s="230"/>
      <c r="D411" s="231"/>
      <c r="E411" s="157"/>
      <c r="F411" s="12"/>
    </row>
    <row r="412">
      <c r="A412" s="153"/>
      <c r="B412" s="229"/>
      <c r="C412" s="230"/>
      <c r="D412" s="231"/>
      <c r="E412" s="157"/>
      <c r="F412" s="12"/>
    </row>
    <row r="413">
      <c r="A413" s="153"/>
      <c r="B413" s="229"/>
      <c r="C413" s="230"/>
      <c r="D413" s="231"/>
      <c r="E413" s="157"/>
      <c r="F413" s="12"/>
    </row>
    <row r="414">
      <c r="A414" s="153"/>
      <c r="B414" s="229"/>
      <c r="C414" s="230"/>
      <c r="D414" s="231"/>
      <c r="E414" s="157"/>
      <c r="F414" s="12"/>
    </row>
    <row r="415">
      <c r="A415" s="153"/>
      <c r="B415" s="229"/>
      <c r="C415" s="230"/>
      <c r="D415" s="231"/>
      <c r="E415" s="157"/>
      <c r="F415" s="12"/>
    </row>
    <row r="416">
      <c r="A416" s="153"/>
      <c r="B416" s="229"/>
      <c r="C416" s="230"/>
      <c r="D416" s="231"/>
      <c r="E416" s="157"/>
      <c r="F416" s="12"/>
    </row>
    <row r="417">
      <c r="A417" s="153"/>
      <c r="B417" s="229"/>
      <c r="C417" s="230"/>
      <c r="D417" s="231"/>
      <c r="E417" s="157"/>
      <c r="F417" s="12"/>
    </row>
    <row r="418">
      <c r="A418" s="153"/>
      <c r="B418" s="229"/>
      <c r="C418" s="230"/>
      <c r="D418" s="231"/>
      <c r="E418" s="157"/>
      <c r="F418" s="12"/>
    </row>
    <row r="419">
      <c r="A419" s="153"/>
      <c r="B419" s="229"/>
      <c r="C419" s="230"/>
      <c r="D419" s="231"/>
      <c r="E419" s="157"/>
      <c r="F419" s="12"/>
    </row>
    <row r="420">
      <c r="A420" s="153"/>
      <c r="B420" s="229"/>
      <c r="C420" s="230"/>
      <c r="D420" s="231"/>
      <c r="E420" s="157"/>
      <c r="F420" s="12"/>
    </row>
    <row r="421">
      <c r="A421" s="153"/>
      <c r="B421" s="229"/>
      <c r="C421" s="230"/>
      <c r="D421" s="231"/>
      <c r="E421" s="157"/>
      <c r="F421" s="12"/>
    </row>
    <row r="422">
      <c r="A422" s="153"/>
      <c r="B422" s="229"/>
      <c r="C422" s="230"/>
      <c r="D422" s="231"/>
      <c r="E422" s="157"/>
      <c r="F422" s="12"/>
    </row>
    <row r="423">
      <c r="A423" s="153"/>
      <c r="B423" s="229"/>
      <c r="C423" s="230"/>
      <c r="D423" s="231"/>
      <c r="E423" s="157"/>
      <c r="F423" s="12"/>
    </row>
    <row r="424">
      <c r="A424" s="153"/>
      <c r="B424" s="229"/>
      <c r="C424" s="230"/>
      <c r="D424" s="231"/>
      <c r="E424" s="157"/>
      <c r="F424" s="12"/>
    </row>
    <row r="425">
      <c r="A425" s="153"/>
      <c r="B425" s="229"/>
      <c r="C425" s="230"/>
      <c r="D425" s="231"/>
      <c r="E425" s="157"/>
      <c r="F425" s="12"/>
    </row>
    <row r="426">
      <c r="A426" s="153"/>
      <c r="B426" s="229"/>
      <c r="C426" s="230"/>
      <c r="D426" s="231"/>
      <c r="E426" s="157"/>
      <c r="F426" s="12"/>
    </row>
    <row r="427">
      <c r="A427" s="153"/>
      <c r="B427" s="229"/>
      <c r="C427" s="230"/>
      <c r="D427" s="231"/>
      <c r="E427" s="157"/>
      <c r="F427" s="12"/>
    </row>
    <row r="428">
      <c r="A428" s="153"/>
      <c r="B428" s="229"/>
      <c r="C428" s="230"/>
      <c r="D428" s="231"/>
      <c r="E428" s="157"/>
      <c r="F428" s="12"/>
    </row>
    <row r="429">
      <c r="A429" s="153"/>
      <c r="B429" s="229"/>
      <c r="C429" s="230"/>
      <c r="D429" s="231"/>
      <c r="E429" s="157"/>
      <c r="F429" s="12"/>
    </row>
    <row r="430">
      <c r="A430" s="153"/>
      <c r="B430" s="229"/>
      <c r="C430" s="230"/>
      <c r="D430" s="231"/>
      <c r="E430" s="157"/>
      <c r="F430" s="12"/>
    </row>
    <row r="431">
      <c r="A431" s="153"/>
      <c r="B431" s="229"/>
      <c r="C431" s="230"/>
      <c r="D431" s="231"/>
      <c r="E431" s="157"/>
      <c r="F431" s="12"/>
    </row>
    <row r="432">
      <c r="A432" s="153"/>
      <c r="B432" s="229"/>
      <c r="C432" s="230"/>
      <c r="D432" s="231"/>
      <c r="E432" s="157"/>
      <c r="F432" s="12"/>
    </row>
    <row r="433">
      <c r="A433" s="153"/>
      <c r="B433" s="229"/>
      <c r="C433" s="230"/>
      <c r="D433" s="231"/>
      <c r="E433" s="157"/>
      <c r="F433" s="12"/>
    </row>
    <row r="434">
      <c r="A434" s="153"/>
      <c r="B434" s="229"/>
      <c r="C434" s="230"/>
      <c r="D434" s="231"/>
      <c r="E434" s="157"/>
      <c r="F434" s="12"/>
    </row>
    <row r="435">
      <c r="A435" s="153"/>
      <c r="B435" s="229"/>
      <c r="C435" s="230"/>
      <c r="D435" s="231"/>
      <c r="E435" s="157"/>
      <c r="F435" s="12"/>
    </row>
    <row r="436">
      <c r="A436" s="153"/>
      <c r="B436" s="229"/>
      <c r="C436" s="230"/>
      <c r="D436" s="231"/>
      <c r="E436" s="157"/>
      <c r="F436" s="12"/>
    </row>
    <row r="437">
      <c r="A437" s="153"/>
      <c r="B437" s="229"/>
      <c r="C437" s="230"/>
      <c r="D437" s="231"/>
      <c r="E437" s="157"/>
      <c r="F437" s="12"/>
    </row>
    <row r="438">
      <c r="A438" s="153"/>
      <c r="B438" s="229"/>
      <c r="C438" s="230"/>
      <c r="D438" s="231"/>
      <c r="E438" s="157"/>
      <c r="F438" s="12"/>
    </row>
    <row r="439">
      <c r="A439" s="153"/>
      <c r="B439" s="229"/>
      <c r="C439" s="230"/>
      <c r="D439" s="231"/>
      <c r="E439" s="157"/>
      <c r="F439" s="12"/>
    </row>
    <row r="440">
      <c r="A440" s="153"/>
      <c r="B440" s="229"/>
      <c r="C440" s="230"/>
      <c r="D440" s="231"/>
      <c r="E440" s="157"/>
      <c r="F440" s="12"/>
    </row>
    <row r="441">
      <c r="A441" s="153"/>
      <c r="B441" s="229"/>
      <c r="C441" s="230"/>
      <c r="D441" s="231"/>
      <c r="E441" s="157"/>
      <c r="F441" s="12"/>
    </row>
    <row r="442">
      <c r="A442" s="153"/>
      <c r="B442" s="229"/>
      <c r="C442" s="230"/>
      <c r="D442" s="231"/>
      <c r="E442" s="157"/>
      <c r="F442" s="12"/>
    </row>
    <row r="443">
      <c r="A443" s="153"/>
      <c r="B443" s="229"/>
      <c r="C443" s="230"/>
      <c r="D443" s="231"/>
      <c r="E443" s="157"/>
      <c r="F443" s="12"/>
    </row>
    <row r="444">
      <c r="A444" s="153"/>
      <c r="B444" s="229"/>
      <c r="C444" s="230"/>
      <c r="D444" s="231"/>
      <c r="E444" s="157"/>
      <c r="F444" s="12"/>
    </row>
    <row r="445">
      <c r="A445" s="153"/>
      <c r="B445" s="229"/>
      <c r="C445" s="230"/>
      <c r="D445" s="231"/>
      <c r="E445" s="157"/>
      <c r="F445" s="12"/>
    </row>
    <row r="446">
      <c r="A446" s="153"/>
      <c r="B446" s="229"/>
      <c r="C446" s="230"/>
      <c r="D446" s="231"/>
      <c r="E446" s="157"/>
      <c r="F446" s="12"/>
    </row>
    <row r="447">
      <c r="A447" s="153"/>
      <c r="B447" s="229"/>
      <c r="C447" s="230"/>
      <c r="D447" s="231"/>
      <c r="E447" s="157"/>
      <c r="F447" s="12"/>
    </row>
    <row r="448">
      <c r="A448" s="153"/>
      <c r="B448" s="229"/>
      <c r="C448" s="230"/>
      <c r="D448" s="231"/>
      <c r="E448" s="157"/>
      <c r="F448" s="12"/>
    </row>
    <row r="449">
      <c r="A449" s="153"/>
      <c r="B449" s="229"/>
      <c r="C449" s="230"/>
      <c r="D449" s="231"/>
      <c r="E449" s="157"/>
      <c r="F449" s="12"/>
    </row>
    <row r="450">
      <c r="A450" s="153"/>
      <c r="B450" s="229"/>
      <c r="C450" s="230"/>
      <c r="D450" s="231"/>
      <c r="E450" s="157"/>
      <c r="F450" s="12"/>
    </row>
    <row r="451">
      <c r="A451" s="153"/>
      <c r="B451" s="229"/>
      <c r="C451" s="230"/>
      <c r="D451" s="231"/>
      <c r="E451" s="157"/>
      <c r="F451" s="12"/>
    </row>
    <row r="452">
      <c r="A452" s="153"/>
      <c r="B452" s="229"/>
      <c r="C452" s="230"/>
      <c r="D452" s="231"/>
      <c r="E452" s="157"/>
      <c r="F452" s="12"/>
    </row>
    <row r="453">
      <c r="A453" s="153"/>
      <c r="B453" s="229"/>
      <c r="C453" s="230"/>
      <c r="D453" s="231"/>
      <c r="E453" s="157"/>
      <c r="F453" s="12"/>
    </row>
    <row r="454">
      <c r="A454" s="153"/>
      <c r="B454" s="229"/>
      <c r="C454" s="230"/>
      <c r="D454" s="231"/>
      <c r="E454" s="157"/>
      <c r="F454" s="12"/>
    </row>
    <row r="455">
      <c r="A455" s="153"/>
      <c r="B455" s="229"/>
      <c r="C455" s="230"/>
      <c r="D455" s="231"/>
      <c r="E455" s="157"/>
      <c r="F455" s="12"/>
    </row>
    <row r="456">
      <c r="A456" s="153"/>
      <c r="B456" s="229"/>
      <c r="C456" s="230"/>
      <c r="D456" s="231"/>
      <c r="E456" s="157"/>
      <c r="F456" s="12"/>
    </row>
    <row r="457">
      <c r="A457" s="153"/>
      <c r="B457" s="229"/>
      <c r="C457" s="230"/>
      <c r="D457" s="231"/>
      <c r="E457" s="157"/>
      <c r="F457" s="12"/>
    </row>
    <row r="458">
      <c r="A458" s="153"/>
      <c r="B458" s="229"/>
      <c r="C458" s="230"/>
      <c r="D458" s="231"/>
      <c r="E458" s="157"/>
      <c r="F458" s="12"/>
    </row>
    <row r="459">
      <c r="A459" s="153"/>
      <c r="B459" s="229"/>
      <c r="C459" s="230"/>
      <c r="D459" s="231"/>
      <c r="E459" s="157"/>
      <c r="F459" s="12"/>
    </row>
    <row r="460">
      <c r="A460" s="153"/>
      <c r="B460" s="229"/>
      <c r="C460" s="230"/>
      <c r="D460" s="231"/>
      <c r="E460" s="157"/>
      <c r="F460" s="12"/>
    </row>
    <row r="461">
      <c r="A461" s="153"/>
      <c r="B461" s="229"/>
      <c r="C461" s="230"/>
      <c r="D461" s="231"/>
      <c r="E461" s="157"/>
      <c r="F461" s="12"/>
    </row>
    <row r="462">
      <c r="A462" s="153"/>
      <c r="B462" s="229"/>
      <c r="C462" s="230"/>
      <c r="D462" s="231"/>
      <c r="E462" s="157"/>
      <c r="F462" s="12"/>
    </row>
    <row r="463">
      <c r="A463" s="153"/>
      <c r="B463" s="229"/>
      <c r="C463" s="230"/>
      <c r="D463" s="231"/>
      <c r="E463" s="157"/>
      <c r="F463" s="12"/>
    </row>
    <row r="464">
      <c r="A464" s="153"/>
      <c r="B464" s="229"/>
      <c r="C464" s="230"/>
      <c r="D464" s="231"/>
      <c r="E464" s="157"/>
      <c r="F464" s="12"/>
    </row>
    <row r="465">
      <c r="A465" s="153"/>
      <c r="B465" s="229"/>
      <c r="C465" s="230"/>
      <c r="D465" s="231"/>
      <c r="E465" s="157"/>
      <c r="F465" s="12"/>
    </row>
    <row r="466">
      <c r="A466" s="153"/>
      <c r="B466" s="229"/>
      <c r="C466" s="230"/>
      <c r="D466" s="231"/>
      <c r="E466" s="157"/>
      <c r="F466" s="12"/>
    </row>
    <row r="467">
      <c r="A467" s="153"/>
      <c r="B467" s="229"/>
      <c r="C467" s="230"/>
      <c r="D467" s="231"/>
      <c r="E467" s="157"/>
      <c r="F467" s="12"/>
    </row>
    <row r="468">
      <c r="A468" s="153"/>
      <c r="B468" s="229"/>
      <c r="C468" s="230"/>
      <c r="D468" s="231"/>
      <c r="E468" s="157"/>
      <c r="F468" s="12"/>
    </row>
    <row r="469">
      <c r="A469" s="153"/>
      <c r="B469" s="229"/>
      <c r="C469" s="230"/>
      <c r="D469" s="231"/>
      <c r="E469" s="157"/>
      <c r="F469" s="12"/>
    </row>
    <row r="470">
      <c r="A470" s="153"/>
      <c r="B470" s="229"/>
      <c r="C470" s="230"/>
      <c r="D470" s="231"/>
      <c r="E470" s="157"/>
      <c r="F470" s="12"/>
    </row>
    <row r="471">
      <c r="A471" s="153"/>
      <c r="B471" s="229"/>
      <c r="C471" s="230"/>
      <c r="D471" s="231"/>
      <c r="E471" s="157"/>
      <c r="F471" s="12"/>
    </row>
    <row r="472">
      <c r="A472" s="153"/>
      <c r="B472" s="229"/>
      <c r="C472" s="230"/>
      <c r="D472" s="231"/>
      <c r="E472" s="157"/>
      <c r="F472" s="12"/>
    </row>
    <row r="473">
      <c r="A473" s="153"/>
      <c r="B473" s="229"/>
      <c r="C473" s="230"/>
      <c r="D473" s="231"/>
      <c r="E473" s="157"/>
      <c r="F473" s="12"/>
    </row>
    <row r="474">
      <c r="A474" s="153"/>
      <c r="B474" s="229"/>
      <c r="C474" s="230"/>
      <c r="D474" s="231"/>
      <c r="E474" s="157"/>
      <c r="F474" s="12"/>
    </row>
    <row r="475">
      <c r="A475" s="153"/>
      <c r="B475" s="229"/>
      <c r="C475" s="230"/>
      <c r="D475" s="231"/>
      <c r="E475" s="157"/>
      <c r="F475" s="12"/>
    </row>
    <row r="476">
      <c r="A476" s="153"/>
      <c r="B476" s="229"/>
      <c r="C476" s="230"/>
      <c r="D476" s="231"/>
      <c r="E476" s="157"/>
      <c r="F476" s="12"/>
    </row>
    <row r="477">
      <c r="A477" s="153"/>
      <c r="B477" s="229"/>
      <c r="C477" s="230"/>
      <c r="D477" s="231"/>
      <c r="E477" s="157"/>
      <c r="F477" s="12"/>
    </row>
    <row r="478">
      <c r="A478" s="153"/>
      <c r="B478" s="229"/>
      <c r="C478" s="230"/>
      <c r="D478" s="231"/>
      <c r="E478" s="157"/>
      <c r="F478" s="12"/>
    </row>
    <row r="479">
      <c r="A479" s="153"/>
      <c r="B479" s="229"/>
      <c r="C479" s="230"/>
      <c r="D479" s="231"/>
      <c r="E479" s="157"/>
      <c r="F479" s="12"/>
    </row>
    <row r="480">
      <c r="A480" s="153"/>
      <c r="B480" s="229"/>
      <c r="C480" s="230"/>
      <c r="D480" s="231"/>
      <c r="E480" s="157"/>
      <c r="F480" s="12"/>
    </row>
    <row r="481">
      <c r="A481" s="153"/>
      <c r="B481" s="229"/>
      <c r="C481" s="230"/>
      <c r="D481" s="231"/>
      <c r="E481" s="157"/>
      <c r="F481" s="12"/>
    </row>
    <row r="482">
      <c r="A482" s="153"/>
      <c r="B482" s="229"/>
      <c r="C482" s="230"/>
      <c r="D482" s="231"/>
      <c r="E482" s="157"/>
      <c r="F482" s="12"/>
    </row>
    <row r="483">
      <c r="A483" s="153"/>
      <c r="B483" s="229"/>
      <c r="C483" s="230"/>
      <c r="D483" s="231"/>
      <c r="E483" s="157"/>
      <c r="F483" s="12"/>
    </row>
    <row r="484">
      <c r="A484" s="153"/>
      <c r="B484" s="229"/>
      <c r="C484" s="230"/>
      <c r="D484" s="231"/>
      <c r="E484" s="157"/>
      <c r="F484" s="12"/>
    </row>
    <row r="485">
      <c r="A485" s="153"/>
      <c r="B485" s="229"/>
      <c r="C485" s="230"/>
      <c r="D485" s="231"/>
      <c r="E485" s="157"/>
      <c r="F485" s="12"/>
    </row>
    <row r="486">
      <c r="A486" s="153"/>
      <c r="B486" s="229"/>
      <c r="C486" s="230"/>
      <c r="D486" s="231"/>
      <c r="E486" s="157"/>
      <c r="F486" s="12"/>
    </row>
    <row r="487">
      <c r="A487" s="153"/>
      <c r="B487" s="229"/>
      <c r="C487" s="230"/>
      <c r="D487" s="231"/>
      <c r="E487" s="157"/>
      <c r="F487" s="12"/>
    </row>
    <row r="488">
      <c r="A488" s="153"/>
      <c r="B488" s="229"/>
      <c r="C488" s="230"/>
      <c r="D488" s="231"/>
      <c r="E488" s="157"/>
      <c r="F488" s="12"/>
    </row>
    <row r="489">
      <c r="A489" s="153"/>
      <c r="B489" s="229"/>
      <c r="C489" s="230"/>
      <c r="D489" s="231"/>
      <c r="E489" s="157"/>
      <c r="F489" s="12"/>
    </row>
    <row r="490">
      <c r="A490" s="153"/>
      <c r="B490" s="229"/>
      <c r="C490" s="230"/>
      <c r="D490" s="231"/>
      <c r="E490" s="157"/>
      <c r="F490" s="12"/>
    </row>
    <row r="491">
      <c r="A491" s="153"/>
      <c r="B491" s="229"/>
      <c r="C491" s="230"/>
      <c r="D491" s="231"/>
      <c r="E491" s="157"/>
      <c r="F491" s="12"/>
    </row>
    <row r="492">
      <c r="A492" s="153"/>
      <c r="B492" s="229"/>
      <c r="C492" s="230"/>
      <c r="D492" s="231"/>
      <c r="E492" s="157"/>
      <c r="F492" s="12"/>
    </row>
    <row r="493">
      <c r="A493" s="153"/>
      <c r="B493" s="229"/>
      <c r="C493" s="230"/>
      <c r="D493" s="231"/>
      <c r="E493" s="157"/>
      <c r="F493" s="12"/>
    </row>
    <row r="494">
      <c r="A494" s="153"/>
      <c r="B494" s="229"/>
      <c r="C494" s="230"/>
      <c r="D494" s="231"/>
      <c r="E494" s="157"/>
      <c r="F494" s="12"/>
    </row>
    <row r="495">
      <c r="A495" s="153"/>
      <c r="B495" s="229"/>
      <c r="C495" s="230"/>
      <c r="D495" s="231"/>
      <c r="E495" s="157"/>
      <c r="F495" s="12"/>
    </row>
    <row r="496">
      <c r="A496" s="153"/>
      <c r="B496" s="229"/>
      <c r="C496" s="230"/>
      <c r="D496" s="231"/>
      <c r="E496" s="157"/>
      <c r="F496" s="12"/>
    </row>
    <row r="497">
      <c r="A497" s="153"/>
      <c r="B497" s="229"/>
      <c r="C497" s="230"/>
      <c r="D497" s="231"/>
      <c r="E497" s="157"/>
      <c r="F497" s="12"/>
    </row>
    <row r="498">
      <c r="A498" s="153"/>
      <c r="B498" s="229"/>
      <c r="C498" s="230"/>
      <c r="D498" s="231"/>
      <c r="E498" s="157"/>
      <c r="F498" s="12"/>
    </row>
    <row r="499">
      <c r="A499" s="153"/>
      <c r="B499" s="229"/>
      <c r="C499" s="230"/>
      <c r="D499" s="231"/>
      <c r="E499" s="157"/>
      <c r="F499" s="12"/>
    </row>
    <row r="500">
      <c r="A500" s="153"/>
      <c r="B500" s="229"/>
      <c r="C500" s="230"/>
      <c r="D500" s="231"/>
      <c r="E500" s="157"/>
      <c r="F500" s="12"/>
    </row>
    <row r="501">
      <c r="A501" s="153"/>
      <c r="B501" s="229"/>
      <c r="C501" s="230"/>
      <c r="D501" s="231"/>
      <c r="E501" s="157"/>
      <c r="F501" s="12"/>
    </row>
    <row r="502">
      <c r="A502" s="153"/>
      <c r="B502" s="229"/>
      <c r="C502" s="230"/>
      <c r="D502" s="231"/>
      <c r="E502" s="157"/>
      <c r="F502" s="12"/>
    </row>
    <row r="503">
      <c r="A503" s="153"/>
      <c r="B503" s="229"/>
      <c r="C503" s="230"/>
      <c r="D503" s="231"/>
      <c r="E503" s="157"/>
      <c r="F503" s="12"/>
    </row>
    <row r="504">
      <c r="A504" s="153"/>
      <c r="B504" s="229"/>
      <c r="C504" s="230"/>
      <c r="D504" s="231"/>
      <c r="E504" s="157"/>
      <c r="F504" s="12"/>
    </row>
    <row r="505">
      <c r="A505" s="153"/>
      <c r="B505" s="229"/>
      <c r="C505" s="230"/>
      <c r="D505" s="231"/>
      <c r="E505" s="157"/>
      <c r="F505" s="12"/>
    </row>
    <row r="506">
      <c r="A506" s="153"/>
      <c r="B506" s="229"/>
      <c r="C506" s="230"/>
      <c r="D506" s="231"/>
      <c r="E506" s="157"/>
      <c r="F506" s="12"/>
    </row>
    <row r="507">
      <c r="A507" s="153"/>
      <c r="B507" s="229"/>
      <c r="C507" s="230"/>
      <c r="D507" s="231"/>
      <c r="E507" s="157"/>
      <c r="F507" s="12"/>
    </row>
    <row r="508">
      <c r="A508" s="153"/>
      <c r="B508" s="229"/>
      <c r="C508" s="230"/>
      <c r="D508" s="231"/>
      <c r="E508" s="157"/>
      <c r="F508" s="12"/>
    </row>
    <row r="509">
      <c r="A509" s="153"/>
      <c r="B509" s="229"/>
      <c r="C509" s="230"/>
      <c r="D509" s="231"/>
      <c r="E509" s="157"/>
      <c r="F509" s="12"/>
    </row>
    <row r="510">
      <c r="A510" s="153"/>
      <c r="B510" s="229"/>
      <c r="C510" s="230"/>
      <c r="D510" s="231"/>
      <c r="E510" s="157"/>
      <c r="F510" s="12"/>
    </row>
    <row r="511">
      <c r="A511" s="153"/>
      <c r="B511" s="229"/>
      <c r="C511" s="230"/>
      <c r="D511" s="231"/>
      <c r="E511" s="157"/>
      <c r="F511" s="12"/>
    </row>
    <row r="512">
      <c r="A512" s="153"/>
      <c r="B512" s="229"/>
      <c r="C512" s="230"/>
      <c r="D512" s="231"/>
      <c r="E512" s="157"/>
      <c r="F512" s="12"/>
    </row>
    <row r="513">
      <c r="A513" s="153"/>
      <c r="B513" s="229"/>
      <c r="C513" s="230"/>
      <c r="D513" s="231"/>
      <c r="E513" s="157"/>
      <c r="F513" s="12"/>
    </row>
    <row r="514">
      <c r="A514" s="153"/>
      <c r="B514" s="229"/>
      <c r="C514" s="230"/>
      <c r="D514" s="231"/>
      <c r="E514" s="157"/>
      <c r="F514" s="12"/>
    </row>
    <row r="515">
      <c r="A515" s="153"/>
      <c r="B515" s="229"/>
      <c r="C515" s="230"/>
      <c r="D515" s="231"/>
      <c r="E515" s="157"/>
      <c r="F515" s="12"/>
    </row>
    <row r="516">
      <c r="A516" s="153"/>
      <c r="B516" s="229"/>
      <c r="C516" s="230"/>
      <c r="D516" s="231"/>
      <c r="E516" s="157"/>
      <c r="F516" s="12"/>
    </row>
    <row r="517">
      <c r="A517" s="153"/>
      <c r="B517" s="229"/>
      <c r="C517" s="230"/>
      <c r="D517" s="231"/>
      <c r="E517" s="157"/>
      <c r="F517" s="12"/>
    </row>
    <row r="518">
      <c r="A518" s="153"/>
      <c r="B518" s="229"/>
      <c r="C518" s="230"/>
      <c r="D518" s="231"/>
      <c r="E518" s="157"/>
      <c r="F518" s="12"/>
    </row>
    <row r="519">
      <c r="A519" s="153"/>
      <c r="B519" s="229"/>
      <c r="C519" s="230"/>
      <c r="D519" s="231"/>
      <c r="E519" s="157"/>
      <c r="F519" s="12"/>
    </row>
    <row r="520">
      <c r="A520" s="153"/>
      <c r="B520" s="229"/>
      <c r="C520" s="230"/>
      <c r="D520" s="231"/>
      <c r="E520" s="157"/>
      <c r="F520" s="12"/>
    </row>
    <row r="521">
      <c r="A521" s="153"/>
      <c r="B521" s="229"/>
      <c r="C521" s="230"/>
      <c r="D521" s="231"/>
      <c r="E521" s="157"/>
      <c r="F521" s="12"/>
    </row>
    <row r="522">
      <c r="A522" s="153"/>
      <c r="B522" s="229"/>
      <c r="C522" s="230"/>
      <c r="D522" s="231"/>
      <c r="E522" s="157"/>
      <c r="F522" s="12"/>
    </row>
    <row r="523">
      <c r="A523" s="153"/>
      <c r="B523" s="229"/>
      <c r="C523" s="230"/>
      <c r="D523" s="231"/>
      <c r="E523" s="157"/>
      <c r="F523" s="12"/>
    </row>
    <row r="524">
      <c r="A524" s="153"/>
      <c r="B524" s="229"/>
      <c r="C524" s="230"/>
      <c r="D524" s="231"/>
      <c r="E524" s="157"/>
      <c r="F524" s="12"/>
    </row>
    <row r="525">
      <c r="A525" s="153"/>
      <c r="B525" s="229"/>
      <c r="C525" s="230"/>
      <c r="D525" s="231"/>
      <c r="E525" s="157"/>
      <c r="F525" s="12"/>
    </row>
    <row r="526">
      <c r="A526" s="153"/>
      <c r="B526" s="229"/>
      <c r="C526" s="230"/>
      <c r="D526" s="231"/>
      <c r="E526" s="157"/>
      <c r="F526" s="12"/>
    </row>
    <row r="527">
      <c r="A527" s="153"/>
      <c r="B527" s="229"/>
      <c r="C527" s="230"/>
      <c r="D527" s="231"/>
      <c r="E527" s="157"/>
      <c r="F527" s="12"/>
    </row>
    <row r="528">
      <c r="A528" s="153"/>
      <c r="B528" s="229"/>
      <c r="C528" s="230"/>
      <c r="D528" s="231"/>
      <c r="E528" s="157"/>
      <c r="F528" s="12"/>
    </row>
    <row r="529">
      <c r="A529" s="153"/>
      <c r="B529" s="229"/>
      <c r="C529" s="230"/>
      <c r="D529" s="231"/>
      <c r="E529" s="157"/>
      <c r="F529" s="12"/>
    </row>
    <row r="530">
      <c r="A530" s="153"/>
      <c r="B530" s="229"/>
      <c r="C530" s="230"/>
      <c r="D530" s="231"/>
      <c r="E530" s="157"/>
      <c r="F530" s="12"/>
    </row>
    <row r="531">
      <c r="A531" s="153"/>
      <c r="B531" s="229"/>
      <c r="C531" s="230"/>
      <c r="D531" s="231"/>
      <c r="E531" s="157"/>
      <c r="F531" s="12"/>
    </row>
    <row r="532">
      <c r="A532" s="153"/>
      <c r="B532" s="229"/>
      <c r="C532" s="230"/>
      <c r="D532" s="231"/>
      <c r="E532" s="157"/>
      <c r="F532" s="12"/>
    </row>
    <row r="533">
      <c r="A533" s="153"/>
      <c r="B533" s="229"/>
      <c r="C533" s="230"/>
      <c r="D533" s="231"/>
      <c r="E533" s="157"/>
      <c r="F533" s="12"/>
    </row>
    <row r="534">
      <c r="A534" s="153"/>
      <c r="B534" s="229"/>
      <c r="C534" s="230"/>
      <c r="D534" s="231"/>
      <c r="E534" s="157"/>
      <c r="F534" s="12"/>
    </row>
    <row r="535">
      <c r="A535" s="153"/>
      <c r="B535" s="229"/>
      <c r="C535" s="230"/>
      <c r="D535" s="231"/>
      <c r="E535" s="157"/>
      <c r="F535" s="12"/>
    </row>
    <row r="536">
      <c r="A536" s="153"/>
      <c r="B536" s="229"/>
      <c r="C536" s="230"/>
      <c r="D536" s="231"/>
      <c r="E536" s="157"/>
      <c r="F536" s="12"/>
    </row>
    <row r="537">
      <c r="A537" s="153"/>
      <c r="B537" s="229"/>
      <c r="C537" s="230"/>
      <c r="D537" s="231"/>
      <c r="E537" s="157"/>
      <c r="F537" s="12"/>
    </row>
    <row r="538">
      <c r="A538" s="153"/>
      <c r="B538" s="229"/>
      <c r="C538" s="230"/>
      <c r="D538" s="231"/>
      <c r="E538" s="157"/>
      <c r="F538" s="12"/>
    </row>
    <row r="539">
      <c r="A539" s="153"/>
      <c r="B539" s="229"/>
      <c r="C539" s="230"/>
      <c r="D539" s="231"/>
      <c r="E539" s="157"/>
      <c r="F539" s="12"/>
    </row>
    <row r="540">
      <c r="A540" s="153"/>
      <c r="B540" s="229"/>
      <c r="C540" s="230"/>
      <c r="D540" s="231"/>
      <c r="E540" s="157"/>
      <c r="F540" s="12"/>
    </row>
    <row r="541">
      <c r="A541" s="153"/>
      <c r="B541" s="229"/>
      <c r="C541" s="230"/>
      <c r="D541" s="231"/>
      <c r="E541" s="157"/>
      <c r="F541" s="12"/>
    </row>
    <row r="542">
      <c r="A542" s="153"/>
      <c r="B542" s="229"/>
      <c r="C542" s="230"/>
      <c r="D542" s="231"/>
      <c r="E542" s="157"/>
      <c r="F542" s="12"/>
    </row>
    <row r="543">
      <c r="A543" s="153"/>
      <c r="B543" s="229"/>
      <c r="C543" s="230"/>
      <c r="D543" s="231"/>
      <c r="E543" s="157"/>
      <c r="F543" s="12"/>
    </row>
    <row r="544">
      <c r="A544" s="153"/>
      <c r="B544" s="229"/>
      <c r="C544" s="230"/>
      <c r="D544" s="231"/>
      <c r="E544" s="157"/>
      <c r="F544" s="12"/>
    </row>
    <row r="545">
      <c r="A545" s="153"/>
      <c r="B545" s="229"/>
      <c r="C545" s="230"/>
      <c r="D545" s="231"/>
      <c r="E545" s="157"/>
      <c r="F545" s="12"/>
    </row>
    <row r="546">
      <c r="A546" s="153"/>
      <c r="B546" s="229"/>
      <c r="C546" s="230"/>
      <c r="D546" s="231"/>
      <c r="E546" s="157"/>
      <c r="F546" s="12"/>
    </row>
    <row r="547">
      <c r="A547" s="153"/>
      <c r="B547" s="229"/>
      <c r="C547" s="230"/>
      <c r="D547" s="231"/>
      <c r="E547" s="157"/>
      <c r="F547" s="12"/>
    </row>
    <row r="548">
      <c r="A548" s="153"/>
      <c r="B548" s="229"/>
      <c r="C548" s="230"/>
      <c r="D548" s="231"/>
      <c r="E548" s="157"/>
      <c r="F548" s="12"/>
    </row>
    <row r="549">
      <c r="A549" s="153"/>
      <c r="B549" s="229"/>
      <c r="C549" s="230"/>
      <c r="D549" s="231"/>
      <c r="E549" s="157"/>
      <c r="F549" s="12"/>
    </row>
    <row r="550">
      <c r="A550" s="153"/>
      <c r="B550" s="229"/>
      <c r="C550" s="230"/>
      <c r="D550" s="231"/>
      <c r="E550" s="157"/>
      <c r="F550" s="12"/>
    </row>
    <row r="551">
      <c r="A551" s="153"/>
      <c r="B551" s="229"/>
      <c r="C551" s="230"/>
      <c r="D551" s="231"/>
      <c r="E551" s="157"/>
      <c r="F551" s="12"/>
    </row>
    <row r="552">
      <c r="A552" s="153"/>
      <c r="B552" s="229"/>
      <c r="C552" s="230"/>
      <c r="D552" s="231"/>
      <c r="E552" s="157"/>
      <c r="F552" s="12"/>
    </row>
    <row r="553">
      <c r="A553" s="153"/>
      <c r="B553" s="229"/>
      <c r="C553" s="230"/>
      <c r="D553" s="231"/>
      <c r="E553" s="157"/>
      <c r="F553" s="12"/>
    </row>
    <row r="554">
      <c r="A554" s="153"/>
      <c r="B554" s="229"/>
      <c r="C554" s="230"/>
      <c r="D554" s="231"/>
      <c r="E554" s="157"/>
      <c r="F554" s="12"/>
    </row>
    <row r="555">
      <c r="A555" s="153"/>
      <c r="B555" s="229"/>
      <c r="C555" s="230"/>
      <c r="D555" s="231"/>
      <c r="E555" s="157"/>
      <c r="F555" s="12"/>
    </row>
    <row r="556">
      <c r="A556" s="153"/>
      <c r="B556" s="229"/>
      <c r="C556" s="230"/>
      <c r="D556" s="231"/>
      <c r="E556" s="157"/>
      <c r="F556" s="12"/>
    </row>
    <row r="557">
      <c r="A557" s="153"/>
      <c r="B557" s="229"/>
      <c r="C557" s="230"/>
      <c r="D557" s="231"/>
      <c r="E557" s="157"/>
      <c r="F557" s="12"/>
    </row>
    <row r="558">
      <c r="A558" s="153"/>
      <c r="B558" s="229"/>
      <c r="C558" s="230"/>
      <c r="D558" s="231"/>
      <c r="E558" s="157"/>
      <c r="F558" s="12"/>
    </row>
    <row r="559">
      <c r="A559" s="153"/>
      <c r="B559" s="229"/>
      <c r="C559" s="230"/>
      <c r="D559" s="231"/>
      <c r="E559" s="157"/>
      <c r="F559" s="12"/>
    </row>
    <row r="560">
      <c r="A560" s="153"/>
      <c r="B560" s="229"/>
      <c r="C560" s="230"/>
      <c r="D560" s="231"/>
      <c r="E560" s="157"/>
      <c r="F560" s="12"/>
    </row>
    <row r="561">
      <c r="A561" s="153"/>
      <c r="B561" s="229"/>
      <c r="C561" s="230"/>
      <c r="D561" s="231"/>
      <c r="E561" s="157"/>
      <c r="F561" s="12"/>
    </row>
    <row r="562">
      <c r="A562" s="153"/>
      <c r="B562" s="229"/>
      <c r="C562" s="230"/>
      <c r="D562" s="231"/>
      <c r="E562" s="157"/>
      <c r="F562" s="12"/>
    </row>
    <row r="563">
      <c r="A563" s="153"/>
      <c r="B563" s="229"/>
      <c r="C563" s="230"/>
      <c r="D563" s="231"/>
      <c r="E563" s="157"/>
      <c r="F563" s="12"/>
    </row>
    <row r="564">
      <c r="A564" s="153"/>
      <c r="B564" s="229"/>
      <c r="C564" s="230"/>
      <c r="D564" s="231"/>
      <c r="E564" s="157"/>
      <c r="F564" s="12"/>
    </row>
    <row r="565">
      <c r="A565" s="153"/>
      <c r="B565" s="229"/>
      <c r="C565" s="230"/>
      <c r="D565" s="231"/>
      <c r="E565" s="157"/>
      <c r="F565" s="12"/>
    </row>
    <row r="566">
      <c r="A566" s="153"/>
      <c r="B566" s="229"/>
      <c r="C566" s="230"/>
      <c r="D566" s="231"/>
      <c r="E566" s="157"/>
      <c r="F566" s="12"/>
    </row>
    <row r="567">
      <c r="A567" s="153"/>
      <c r="B567" s="229"/>
      <c r="C567" s="230"/>
      <c r="D567" s="231"/>
      <c r="E567" s="157"/>
      <c r="F567" s="12"/>
    </row>
    <row r="568">
      <c r="A568" s="153"/>
      <c r="B568" s="229"/>
      <c r="C568" s="230"/>
      <c r="D568" s="231"/>
      <c r="E568" s="157"/>
      <c r="F568" s="12"/>
    </row>
    <row r="569">
      <c r="A569" s="153"/>
      <c r="B569" s="229"/>
      <c r="C569" s="230"/>
      <c r="D569" s="231"/>
      <c r="E569" s="157"/>
      <c r="F569" s="12"/>
    </row>
    <row r="570">
      <c r="A570" s="153"/>
      <c r="B570" s="229"/>
      <c r="C570" s="230"/>
      <c r="D570" s="231"/>
      <c r="E570" s="157"/>
      <c r="F570" s="12"/>
    </row>
    <row r="571">
      <c r="A571" s="153"/>
      <c r="B571" s="229"/>
      <c r="C571" s="230"/>
      <c r="D571" s="231"/>
      <c r="E571" s="157"/>
      <c r="F571" s="12"/>
    </row>
    <row r="572">
      <c r="A572" s="153"/>
      <c r="B572" s="229"/>
      <c r="C572" s="230"/>
      <c r="D572" s="231"/>
      <c r="E572" s="157"/>
      <c r="F572" s="12"/>
    </row>
    <row r="573">
      <c r="A573" s="153"/>
      <c r="B573" s="229"/>
      <c r="C573" s="230"/>
      <c r="D573" s="231"/>
      <c r="E573" s="157"/>
      <c r="F573" s="12"/>
    </row>
    <row r="574">
      <c r="A574" s="153"/>
      <c r="B574" s="229"/>
      <c r="C574" s="230"/>
      <c r="D574" s="231"/>
      <c r="E574" s="157"/>
      <c r="F574" s="12"/>
    </row>
    <row r="575">
      <c r="A575" s="153"/>
      <c r="B575" s="229"/>
      <c r="C575" s="230"/>
      <c r="D575" s="231"/>
      <c r="E575" s="157"/>
      <c r="F575" s="12"/>
    </row>
    <row r="576">
      <c r="A576" s="153"/>
      <c r="B576" s="229"/>
      <c r="C576" s="230"/>
      <c r="D576" s="231"/>
      <c r="E576" s="157"/>
      <c r="F576" s="12"/>
    </row>
    <row r="577">
      <c r="A577" s="153"/>
      <c r="B577" s="229"/>
      <c r="C577" s="230"/>
      <c r="D577" s="231"/>
      <c r="E577" s="157"/>
      <c r="F577" s="12"/>
    </row>
    <row r="578">
      <c r="A578" s="153"/>
      <c r="B578" s="229"/>
      <c r="C578" s="230"/>
      <c r="D578" s="231"/>
      <c r="E578" s="157"/>
      <c r="F578" s="12"/>
    </row>
    <row r="579">
      <c r="A579" s="153"/>
      <c r="B579" s="229"/>
      <c r="C579" s="230"/>
      <c r="D579" s="231"/>
      <c r="E579" s="157"/>
      <c r="F579" s="12"/>
    </row>
    <row r="580">
      <c r="A580" s="153"/>
      <c r="B580" s="229"/>
      <c r="C580" s="230"/>
      <c r="D580" s="231"/>
      <c r="E580" s="157"/>
      <c r="F580" s="12"/>
    </row>
    <row r="581">
      <c r="A581" s="153"/>
      <c r="B581" s="229"/>
      <c r="C581" s="230"/>
      <c r="D581" s="231"/>
      <c r="E581" s="157"/>
      <c r="F581" s="12"/>
    </row>
    <row r="582">
      <c r="A582" s="153"/>
      <c r="B582" s="229"/>
      <c r="C582" s="230"/>
      <c r="D582" s="231"/>
      <c r="E582" s="157"/>
      <c r="F582" s="12"/>
    </row>
    <row r="583">
      <c r="A583" s="153"/>
      <c r="B583" s="229"/>
      <c r="C583" s="230"/>
      <c r="D583" s="231"/>
      <c r="E583" s="157"/>
      <c r="F583" s="12"/>
    </row>
    <row r="584">
      <c r="A584" s="153"/>
      <c r="B584" s="229"/>
      <c r="C584" s="230"/>
      <c r="D584" s="231"/>
      <c r="E584" s="157"/>
      <c r="F584" s="12"/>
    </row>
    <row r="585">
      <c r="A585" s="153"/>
      <c r="B585" s="229"/>
      <c r="C585" s="230"/>
      <c r="D585" s="231"/>
      <c r="E585" s="157"/>
      <c r="F585" s="12"/>
    </row>
    <row r="586">
      <c r="A586" s="153"/>
      <c r="B586" s="229"/>
      <c r="C586" s="230"/>
      <c r="D586" s="231"/>
      <c r="E586" s="157"/>
      <c r="F586" s="12"/>
    </row>
    <row r="587">
      <c r="A587" s="153"/>
      <c r="B587" s="229"/>
      <c r="C587" s="230"/>
      <c r="D587" s="231"/>
      <c r="E587" s="157"/>
      <c r="F587" s="12"/>
    </row>
    <row r="588">
      <c r="A588" s="153"/>
      <c r="B588" s="229"/>
      <c r="C588" s="230"/>
      <c r="D588" s="231"/>
      <c r="E588" s="157"/>
      <c r="F588" s="12"/>
    </row>
    <row r="589">
      <c r="A589" s="153"/>
      <c r="B589" s="229"/>
      <c r="C589" s="230"/>
      <c r="D589" s="231"/>
      <c r="E589" s="157"/>
      <c r="F589" s="12"/>
    </row>
    <row r="590">
      <c r="A590" s="153"/>
      <c r="B590" s="229"/>
      <c r="C590" s="230"/>
      <c r="D590" s="231"/>
      <c r="E590" s="157"/>
      <c r="F590" s="12"/>
    </row>
    <row r="591">
      <c r="A591" s="153"/>
      <c r="B591" s="229"/>
      <c r="C591" s="230"/>
      <c r="D591" s="231"/>
      <c r="E591" s="157"/>
      <c r="F591" s="12"/>
    </row>
    <row r="592">
      <c r="A592" s="153"/>
      <c r="B592" s="229"/>
      <c r="C592" s="230"/>
      <c r="D592" s="231"/>
      <c r="E592" s="157"/>
      <c r="F592" s="12"/>
    </row>
    <row r="593">
      <c r="A593" s="153"/>
      <c r="B593" s="229"/>
      <c r="C593" s="230"/>
      <c r="D593" s="231"/>
      <c r="E593" s="157"/>
      <c r="F593" s="12"/>
    </row>
    <row r="594">
      <c r="A594" s="153"/>
      <c r="B594" s="229"/>
      <c r="C594" s="230"/>
      <c r="D594" s="231"/>
      <c r="E594" s="157"/>
      <c r="F594" s="12"/>
    </row>
    <row r="595">
      <c r="A595" s="153"/>
      <c r="B595" s="229"/>
      <c r="C595" s="230"/>
      <c r="D595" s="231"/>
      <c r="E595" s="157"/>
      <c r="F595" s="12"/>
    </row>
    <row r="596">
      <c r="A596" s="153"/>
      <c r="B596" s="229"/>
      <c r="C596" s="230"/>
      <c r="D596" s="231"/>
      <c r="E596" s="157"/>
      <c r="F596" s="12"/>
    </row>
    <row r="597">
      <c r="A597" s="153"/>
      <c r="B597" s="229"/>
      <c r="C597" s="230"/>
      <c r="D597" s="231"/>
      <c r="E597" s="157"/>
      <c r="F597" s="12"/>
    </row>
    <row r="598">
      <c r="A598" s="153"/>
      <c r="B598" s="229"/>
      <c r="C598" s="230"/>
      <c r="D598" s="231"/>
      <c r="E598" s="157"/>
      <c r="F598" s="12"/>
    </row>
    <row r="599">
      <c r="A599" s="153"/>
      <c r="B599" s="229"/>
      <c r="C599" s="230"/>
      <c r="D599" s="231"/>
      <c r="E599" s="157"/>
      <c r="F599" s="12"/>
    </row>
    <row r="600">
      <c r="A600" s="153"/>
      <c r="B600" s="229"/>
      <c r="C600" s="230"/>
      <c r="D600" s="231"/>
      <c r="E600" s="157"/>
      <c r="F600" s="12"/>
    </row>
    <row r="601">
      <c r="A601" s="153"/>
      <c r="B601" s="229"/>
      <c r="C601" s="230"/>
      <c r="D601" s="231"/>
      <c r="E601" s="157"/>
      <c r="F601" s="12"/>
    </row>
    <row r="602">
      <c r="A602" s="153"/>
      <c r="B602" s="229"/>
      <c r="C602" s="230"/>
      <c r="D602" s="231"/>
      <c r="E602" s="157"/>
      <c r="F602" s="12"/>
    </row>
    <row r="603">
      <c r="A603" s="153"/>
      <c r="B603" s="229"/>
      <c r="C603" s="230"/>
      <c r="D603" s="231"/>
      <c r="E603" s="157"/>
      <c r="F603" s="12"/>
    </row>
    <row r="604">
      <c r="A604" s="153"/>
      <c r="B604" s="229"/>
      <c r="C604" s="230"/>
      <c r="D604" s="231"/>
      <c r="E604" s="157"/>
      <c r="F604" s="12"/>
    </row>
    <row r="605">
      <c r="A605" s="153"/>
      <c r="B605" s="229"/>
      <c r="C605" s="230"/>
      <c r="D605" s="231"/>
      <c r="E605" s="157"/>
      <c r="F605" s="12"/>
    </row>
    <row r="606">
      <c r="A606" s="153"/>
      <c r="B606" s="229"/>
      <c r="C606" s="230"/>
      <c r="D606" s="231"/>
      <c r="E606" s="157"/>
      <c r="F606" s="12"/>
    </row>
    <row r="607">
      <c r="A607" s="153"/>
      <c r="B607" s="229"/>
      <c r="C607" s="230"/>
      <c r="D607" s="231"/>
      <c r="E607" s="157"/>
      <c r="F607" s="12"/>
    </row>
    <row r="608">
      <c r="A608" s="153"/>
      <c r="B608" s="229"/>
      <c r="C608" s="230"/>
      <c r="D608" s="231"/>
      <c r="E608" s="157"/>
      <c r="F608" s="12"/>
    </row>
    <row r="609">
      <c r="A609" s="153"/>
      <c r="B609" s="229"/>
      <c r="C609" s="230"/>
      <c r="D609" s="231"/>
      <c r="E609" s="157"/>
      <c r="F609" s="12"/>
    </row>
    <row r="610">
      <c r="A610" s="153"/>
      <c r="B610" s="229"/>
      <c r="C610" s="230"/>
      <c r="D610" s="231"/>
      <c r="E610" s="157"/>
      <c r="F610" s="12"/>
    </row>
    <row r="611">
      <c r="A611" s="153"/>
      <c r="B611" s="229"/>
      <c r="C611" s="230"/>
      <c r="D611" s="231"/>
      <c r="E611" s="157"/>
      <c r="F611" s="12"/>
    </row>
    <row r="612">
      <c r="A612" s="153"/>
      <c r="B612" s="229"/>
      <c r="C612" s="230"/>
      <c r="D612" s="231"/>
      <c r="E612" s="157"/>
      <c r="F612" s="12"/>
    </row>
    <row r="613">
      <c r="A613" s="153"/>
      <c r="B613" s="229"/>
      <c r="C613" s="230"/>
      <c r="D613" s="231"/>
      <c r="E613" s="157"/>
      <c r="F613" s="12"/>
    </row>
    <row r="614">
      <c r="A614" s="153"/>
      <c r="B614" s="229"/>
      <c r="C614" s="230"/>
      <c r="D614" s="231"/>
      <c r="E614" s="157"/>
      <c r="F614" s="12"/>
    </row>
    <row r="615">
      <c r="A615" s="153"/>
      <c r="B615" s="229"/>
      <c r="C615" s="230"/>
      <c r="D615" s="231"/>
      <c r="E615" s="157"/>
      <c r="F615" s="12"/>
    </row>
    <row r="616">
      <c r="A616" s="153"/>
      <c r="B616" s="229"/>
      <c r="C616" s="230"/>
      <c r="D616" s="231"/>
      <c r="E616" s="157"/>
      <c r="F616" s="12"/>
    </row>
    <row r="617">
      <c r="A617" s="153"/>
      <c r="B617" s="229"/>
      <c r="C617" s="230"/>
      <c r="D617" s="231"/>
      <c r="E617" s="157"/>
      <c r="F617" s="12"/>
    </row>
    <row r="618">
      <c r="A618" s="153"/>
      <c r="B618" s="229"/>
      <c r="C618" s="230"/>
      <c r="D618" s="231"/>
      <c r="E618" s="157"/>
      <c r="F618" s="12"/>
    </row>
    <row r="619">
      <c r="A619" s="153"/>
      <c r="B619" s="229"/>
      <c r="C619" s="230"/>
      <c r="D619" s="231"/>
      <c r="E619" s="157"/>
      <c r="F619" s="12"/>
    </row>
    <row r="620">
      <c r="A620" s="153"/>
      <c r="B620" s="229"/>
      <c r="C620" s="230"/>
      <c r="D620" s="231"/>
      <c r="E620" s="157"/>
      <c r="F620" s="12"/>
    </row>
    <row r="621">
      <c r="A621" s="153"/>
      <c r="B621" s="229"/>
      <c r="C621" s="230"/>
      <c r="D621" s="231"/>
      <c r="E621" s="157"/>
      <c r="F621" s="12"/>
    </row>
    <row r="622">
      <c r="A622" s="153"/>
      <c r="B622" s="229"/>
      <c r="C622" s="230"/>
      <c r="D622" s="231"/>
      <c r="E622" s="157"/>
      <c r="F622" s="12"/>
    </row>
    <row r="623">
      <c r="A623" s="153"/>
      <c r="B623" s="229"/>
      <c r="C623" s="230"/>
      <c r="D623" s="231"/>
      <c r="E623" s="157"/>
      <c r="F623" s="12"/>
    </row>
    <row r="624">
      <c r="A624" s="153"/>
      <c r="B624" s="229"/>
      <c r="C624" s="230"/>
      <c r="D624" s="231"/>
      <c r="E624" s="157"/>
      <c r="F624" s="12"/>
    </row>
    <row r="625">
      <c r="A625" s="153"/>
      <c r="B625" s="229"/>
      <c r="C625" s="230"/>
      <c r="D625" s="231"/>
      <c r="E625" s="157"/>
      <c r="F625" s="12"/>
    </row>
    <row r="626">
      <c r="A626" s="153"/>
      <c r="B626" s="229"/>
      <c r="C626" s="230"/>
      <c r="D626" s="231"/>
      <c r="E626" s="157"/>
      <c r="F626" s="12"/>
    </row>
    <row r="627">
      <c r="A627" s="153"/>
      <c r="B627" s="229"/>
      <c r="C627" s="230"/>
      <c r="D627" s="231"/>
      <c r="E627" s="157"/>
      <c r="F627" s="12"/>
    </row>
    <row r="628">
      <c r="A628" s="153"/>
      <c r="B628" s="229"/>
      <c r="C628" s="230"/>
      <c r="D628" s="231"/>
      <c r="E628" s="157"/>
      <c r="F628" s="12"/>
    </row>
    <row r="629">
      <c r="A629" s="153"/>
      <c r="B629" s="229"/>
      <c r="C629" s="230"/>
      <c r="D629" s="231"/>
      <c r="E629" s="157"/>
      <c r="F629" s="12"/>
    </row>
    <row r="630">
      <c r="A630" s="153"/>
      <c r="B630" s="229"/>
      <c r="C630" s="230"/>
      <c r="D630" s="231"/>
      <c r="E630" s="157"/>
      <c r="F630" s="12"/>
    </row>
    <row r="631">
      <c r="A631" s="153"/>
      <c r="B631" s="229"/>
      <c r="C631" s="230"/>
      <c r="D631" s="231"/>
      <c r="E631" s="157"/>
      <c r="F631" s="12"/>
    </row>
    <row r="632">
      <c r="A632" s="153"/>
      <c r="B632" s="229"/>
      <c r="C632" s="230"/>
      <c r="D632" s="231"/>
      <c r="E632" s="157"/>
      <c r="F632" s="12"/>
    </row>
    <row r="633">
      <c r="A633" s="153"/>
      <c r="B633" s="229"/>
      <c r="C633" s="230"/>
      <c r="D633" s="231"/>
      <c r="E633" s="157"/>
      <c r="F633" s="12"/>
    </row>
    <row r="634">
      <c r="A634" s="153"/>
      <c r="B634" s="229"/>
      <c r="C634" s="230"/>
      <c r="D634" s="231"/>
      <c r="E634" s="157"/>
      <c r="F634" s="12"/>
    </row>
    <row r="635">
      <c r="A635" s="153"/>
      <c r="B635" s="229"/>
      <c r="C635" s="230"/>
      <c r="D635" s="231"/>
      <c r="E635" s="157"/>
      <c r="F635" s="12"/>
    </row>
    <row r="636">
      <c r="A636" s="153"/>
      <c r="B636" s="229"/>
      <c r="C636" s="230"/>
      <c r="D636" s="231"/>
      <c r="E636" s="157"/>
      <c r="F636" s="12"/>
    </row>
    <row r="637">
      <c r="A637" s="153"/>
      <c r="B637" s="229"/>
      <c r="C637" s="230"/>
      <c r="D637" s="231"/>
      <c r="E637" s="157"/>
      <c r="F637" s="12"/>
    </row>
    <row r="638">
      <c r="A638" s="153"/>
      <c r="B638" s="229"/>
      <c r="C638" s="230"/>
      <c r="D638" s="231"/>
      <c r="E638" s="157"/>
      <c r="F638" s="12"/>
    </row>
    <row r="639">
      <c r="A639" s="153"/>
      <c r="B639" s="229"/>
      <c r="C639" s="230"/>
      <c r="D639" s="231"/>
      <c r="E639" s="157"/>
      <c r="F639" s="12"/>
    </row>
    <row r="640">
      <c r="A640" s="153"/>
      <c r="B640" s="229"/>
      <c r="C640" s="230"/>
      <c r="D640" s="231"/>
      <c r="E640" s="157"/>
      <c r="F640" s="12"/>
    </row>
    <row r="641">
      <c r="A641" s="153"/>
      <c r="B641" s="229"/>
      <c r="C641" s="230"/>
      <c r="D641" s="231"/>
      <c r="E641" s="157"/>
      <c r="F641" s="12"/>
    </row>
    <row r="642">
      <c r="A642" s="153"/>
      <c r="B642" s="229"/>
      <c r="C642" s="230"/>
      <c r="D642" s="231"/>
      <c r="E642" s="157"/>
      <c r="F642" s="12"/>
    </row>
    <row r="643">
      <c r="A643" s="153"/>
      <c r="B643" s="229"/>
      <c r="C643" s="230"/>
      <c r="D643" s="231"/>
      <c r="E643" s="157"/>
      <c r="F643" s="12"/>
    </row>
    <row r="644">
      <c r="A644" s="153"/>
      <c r="B644" s="229"/>
      <c r="C644" s="230"/>
      <c r="D644" s="231"/>
      <c r="E644" s="157"/>
      <c r="F644" s="12"/>
    </row>
    <row r="645">
      <c r="A645" s="153"/>
      <c r="B645" s="229"/>
      <c r="C645" s="230"/>
      <c r="D645" s="231"/>
      <c r="E645" s="157"/>
      <c r="F645" s="12"/>
    </row>
    <row r="646">
      <c r="A646" s="153"/>
      <c r="B646" s="229"/>
      <c r="C646" s="230"/>
      <c r="D646" s="231"/>
      <c r="E646" s="157"/>
      <c r="F646" s="12"/>
    </row>
    <row r="647">
      <c r="A647" s="153"/>
      <c r="B647" s="229"/>
      <c r="C647" s="230"/>
      <c r="D647" s="231"/>
      <c r="E647" s="157"/>
      <c r="F647" s="12"/>
    </row>
    <row r="648">
      <c r="A648" s="153"/>
      <c r="B648" s="229"/>
      <c r="C648" s="230"/>
      <c r="D648" s="231"/>
      <c r="E648" s="157"/>
      <c r="F648" s="12"/>
    </row>
    <row r="649">
      <c r="A649" s="153"/>
      <c r="B649" s="229"/>
      <c r="C649" s="230"/>
      <c r="D649" s="231"/>
      <c r="E649" s="157"/>
      <c r="F649" s="12"/>
    </row>
    <row r="650">
      <c r="A650" s="153"/>
      <c r="B650" s="229"/>
      <c r="C650" s="230"/>
      <c r="D650" s="231"/>
      <c r="E650" s="157"/>
      <c r="F650" s="12"/>
    </row>
    <row r="651">
      <c r="A651" s="153"/>
      <c r="B651" s="229"/>
      <c r="C651" s="230"/>
      <c r="D651" s="231"/>
      <c r="E651" s="157"/>
      <c r="F651" s="12"/>
    </row>
    <row r="652">
      <c r="A652" s="153"/>
      <c r="B652" s="229"/>
      <c r="C652" s="230"/>
      <c r="D652" s="231"/>
      <c r="E652" s="157"/>
      <c r="F652" s="12"/>
    </row>
    <row r="653">
      <c r="A653" s="153"/>
      <c r="B653" s="229"/>
      <c r="C653" s="230"/>
      <c r="D653" s="231"/>
      <c r="E653" s="157"/>
      <c r="F653" s="12"/>
    </row>
    <row r="654">
      <c r="A654" s="153"/>
      <c r="B654" s="229"/>
      <c r="C654" s="230"/>
      <c r="D654" s="231"/>
      <c r="E654" s="157"/>
      <c r="F654" s="12"/>
    </row>
    <row r="655">
      <c r="A655" s="153"/>
      <c r="B655" s="229"/>
      <c r="C655" s="230"/>
      <c r="D655" s="231"/>
      <c r="E655" s="157"/>
      <c r="F655" s="12"/>
    </row>
    <row r="656">
      <c r="A656" s="153"/>
      <c r="B656" s="229"/>
      <c r="C656" s="230"/>
      <c r="D656" s="231"/>
      <c r="E656" s="157"/>
      <c r="F656" s="12"/>
    </row>
    <row r="657">
      <c r="A657" s="153"/>
      <c r="B657" s="229"/>
      <c r="C657" s="230"/>
      <c r="D657" s="231"/>
      <c r="E657" s="157"/>
      <c r="F657" s="12"/>
    </row>
    <row r="658">
      <c r="A658" s="153"/>
      <c r="B658" s="229"/>
      <c r="C658" s="230"/>
      <c r="D658" s="231"/>
      <c r="E658" s="157"/>
      <c r="F658" s="12"/>
    </row>
    <row r="659">
      <c r="A659" s="153"/>
      <c r="B659" s="229"/>
      <c r="C659" s="230"/>
      <c r="D659" s="231"/>
      <c r="E659" s="157"/>
      <c r="F659" s="12"/>
    </row>
    <row r="660">
      <c r="A660" s="153"/>
      <c r="B660" s="229"/>
      <c r="C660" s="230"/>
      <c r="D660" s="231"/>
      <c r="E660" s="157"/>
      <c r="F660" s="12"/>
    </row>
    <row r="661">
      <c r="A661" s="153"/>
      <c r="B661" s="229"/>
      <c r="C661" s="230"/>
      <c r="D661" s="231"/>
      <c r="E661" s="157"/>
      <c r="F661" s="12"/>
    </row>
    <row r="662">
      <c r="A662" s="153"/>
      <c r="B662" s="229"/>
      <c r="C662" s="230"/>
      <c r="D662" s="231"/>
      <c r="E662" s="157"/>
      <c r="F662" s="12"/>
    </row>
    <row r="663">
      <c r="A663" s="153"/>
      <c r="B663" s="229"/>
      <c r="C663" s="230"/>
      <c r="D663" s="231"/>
      <c r="E663" s="157"/>
      <c r="F663" s="12"/>
    </row>
    <row r="664">
      <c r="A664" s="153"/>
      <c r="B664" s="229"/>
      <c r="C664" s="230"/>
      <c r="D664" s="231"/>
      <c r="E664" s="157"/>
      <c r="F664" s="12"/>
    </row>
    <row r="665">
      <c r="A665" s="153"/>
      <c r="B665" s="229"/>
      <c r="C665" s="230"/>
      <c r="D665" s="231"/>
      <c r="E665" s="157"/>
      <c r="F665" s="12"/>
    </row>
    <row r="666">
      <c r="A666" s="153"/>
      <c r="B666" s="229"/>
      <c r="C666" s="230"/>
      <c r="D666" s="231"/>
      <c r="E666" s="157"/>
      <c r="F666" s="12"/>
    </row>
    <row r="667">
      <c r="A667" s="153"/>
      <c r="B667" s="229"/>
      <c r="C667" s="230"/>
      <c r="D667" s="231"/>
      <c r="E667" s="157"/>
      <c r="F667" s="12"/>
    </row>
    <row r="668">
      <c r="A668" s="153"/>
      <c r="B668" s="229"/>
      <c r="C668" s="230"/>
      <c r="D668" s="231"/>
      <c r="E668" s="157"/>
      <c r="F668" s="12"/>
    </row>
    <row r="669">
      <c r="A669" s="153"/>
      <c r="B669" s="229"/>
      <c r="C669" s="230"/>
      <c r="D669" s="231"/>
      <c r="E669" s="157"/>
      <c r="F669" s="12"/>
    </row>
    <row r="670">
      <c r="A670" s="153"/>
      <c r="B670" s="229"/>
      <c r="C670" s="230"/>
      <c r="D670" s="231"/>
      <c r="E670" s="157"/>
      <c r="F670" s="12"/>
    </row>
    <row r="671">
      <c r="A671" s="153"/>
      <c r="B671" s="229"/>
      <c r="C671" s="230"/>
      <c r="D671" s="231"/>
      <c r="E671" s="157"/>
      <c r="F671" s="12"/>
    </row>
    <row r="672">
      <c r="A672" s="153"/>
      <c r="B672" s="229"/>
      <c r="C672" s="230"/>
      <c r="D672" s="231"/>
      <c r="E672" s="157"/>
      <c r="F672" s="12"/>
    </row>
    <row r="673">
      <c r="A673" s="153"/>
      <c r="B673" s="229"/>
      <c r="C673" s="230"/>
      <c r="D673" s="231"/>
      <c r="E673" s="157"/>
      <c r="F673" s="12"/>
    </row>
    <row r="674">
      <c r="A674" s="153"/>
      <c r="B674" s="229"/>
      <c r="C674" s="230"/>
      <c r="D674" s="231"/>
      <c r="E674" s="157"/>
      <c r="F674" s="12"/>
    </row>
    <row r="675">
      <c r="A675" s="153"/>
      <c r="B675" s="229"/>
      <c r="C675" s="230"/>
      <c r="D675" s="231"/>
      <c r="E675" s="157"/>
      <c r="F675" s="12"/>
    </row>
    <row r="676">
      <c r="A676" s="153"/>
      <c r="B676" s="229"/>
      <c r="C676" s="230"/>
      <c r="D676" s="231"/>
      <c r="E676" s="157"/>
      <c r="F676" s="12"/>
    </row>
    <row r="677">
      <c r="A677" s="153"/>
      <c r="B677" s="229"/>
      <c r="C677" s="230"/>
      <c r="D677" s="231"/>
      <c r="E677" s="157"/>
      <c r="F677" s="12"/>
    </row>
    <row r="678">
      <c r="A678" s="153"/>
      <c r="B678" s="229"/>
      <c r="C678" s="230"/>
      <c r="D678" s="231"/>
      <c r="E678" s="157"/>
      <c r="F678" s="12"/>
    </row>
    <row r="679">
      <c r="A679" s="153"/>
      <c r="B679" s="229"/>
      <c r="C679" s="230"/>
      <c r="D679" s="231"/>
      <c r="E679" s="157"/>
      <c r="F679" s="12"/>
    </row>
    <row r="680">
      <c r="A680" s="153"/>
      <c r="B680" s="229"/>
      <c r="C680" s="230"/>
      <c r="D680" s="231"/>
      <c r="E680" s="157"/>
      <c r="F680" s="12"/>
    </row>
    <row r="681">
      <c r="A681" s="153"/>
      <c r="B681" s="229"/>
      <c r="C681" s="230"/>
      <c r="D681" s="231"/>
      <c r="E681" s="157"/>
      <c r="F681" s="12"/>
    </row>
    <row r="682">
      <c r="A682" s="153"/>
      <c r="B682" s="229"/>
      <c r="C682" s="230"/>
      <c r="D682" s="231"/>
      <c r="E682" s="157"/>
      <c r="F682" s="12"/>
    </row>
    <row r="683">
      <c r="A683" s="153"/>
      <c r="B683" s="229"/>
      <c r="C683" s="230"/>
      <c r="D683" s="231"/>
      <c r="E683" s="157"/>
      <c r="F683" s="12"/>
    </row>
    <row r="684">
      <c r="A684" s="153"/>
      <c r="B684" s="229"/>
      <c r="C684" s="230"/>
      <c r="D684" s="231"/>
      <c r="E684" s="157"/>
      <c r="F684" s="12"/>
    </row>
    <row r="685">
      <c r="A685" s="153"/>
      <c r="B685" s="229"/>
      <c r="C685" s="230"/>
      <c r="D685" s="231"/>
      <c r="E685" s="157"/>
      <c r="F685" s="12"/>
    </row>
    <row r="686">
      <c r="A686" s="153"/>
      <c r="B686" s="229"/>
      <c r="C686" s="230"/>
      <c r="D686" s="231"/>
      <c r="E686" s="157"/>
      <c r="F686" s="12"/>
    </row>
    <row r="687">
      <c r="A687" s="153"/>
      <c r="B687" s="229"/>
      <c r="C687" s="230"/>
      <c r="D687" s="231"/>
      <c r="E687" s="157"/>
      <c r="F687" s="12"/>
    </row>
    <row r="688">
      <c r="A688" s="153"/>
      <c r="B688" s="229"/>
      <c r="C688" s="230"/>
      <c r="D688" s="231"/>
      <c r="E688" s="157"/>
      <c r="F688" s="12"/>
    </row>
    <row r="689">
      <c r="A689" s="153"/>
      <c r="B689" s="229"/>
      <c r="C689" s="230"/>
      <c r="D689" s="231"/>
      <c r="E689" s="157"/>
      <c r="F689" s="12"/>
    </row>
    <row r="690">
      <c r="A690" s="153"/>
      <c r="B690" s="229"/>
      <c r="C690" s="230"/>
      <c r="D690" s="231"/>
      <c r="E690" s="157"/>
      <c r="F690" s="12"/>
    </row>
    <row r="691">
      <c r="A691" s="153"/>
      <c r="B691" s="229"/>
      <c r="C691" s="230"/>
      <c r="D691" s="231"/>
      <c r="E691" s="157"/>
      <c r="F691" s="12"/>
    </row>
    <row r="692">
      <c r="A692" s="153"/>
      <c r="B692" s="229"/>
      <c r="C692" s="230"/>
      <c r="D692" s="231"/>
      <c r="E692" s="157"/>
      <c r="F692" s="12"/>
    </row>
    <row r="693">
      <c r="A693" s="153"/>
      <c r="B693" s="229"/>
      <c r="C693" s="230"/>
      <c r="D693" s="231"/>
      <c r="E693" s="157"/>
      <c r="F693" s="12"/>
    </row>
    <row r="694">
      <c r="A694" s="153"/>
      <c r="B694" s="229"/>
      <c r="C694" s="230"/>
      <c r="D694" s="231"/>
      <c r="E694" s="157"/>
      <c r="F694" s="12"/>
    </row>
    <row r="695">
      <c r="A695" s="153"/>
      <c r="B695" s="229"/>
      <c r="C695" s="230"/>
      <c r="D695" s="231"/>
      <c r="E695" s="157"/>
      <c r="F695" s="12"/>
    </row>
    <row r="696">
      <c r="A696" s="153"/>
      <c r="B696" s="229"/>
      <c r="C696" s="230"/>
      <c r="D696" s="231"/>
      <c r="E696" s="157"/>
      <c r="F696" s="12"/>
    </row>
    <row r="697">
      <c r="A697" s="153"/>
      <c r="B697" s="229"/>
      <c r="C697" s="230"/>
      <c r="D697" s="231"/>
      <c r="E697" s="157"/>
      <c r="F697" s="12"/>
    </row>
    <row r="698">
      <c r="A698" s="153"/>
      <c r="B698" s="229"/>
      <c r="C698" s="230"/>
      <c r="D698" s="231"/>
      <c r="E698" s="157"/>
      <c r="F698" s="12"/>
    </row>
    <row r="699">
      <c r="A699" s="153"/>
      <c r="B699" s="229"/>
      <c r="C699" s="230"/>
      <c r="D699" s="231"/>
      <c r="E699" s="157"/>
      <c r="F699" s="12"/>
    </row>
    <row r="700">
      <c r="A700" s="153"/>
      <c r="B700" s="229"/>
      <c r="C700" s="230"/>
      <c r="D700" s="231"/>
      <c r="E700" s="157"/>
      <c r="F700" s="12"/>
    </row>
    <row r="701">
      <c r="A701" s="153"/>
      <c r="B701" s="229"/>
      <c r="C701" s="230"/>
      <c r="D701" s="231"/>
      <c r="E701" s="157"/>
      <c r="F701" s="12"/>
    </row>
    <row r="702">
      <c r="A702" s="153"/>
      <c r="B702" s="229"/>
      <c r="C702" s="230"/>
      <c r="D702" s="231"/>
      <c r="E702" s="157"/>
      <c r="F702" s="12"/>
    </row>
    <row r="703">
      <c r="A703" s="153"/>
      <c r="B703" s="229"/>
      <c r="C703" s="230"/>
      <c r="D703" s="231"/>
      <c r="E703" s="157"/>
      <c r="F703" s="12"/>
    </row>
    <row r="704">
      <c r="A704" s="153"/>
      <c r="B704" s="229"/>
      <c r="C704" s="230"/>
      <c r="D704" s="231"/>
      <c r="E704" s="157"/>
      <c r="F704" s="12"/>
    </row>
    <row r="705">
      <c r="A705" s="153"/>
      <c r="B705" s="229"/>
      <c r="C705" s="230"/>
      <c r="D705" s="231"/>
      <c r="E705" s="157"/>
      <c r="F705" s="12"/>
    </row>
    <row r="706">
      <c r="A706" s="153"/>
      <c r="B706" s="229"/>
      <c r="C706" s="230"/>
      <c r="D706" s="231"/>
      <c r="E706" s="157"/>
      <c r="F706" s="12"/>
    </row>
    <row r="707">
      <c r="A707" s="153"/>
      <c r="B707" s="229"/>
      <c r="C707" s="230"/>
      <c r="D707" s="231"/>
      <c r="E707" s="157"/>
      <c r="F707" s="12"/>
    </row>
    <row r="708">
      <c r="A708" s="153"/>
      <c r="B708" s="229"/>
      <c r="C708" s="230"/>
      <c r="D708" s="231"/>
      <c r="E708" s="157"/>
      <c r="F708" s="12"/>
    </row>
    <row r="709">
      <c r="A709" s="153"/>
      <c r="B709" s="229"/>
      <c r="C709" s="230"/>
      <c r="D709" s="231"/>
      <c r="E709" s="157"/>
      <c r="F709" s="12"/>
    </row>
    <row r="710">
      <c r="A710" s="153"/>
      <c r="B710" s="229"/>
      <c r="C710" s="230"/>
      <c r="D710" s="231"/>
      <c r="E710" s="157"/>
      <c r="F710" s="12"/>
    </row>
    <row r="711">
      <c r="A711" s="153"/>
      <c r="B711" s="229"/>
      <c r="C711" s="230"/>
      <c r="D711" s="231"/>
      <c r="E711" s="157"/>
      <c r="F711" s="12"/>
    </row>
    <row r="712">
      <c r="A712" s="153"/>
      <c r="B712" s="229"/>
      <c r="C712" s="230"/>
      <c r="D712" s="231"/>
      <c r="E712" s="157"/>
      <c r="F712" s="12"/>
    </row>
    <row r="713">
      <c r="A713" s="153"/>
      <c r="B713" s="229"/>
      <c r="C713" s="230"/>
      <c r="D713" s="231"/>
      <c r="E713" s="157"/>
      <c r="F713" s="12"/>
    </row>
    <row r="714">
      <c r="A714" s="153"/>
      <c r="B714" s="229"/>
      <c r="C714" s="230"/>
      <c r="D714" s="231"/>
      <c r="E714" s="157"/>
      <c r="F714" s="12"/>
    </row>
    <row r="715">
      <c r="A715" s="153"/>
      <c r="B715" s="229"/>
      <c r="C715" s="230"/>
      <c r="D715" s="231"/>
      <c r="E715" s="157"/>
      <c r="F715" s="12"/>
    </row>
    <row r="716">
      <c r="A716" s="153"/>
      <c r="B716" s="229"/>
      <c r="C716" s="230"/>
      <c r="D716" s="231"/>
      <c r="E716" s="157"/>
      <c r="F716" s="12"/>
    </row>
    <row r="717">
      <c r="A717" s="153"/>
      <c r="B717" s="229"/>
      <c r="C717" s="230"/>
      <c r="D717" s="231"/>
      <c r="E717" s="157"/>
      <c r="F717" s="12"/>
    </row>
    <row r="718">
      <c r="A718" s="153"/>
      <c r="B718" s="229"/>
      <c r="C718" s="230"/>
      <c r="D718" s="231"/>
      <c r="E718" s="157"/>
      <c r="F718" s="12"/>
    </row>
    <row r="719">
      <c r="A719" s="153"/>
      <c r="B719" s="229"/>
      <c r="C719" s="230"/>
      <c r="D719" s="231"/>
      <c r="E719" s="157"/>
      <c r="F719" s="12"/>
    </row>
    <row r="720">
      <c r="A720" s="153"/>
      <c r="B720" s="229"/>
      <c r="C720" s="230"/>
      <c r="D720" s="231"/>
      <c r="E720" s="157"/>
      <c r="F720" s="12"/>
    </row>
    <row r="721">
      <c r="A721" s="153"/>
      <c r="B721" s="229"/>
      <c r="C721" s="230"/>
      <c r="D721" s="231"/>
      <c r="E721" s="157"/>
      <c r="F721" s="12"/>
    </row>
    <row r="722">
      <c r="A722" s="153"/>
      <c r="B722" s="229"/>
      <c r="C722" s="230"/>
      <c r="D722" s="231"/>
      <c r="E722" s="157"/>
      <c r="F722" s="12"/>
    </row>
    <row r="723">
      <c r="A723" s="153"/>
      <c r="B723" s="229"/>
      <c r="C723" s="230"/>
      <c r="D723" s="231"/>
      <c r="E723" s="157"/>
      <c r="F723" s="12"/>
    </row>
    <row r="724">
      <c r="A724" s="153"/>
      <c r="B724" s="229"/>
      <c r="C724" s="230"/>
      <c r="D724" s="231"/>
      <c r="E724" s="157"/>
      <c r="F724" s="12"/>
    </row>
    <row r="725">
      <c r="A725" s="153"/>
      <c r="B725" s="229"/>
      <c r="C725" s="230"/>
      <c r="D725" s="231"/>
      <c r="E725" s="157"/>
      <c r="F725" s="12"/>
    </row>
    <row r="726">
      <c r="A726" s="153"/>
      <c r="B726" s="229"/>
      <c r="C726" s="230"/>
      <c r="D726" s="231"/>
      <c r="E726" s="157"/>
      <c r="F726" s="12"/>
    </row>
    <row r="727">
      <c r="A727" s="153"/>
      <c r="B727" s="229"/>
      <c r="C727" s="230"/>
      <c r="D727" s="231"/>
      <c r="E727" s="157"/>
      <c r="F727" s="12"/>
    </row>
    <row r="728">
      <c r="A728" s="153"/>
      <c r="B728" s="229"/>
      <c r="C728" s="230"/>
      <c r="D728" s="231"/>
      <c r="E728" s="157"/>
      <c r="F728" s="12"/>
    </row>
    <row r="729">
      <c r="A729" s="153"/>
      <c r="B729" s="229"/>
      <c r="C729" s="230"/>
      <c r="D729" s="231"/>
      <c r="E729" s="157"/>
      <c r="F729" s="12"/>
    </row>
    <row r="730">
      <c r="A730" s="153"/>
      <c r="B730" s="229"/>
      <c r="C730" s="230"/>
      <c r="D730" s="231"/>
      <c r="E730" s="157"/>
      <c r="F730" s="12"/>
    </row>
    <row r="731">
      <c r="A731" s="153"/>
      <c r="B731" s="229"/>
      <c r="C731" s="230"/>
      <c r="D731" s="231"/>
      <c r="E731" s="157"/>
      <c r="F731" s="12"/>
    </row>
    <row r="732">
      <c r="A732" s="153"/>
      <c r="B732" s="229"/>
      <c r="C732" s="230"/>
      <c r="D732" s="231"/>
      <c r="E732" s="157"/>
      <c r="F732" s="12"/>
    </row>
    <row r="733">
      <c r="A733" s="153"/>
      <c r="B733" s="229"/>
      <c r="C733" s="230"/>
      <c r="D733" s="231"/>
      <c r="E733" s="157"/>
      <c r="F733" s="12"/>
    </row>
    <row r="734">
      <c r="A734" s="153"/>
      <c r="B734" s="229"/>
      <c r="C734" s="230"/>
      <c r="D734" s="231"/>
      <c r="E734" s="157"/>
      <c r="F734" s="12"/>
    </row>
    <row r="735">
      <c r="A735" s="153"/>
      <c r="B735" s="229"/>
      <c r="C735" s="230"/>
      <c r="D735" s="231"/>
      <c r="E735" s="157"/>
      <c r="F735" s="12"/>
    </row>
    <row r="736">
      <c r="A736" s="153"/>
      <c r="B736" s="229"/>
      <c r="C736" s="230"/>
      <c r="D736" s="231"/>
      <c r="E736" s="157"/>
      <c r="F736" s="12"/>
    </row>
    <row r="737">
      <c r="A737" s="153"/>
      <c r="B737" s="229"/>
      <c r="C737" s="230"/>
      <c r="D737" s="231"/>
      <c r="E737" s="157"/>
      <c r="F737" s="12"/>
    </row>
    <row r="738">
      <c r="A738" s="153"/>
      <c r="B738" s="229"/>
      <c r="C738" s="230"/>
      <c r="D738" s="231"/>
      <c r="E738" s="157"/>
      <c r="F738" s="12"/>
    </row>
    <row r="739">
      <c r="A739" s="153"/>
      <c r="B739" s="229"/>
      <c r="C739" s="230"/>
      <c r="D739" s="231"/>
      <c r="E739" s="157"/>
      <c r="F739" s="12"/>
    </row>
    <row r="740">
      <c r="A740" s="153"/>
      <c r="B740" s="229"/>
      <c r="C740" s="230"/>
      <c r="D740" s="231"/>
      <c r="E740" s="157"/>
      <c r="F740" s="12"/>
    </row>
    <row r="741">
      <c r="A741" s="153"/>
      <c r="B741" s="229"/>
      <c r="C741" s="230"/>
      <c r="D741" s="231"/>
      <c r="E741" s="157"/>
      <c r="F741" s="12"/>
    </row>
    <row r="742">
      <c r="A742" s="153"/>
      <c r="B742" s="229"/>
      <c r="C742" s="230"/>
      <c r="D742" s="231"/>
      <c r="E742" s="157"/>
      <c r="F742" s="12"/>
    </row>
    <row r="743">
      <c r="A743" s="153"/>
      <c r="B743" s="229"/>
      <c r="C743" s="230"/>
      <c r="D743" s="231"/>
      <c r="E743" s="157"/>
      <c r="F743" s="12"/>
    </row>
    <row r="744">
      <c r="A744" s="153"/>
      <c r="B744" s="229"/>
      <c r="C744" s="230"/>
      <c r="D744" s="231"/>
      <c r="E744" s="157"/>
      <c r="F744" s="12"/>
    </row>
    <row r="745">
      <c r="A745" s="153"/>
      <c r="B745" s="229"/>
      <c r="C745" s="230"/>
      <c r="D745" s="231"/>
      <c r="E745" s="157"/>
      <c r="F745" s="12"/>
    </row>
    <row r="746">
      <c r="A746" s="153"/>
      <c r="B746" s="229"/>
      <c r="C746" s="230"/>
      <c r="D746" s="231"/>
      <c r="E746" s="157"/>
      <c r="F746" s="12"/>
    </row>
    <row r="747">
      <c r="A747" s="153"/>
      <c r="B747" s="229"/>
      <c r="C747" s="230"/>
      <c r="D747" s="231"/>
      <c r="E747" s="157"/>
      <c r="F747" s="12"/>
    </row>
    <row r="748">
      <c r="A748" s="153"/>
      <c r="B748" s="229"/>
      <c r="C748" s="230"/>
      <c r="D748" s="231"/>
      <c r="E748" s="157"/>
      <c r="F748" s="12"/>
    </row>
    <row r="749">
      <c r="A749" s="153"/>
      <c r="B749" s="229"/>
      <c r="C749" s="230"/>
      <c r="D749" s="231"/>
      <c r="E749" s="157"/>
      <c r="F749" s="12"/>
    </row>
    <row r="750">
      <c r="A750" s="153"/>
      <c r="B750" s="229"/>
      <c r="C750" s="230"/>
      <c r="D750" s="231"/>
      <c r="E750" s="157"/>
      <c r="F750" s="12"/>
    </row>
    <row r="751">
      <c r="A751" s="153"/>
      <c r="B751" s="229"/>
      <c r="C751" s="230"/>
      <c r="D751" s="231"/>
      <c r="E751" s="157"/>
      <c r="F751" s="12"/>
    </row>
    <row r="752">
      <c r="A752" s="153"/>
      <c r="B752" s="229"/>
      <c r="C752" s="230"/>
      <c r="D752" s="231"/>
      <c r="E752" s="157"/>
      <c r="F752" s="12"/>
    </row>
    <row r="753">
      <c r="A753" s="153"/>
      <c r="B753" s="229"/>
      <c r="C753" s="230"/>
      <c r="D753" s="231"/>
      <c r="E753" s="157"/>
      <c r="F753" s="12"/>
    </row>
    <row r="754">
      <c r="A754" s="153"/>
      <c r="B754" s="229"/>
      <c r="C754" s="230"/>
      <c r="D754" s="231"/>
      <c r="E754" s="157"/>
      <c r="F754" s="12"/>
    </row>
    <row r="755">
      <c r="A755" s="153"/>
      <c r="B755" s="229"/>
      <c r="C755" s="230"/>
      <c r="D755" s="231"/>
      <c r="E755" s="157"/>
      <c r="F755" s="12"/>
    </row>
    <row r="756">
      <c r="A756" s="153"/>
      <c r="B756" s="229"/>
      <c r="C756" s="230"/>
      <c r="D756" s="231"/>
      <c r="E756" s="157"/>
      <c r="F756" s="12"/>
    </row>
    <row r="757">
      <c r="A757" s="153"/>
      <c r="B757" s="229"/>
      <c r="C757" s="230"/>
      <c r="D757" s="231"/>
      <c r="E757" s="157"/>
      <c r="F757" s="12"/>
    </row>
    <row r="758">
      <c r="A758" s="153"/>
      <c r="B758" s="229"/>
      <c r="C758" s="230"/>
      <c r="D758" s="231"/>
      <c r="E758" s="157"/>
      <c r="F758" s="12"/>
    </row>
    <row r="759">
      <c r="A759" s="153"/>
      <c r="B759" s="229"/>
      <c r="C759" s="230"/>
      <c r="D759" s="231"/>
      <c r="E759" s="157"/>
      <c r="F759" s="12"/>
    </row>
    <row r="760">
      <c r="A760" s="153"/>
      <c r="B760" s="229"/>
      <c r="C760" s="230"/>
      <c r="D760" s="231"/>
      <c r="E760" s="157"/>
      <c r="F760" s="12"/>
    </row>
    <row r="761">
      <c r="A761" s="153"/>
      <c r="B761" s="229"/>
      <c r="C761" s="230"/>
      <c r="D761" s="231"/>
      <c r="E761" s="157"/>
      <c r="F761" s="12"/>
    </row>
    <row r="762">
      <c r="A762" s="153"/>
      <c r="B762" s="229"/>
      <c r="C762" s="230"/>
      <c r="D762" s="231"/>
      <c r="E762" s="157"/>
      <c r="F762" s="12"/>
    </row>
    <row r="763">
      <c r="A763" s="153"/>
      <c r="B763" s="229"/>
      <c r="C763" s="230"/>
      <c r="D763" s="231"/>
      <c r="E763" s="157"/>
      <c r="F763" s="12"/>
    </row>
    <row r="764">
      <c r="A764" s="153"/>
      <c r="B764" s="229"/>
      <c r="C764" s="230"/>
      <c r="D764" s="231"/>
      <c r="E764" s="157"/>
      <c r="F764" s="12"/>
    </row>
    <row r="765">
      <c r="A765" s="153"/>
      <c r="B765" s="229"/>
      <c r="C765" s="230"/>
      <c r="D765" s="231"/>
      <c r="E765" s="157"/>
      <c r="F765" s="12"/>
    </row>
    <row r="766">
      <c r="A766" s="153"/>
      <c r="B766" s="229"/>
      <c r="C766" s="230"/>
      <c r="D766" s="231"/>
      <c r="E766" s="157"/>
      <c r="F766" s="12"/>
    </row>
    <row r="767">
      <c r="A767" s="153"/>
      <c r="B767" s="229"/>
      <c r="C767" s="230"/>
      <c r="D767" s="231"/>
      <c r="E767" s="157"/>
      <c r="F767" s="12"/>
    </row>
    <row r="768">
      <c r="A768" s="153"/>
      <c r="B768" s="229"/>
      <c r="C768" s="230"/>
      <c r="D768" s="231"/>
      <c r="E768" s="157"/>
      <c r="F768" s="12"/>
    </row>
    <row r="769">
      <c r="A769" s="153"/>
      <c r="B769" s="229"/>
      <c r="C769" s="230"/>
      <c r="D769" s="231"/>
      <c r="E769" s="157"/>
      <c r="F769" s="12"/>
    </row>
    <row r="770">
      <c r="A770" s="153"/>
      <c r="B770" s="229"/>
      <c r="C770" s="230"/>
      <c r="D770" s="231"/>
      <c r="E770" s="157"/>
      <c r="F770" s="12"/>
    </row>
    <row r="771">
      <c r="A771" s="153"/>
      <c r="B771" s="229"/>
      <c r="C771" s="230"/>
      <c r="D771" s="231"/>
      <c r="E771" s="157"/>
      <c r="F771" s="12"/>
    </row>
    <row r="772">
      <c r="A772" s="153"/>
      <c r="B772" s="229"/>
      <c r="C772" s="230"/>
      <c r="D772" s="231"/>
      <c r="E772" s="157"/>
      <c r="F772" s="12"/>
    </row>
    <row r="773">
      <c r="A773" s="153"/>
      <c r="B773" s="229"/>
      <c r="C773" s="230"/>
      <c r="D773" s="231"/>
      <c r="E773" s="157"/>
      <c r="F773" s="12"/>
    </row>
    <row r="774">
      <c r="A774" s="153"/>
      <c r="B774" s="229"/>
      <c r="C774" s="230"/>
      <c r="D774" s="231"/>
      <c r="E774" s="157"/>
      <c r="F774" s="12"/>
    </row>
    <row r="775">
      <c r="A775" s="153"/>
      <c r="B775" s="229"/>
      <c r="C775" s="230"/>
      <c r="D775" s="231"/>
      <c r="E775" s="157"/>
      <c r="F775" s="12"/>
    </row>
    <row r="776">
      <c r="A776" s="153"/>
      <c r="B776" s="229"/>
      <c r="C776" s="230"/>
      <c r="D776" s="231"/>
      <c r="E776" s="157"/>
      <c r="F776" s="12"/>
    </row>
    <row r="777">
      <c r="A777" s="153"/>
      <c r="B777" s="229"/>
      <c r="C777" s="230"/>
      <c r="D777" s="231"/>
      <c r="E777" s="157"/>
      <c r="F777" s="12"/>
    </row>
    <row r="778">
      <c r="A778" s="153"/>
      <c r="B778" s="229"/>
      <c r="C778" s="230"/>
      <c r="D778" s="231"/>
      <c r="E778" s="157"/>
      <c r="F778" s="12"/>
    </row>
    <row r="779">
      <c r="A779" s="153"/>
      <c r="B779" s="229"/>
      <c r="C779" s="230"/>
      <c r="D779" s="231"/>
      <c r="E779" s="157"/>
      <c r="F779" s="12"/>
    </row>
    <row r="780">
      <c r="A780" s="153"/>
      <c r="B780" s="229"/>
      <c r="C780" s="230"/>
      <c r="D780" s="231"/>
      <c r="E780" s="157"/>
      <c r="F780" s="12"/>
    </row>
    <row r="781">
      <c r="A781" s="153"/>
      <c r="B781" s="229"/>
      <c r="C781" s="230"/>
      <c r="D781" s="231"/>
      <c r="E781" s="157"/>
      <c r="F781" s="12"/>
    </row>
    <row r="782">
      <c r="A782" s="153"/>
      <c r="B782" s="229"/>
      <c r="C782" s="230"/>
      <c r="D782" s="231"/>
      <c r="E782" s="157"/>
      <c r="F782" s="12"/>
    </row>
    <row r="783">
      <c r="A783" s="153"/>
      <c r="B783" s="229"/>
      <c r="C783" s="230"/>
      <c r="D783" s="231"/>
      <c r="E783" s="157"/>
      <c r="F783" s="12"/>
    </row>
    <row r="784">
      <c r="A784" s="153"/>
      <c r="B784" s="229"/>
      <c r="C784" s="230"/>
      <c r="D784" s="231"/>
      <c r="E784" s="157"/>
      <c r="F784" s="12"/>
    </row>
    <row r="785">
      <c r="A785" s="153"/>
      <c r="B785" s="229"/>
      <c r="C785" s="230"/>
      <c r="D785" s="231"/>
      <c r="E785" s="157"/>
      <c r="F785" s="12"/>
    </row>
    <row r="786">
      <c r="A786" s="153"/>
      <c r="B786" s="229"/>
      <c r="C786" s="230"/>
      <c r="D786" s="231"/>
      <c r="E786" s="157"/>
      <c r="F786" s="12"/>
    </row>
    <row r="787">
      <c r="A787" s="153"/>
      <c r="B787" s="229"/>
      <c r="C787" s="230"/>
      <c r="D787" s="231"/>
      <c r="E787" s="157"/>
      <c r="F787" s="12"/>
    </row>
    <row r="788">
      <c r="A788" s="153"/>
      <c r="B788" s="229"/>
      <c r="C788" s="230"/>
      <c r="D788" s="231"/>
      <c r="E788" s="157"/>
      <c r="F788" s="12"/>
    </row>
    <row r="789">
      <c r="A789" s="153"/>
      <c r="B789" s="229"/>
      <c r="C789" s="230"/>
      <c r="D789" s="231"/>
      <c r="E789" s="157"/>
      <c r="F789" s="12"/>
    </row>
    <row r="790">
      <c r="A790" s="153"/>
      <c r="B790" s="229"/>
      <c r="C790" s="230"/>
      <c r="D790" s="231"/>
      <c r="E790" s="157"/>
      <c r="F790" s="12"/>
    </row>
    <row r="791">
      <c r="A791" s="153"/>
      <c r="B791" s="229"/>
      <c r="C791" s="230"/>
      <c r="D791" s="231"/>
      <c r="E791" s="157"/>
      <c r="F791" s="12"/>
    </row>
    <row r="792">
      <c r="A792" s="153"/>
      <c r="B792" s="229"/>
      <c r="C792" s="230"/>
      <c r="D792" s="231"/>
      <c r="E792" s="157"/>
      <c r="F792" s="12"/>
    </row>
    <row r="793">
      <c r="A793" s="153"/>
      <c r="B793" s="229"/>
      <c r="C793" s="230"/>
      <c r="D793" s="231"/>
      <c r="E793" s="157"/>
      <c r="F793" s="12"/>
    </row>
    <row r="794">
      <c r="A794" s="153"/>
      <c r="B794" s="229"/>
      <c r="C794" s="230"/>
      <c r="D794" s="231"/>
      <c r="E794" s="157"/>
      <c r="F794" s="12"/>
    </row>
    <row r="795">
      <c r="A795" s="153"/>
      <c r="B795" s="229"/>
      <c r="C795" s="230"/>
      <c r="D795" s="231"/>
      <c r="E795" s="157"/>
      <c r="F795" s="12"/>
    </row>
    <row r="796">
      <c r="A796" s="153"/>
      <c r="B796" s="229"/>
      <c r="C796" s="230"/>
      <c r="D796" s="231"/>
      <c r="E796" s="157"/>
      <c r="F796" s="12"/>
    </row>
    <row r="797">
      <c r="A797" s="153"/>
      <c r="B797" s="229"/>
      <c r="C797" s="230"/>
      <c r="D797" s="231"/>
      <c r="E797" s="157"/>
      <c r="F797" s="12"/>
    </row>
    <row r="798">
      <c r="A798" s="153"/>
      <c r="B798" s="229"/>
      <c r="C798" s="230"/>
      <c r="D798" s="231"/>
      <c r="E798" s="157"/>
      <c r="F798" s="12"/>
    </row>
    <row r="799">
      <c r="A799" s="153"/>
      <c r="B799" s="229"/>
      <c r="C799" s="230"/>
      <c r="D799" s="231"/>
      <c r="E799" s="157"/>
      <c r="F799" s="12"/>
    </row>
    <row r="800">
      <c r="A800" s="153"/>
      <c r="B800" s="229"/>
      <c r="C800" s="230"/>
      <c r="D800" s="231"/>
      <c r="E800" s="157"/>
      <c r="F800" s="12"/>
    </row>
    <row r="801">
      <c r="A801" s="153"/>
      <c r="B801" s="229"/>
      <c r="C801" s="230"/>
      <c r="D801" s="231"/>
      <c r="E801" s="157"/>
      <c r="F801" s="12"/>
    </row>
    <row r="802">
      <c r="A802" s="153"/>
      <c r="B802" s="229"/>
      <c r="C802" s="230"/>
      <c r="D802" s="231"/>
      <c r="E802" s="157"/>
      <c r="F802" s="12"/>
    </row>
    <row r="803">
      <c r="A803" s="153"/>
      <c r="B803" s="229"/>
      <c r="C803" s="230"/>
      <c r="D803" s="231"/>
      <c r="E803" s="157"/>
      <c r="F803" s="12"/>
    </row>
    <row r="804">
      <c r="A804" s="153"/>
      <c r="B804" s="229"/>
      <c r="C804" s="230"/>
      <c r="D804" s="231"/>
      <c r="E804" s="157"/>
      <c r="F804" s="12"/>
    </row>
    <row r="805">
      <c r="A805" s="153"/>
      <c r="B805" s="229"/>
      <c r="C805" s="230"/>
      <c r="D805" s="231"/>
      <c r="E805" s="157"/>
      <c r="F805" s="12"/>
    </row>
    <row r="806">
      <c r="A806" s="153"/>
      <c r="B806" s="229"/>
      <c r="C806" s="230"/>
      <c r="D806" s="231"/>
      <c r="E806" s="157"/>
      <c r="F806" s="12"/>
    </row>
    <row r="807">
      <c r="A807" s="153"/>
      <c r="B807" s="229"/>
      <c r="C807" s="230"/>
      <c r="D807" s="231"/>
      <c r="E807" s="157"/>
      <c r="F807" s="12"/>
    </row>
    <row r="808">
      <c r="A808" s="153"/>
      <c r="B808" s="229"/>
      <c r="C808" s="230"/>
      <c r="D808" s="231"/>
      <c r="E808" s="157"/>
      <c r="F808" s="12"/>
    </row>
    <row r="809">
      <c r="A809" s="153"/>
      <c r="B809" s="229"/>
      <c r="C809" s="230"/>
      <c r="D809" s="231"/>
      <c r="E809" s="157"/>
      <c r="F809" s="12"/>
    </row>
    <row r="810">
      <c r="A810" s="153"/>
      <c r="B810" s="229"/>
      <c r="C810" s="230"/>
      <c r="D810" s="231"/>
      <c r="E810" s="157"/>
      <c r="F810" s="12"/>
    </row>
    <row r="811">
      <c r="A811" s="153"/>
      <c r="B811" s="229"/>
      <c r="C811" s="230"/>
      <c r="D811" s="231"/>
      <c r="E811" s="157"/>
      <c r="F811" s="12"/>
    </row>
    <row r="812">
      <c r="A812" s="153"/>
      <c r="B812" s="229"/>
      <c r="C812" s="230"/>
      <c r="D812" s="231"/>
      <c r="E812" s="157"/>
      <c r="F812" s="12"/>
    </row>
    <row r="813">
      <c r="A813" s="153"/>
      <c r="B813" s="229"/>
      <c r="C813" s="230"/>
      <c r="D813" s="231"/>
      <c r="E813" s="157"/>
      <c r="F813" s="12"/>
    </row>
    <row r="814">
      <c r="A814" s="153"/>
      <c r="B814" s="229"/>
      <c r="C814" s="230"/>
      <c r="D814" s="231"/>
      <c r="E814" s="157"/>
      <c r="F814" s="12"/>
    </row>
    <row r="815">
      <c r="A815" s="153"/>
      <c r="B815" s="229"/>
      <c r="C815" s="230"/>
      <c r="D815" s="231"/>
      <c r="E815" s="157"/>
      <c r="F815" s="12"/>
    </row>
    <row r="816">
      <c r="A816" s="153"/>
      <c r="B816" s="229"/>
      <c r="C816" s="230"/>
      <c r="D816" s="231"/>
      <c r="E816" s="157"/>
      <c r="F816" s="12"/>
    </row>
    <row r="817">
      <c r="A817" s="153"/>
      <c r="B817" s="229"/>
      <c r="C817" s="230"/>
      <c r="D817" s="231"/>
      <c r="E817" s="157"/>
      <c r="F817" s="12"/>
    </row>
    <row r="818">
      <c r="A818" s="153"/>
      <c r="B818" s="229"/>
      <c r="C818" s="230"/>
      <c r="D818" s="231"/>
      <c r="E818" s="157"/>
      <c r="F818" s="12"/>
    </row>
    <row r="819">
      <c r="A819" s="153"/>
      <c r="B819" s="229"/>
      <c r="C819" s="230"/>
      <c r="D819" s="231"/>
      <c r="E819" s="157"/>
      <c r="F819" s="12"/>
    </row>
    <row r="820">
      <c r="A820" s="153"/>
      <c r="B820" s="229"/>
      <c r="C820" s="230"/>
      <c r="D820" s="231"/>
      <c r="E820" s="157"/>
      <c r="F820" s="12"/>
    </row>
    <row r="821">
      <c r="A821" s="153"/>
      <c r="B821" s="229"/>
      <c r="C821" s="230"/>
      <c r="D821" s="231"/>
      <c r="E821" s="157"/>
      <c r="F821" s="12"/>
    </row>
    <row r="822">
      <c r="A822" s="153"/>
      <c r="B822" s="229"/>
      <c r="C822" s="230"/>
      <c r="D822" s="231"/>
      <c r="E822" s="157"/>
      <c r="F822" s="12"/>
    </row>
    <row r="823">
      <c r="A823" s="153"/>
      <c r="B823" s="229"/>
      <c r="C823" s="230"/>
      <c r="D823" s="231"/>
      <c r="E823" s="157"/>
      <c r="F823" s="12"/>
    </row>
    <row r="824">
      <c r="A824" s="153"/>
      <c r="B824" s="229"/>
      <c r="C824" s="230"/>
      <c r="D824" s="231"/>
      <c r="E824" s="157"/>
      <c r="F824" s="12"/>
    </row>
    <row r="825">
      <c r="A825" s="153"/>
      <c r="B825" s="229"/>
      <c r="C825" s="230"/>
      <c r="D825" s="231"/>
      <c r="E825" s="157"/>
      <c r="F825" s="12"/>
    </row>
    <row r="826">
      <c r="A826" s="153"/>
      <c r="B826" s="229"/>
      <c r="C826" s="230"/>
      <c r="D826" s="231"/>
      <c r="E826" s="157"/>
      <c r="F826" s="12"/>
    </row>
    <row r="827">
      <c r="A827" s="153"/>
      <c r="B827" s="229"/>
      <c r="C827" s="230"/>
      <c r="D827" s="231"/>
      <c r="E827" s="157"/>
      <c r="F827" s="12"/>
    </row>
    <row r="828">
      <c r="A828" s="153"/>
      <c r="B828" s="229"/>
      <c r="C828" s="230"/>
      <c r="D828" s="231"/>
      <c r="E828" s="157"/>
      <c r="F828" s="12"/>
    </row>
    <row r="829">
      <c r="A829" s="153"/>
      <c r="B829" s="229"/>
      <c r="C829" s="230"/>
      <c r="D829" s="231"/>
      <c r="E829" s="157"/>
      <c r="F829" s="12"/>
    </row>
    <row r="830">
      <c r="A830" s="153"/>
      <c r="B830" s="229"/>
      <c r="C830" s="230"/>
      <c r="D830" s="231"/>
      <c r="E830" s="157"/>
      <c r="F830" s="12"/>
    </row>
    <row r="831">
      <c r="A831" s="153"/>
      <c r="B831" s="229"/>
      <c r="C831" s="230"/>
      <c r="D831" s="231"/>
      <c r="E831" s="157"/>
      <c r="F831" s="12"/>
    </row>
    <row r="832">
      <c r="A832" s="153"/>
      <c r="B832" s="229"/>
      <c r="C832" s="230"/>
      <c r="D832" s="231"/>
      <c r="E832" s="157"/>
      <c r="F832" s="12"/>
    </row>
    <row r="833">
      <c r="A833" s="153"/>
      <c r="B833" s="229"/>
      <c r="C833" s="230"/>
      <c r="D833" s="231"/>
      <c r="E833" s="157"/>
      <c r="F833" s="12"/>
    </row>
    <row r="834">
      <c r="A834" s="153"/>
      <c r="B834" s="229"/>
      <c r="C834" s="230"/>
      <c r="D834" s="231"/>
      <c r="E834" s="157"/>
      <c r="F834" s="12"/>
    </row>
    <row r="835">
      <c r="A835" s="153"/>
      <c r="B835" s="229"/>
      <c r="C835" s="230"/>
      <c r="D835" s="231"/>
      <c r="E835" s="157"/>
      <c r="F835" s="12"/>
    </row>
    <row r="836">
      <c r="A836" s="153"/>
      <c r="B836" s="229"/>
      <c r="C836" s="230"/>
      <c r="D836" s="231"/>
      <c r="E836" s="157"/>
      <c r="F836" s="12"/>
    </row>
    <row r="837">
      <c r="A837" s="153"/>
      <c r="B837" s="229"/>
      <c r="C837" s="230"/>
      <c r="D837" s="231"/>
      <c r="E837" s="157"/>
      <c r="F837" s="12"/>
    </row>
    <row r="838">
      <c r="A838" s="153"/>
      <c r="B838" s="229"/>
      <c r="C838" s="230"/>
      <c r="D838" s="231"/>
      <c r="E838" s="157"/>
      <c r="F838" s="12"/>
    </row>
    <row r="839">
      <c r="A839" s="153"/>
      <c r="B839" s="229"/>
      <c r="C839" s="230"/>
      <c r="D839" s="231"/>
      <c r="E839" s="157"/>
      <c r="F839" s="12"/>
    </row>
    <row r="840">
      <c r="A840" s="153"/>
      <c r="B840" s="229"/>
      <c r="C840" s="230"/>
      <c r="D840" s="231"/>
      <c r="E840" s="157"/>
      <c r="F840" s="12"/>
    </row>
    <row r="841">
      <c r="A841" s="153"/>
      <c r="B841" s="229"/>
      <c r="C841" s="230"/>
      <c r="D841" s="231"/>
      <c r="E841" s="157"/>
      <c r="F841" s="12"/>
    </row>
    <row r="842">
      <c r="A842" s="153"/>
      <c r="B842" s="229"/>
      <c r="C842" s="230"/>
      <c r="D842" s="231"/>
      <c r="E842" s="157"/>
      <c r="F842" s="12"/>
    </row>
    <row r="843">
      <c r="A843" s="153"/>
      <c r="B843" s="229"/>
      <c r="C843" s="230"/>
      <c r="D843" s="231"/>
      <c r="E843" s="157"/>
      <c r="F843" s="12"/>
    </row>
    <row r="844">
      <c r="A844" s="153"/>
      <c r="B844" s="229"/>
      <c r="C844" s="230"/>
      <c r="D844" s="231"/>
      <c r="E844" s="157"/>
      <c r="F844" s="12"/>
    </row>
    <row r="845">
      <c r="A845" s="153"/>
      <c r="B845" s="229"/>
      <c r="C845" s="230"/>
      <c r="D845" s="231"/>
      <c r="E845" s="157"/>
      <c r="F845" s="12"/>
    </row>
    <row r="846">
      <c r="A846" s="153"/>
      <c r="B846" s="229"/>
      <c r="C846" s="230"/>
      <c r="D846" s="231"/>
      <c r="E846" s="157"/>
      <c r="F846" s="12"/>
    </row>
    <row r="847">
      <c r="A847" s="153"/>
      <c r="B847" s="229"/>
      <c r="C847" s="230"/>
      <c r="D847" s="231"/>
      <c r="E847" s="157"/>
      <c r="F847" s="12"/>
    </row>
    <row r="848">
      <c r="A848" s="153"/>
      <c r="B848" s="229"/>
      <c r="C848" s="230"/>
      <c r="D848" s="231"/>
      <c r="E848" s="157"/>
      <c r="F848" s="12"/>
    </row>
    <row r="849">
      <c r="A849" s="153"/>
      <c r="B849" s="229"/>
      <c r="C849" s="230"/>
      <c r="D849" s="231"/>
      <c r="E849" s="157"/>
      <c r="F849" s="12"/>
    </row>
    <row r="850">
      <c r="A850" s="153"/>
      <c r="B850" s="229"/>
      <c r="C850" s="230"/>
      <c r="D850" s="231"/>
      <c r="E850" s="157"/>
      <c r="F850" s="12"/>
    </row>
    <row r="851">
      <c r="A851" s="153"/>
      <c r="B851" s="229"/>
      <c r="C851" s="230"/>
      <c r="D851" s="231"/>
      <c r="E851" s="157"/>
      <c r="F851" s="12"/>
    </row>
    <row r="852">
      <c r="A852" s="153"/>
      <c r="B852" s="229"/>
      <c r="C852" s="230"/>
      <c r="D852" s="231"/>
      <c r="E852" s="157"/>
      <c r="F852" s="12"/>
    </row>
    <row r="853">
      <c r="A853" s="153"/>
      <c r="B853" s="229"/>
      <c r="C853" s="230"/>
      <c r="D853" s="231"/>
      <c r="E853" s="157"/>
      <c r="F853" s="12"/>
    </row>
    <row r="854">
      <c r="A854" s="153"/>
      <c r="B854" s="229"/>
      <c r="C854" s="230"/>
      <c r="D854" s="231"/>
      <c r="E854" s="157"/>
      <c r="F854" s="12"/>
    </row>
    <row r="855">
      <c r="A855" s="153"/>
      <c r="B855" s="229"/>
      <c r="C855" s="230"/>
      <c r="D855" s="231"/>
      <c r="E855" s="157"/>
      <c r="F855" s="12"/>
    </row>
    <row r="856">
      <c r="A856" s="153"/>
      <c r="B856" s="229"/>
      <c r="C856" s="230"/>
      <c r="D856" s="231"/>
      <c r="E856" s="157"/>
      <c r="F856" s="12"/>
    </row>
    <row r="857">
      <c r="A857" s="153"/>
      <c r="B857" s="229"/>
      <c r="C857" s="230"/>
      <c r="D857" s="231"/>
      <c r="E857" s="157"/>
      <c r="F857" s="12"/>
    </row>
    <row r="858">
      <c r="A858" s="153"/>
      <c r="B858" s="229"/>
      <c r="C858" s="230"/>
      <c r="D858" s="231"/>
      <c r="E858" s="157"/>
      <c r="F858" s="12"/>
    </row>
    <row r="859">
      <c r="A859" s="153"/>
      <c r="B859" s="229"/>
      <c r="C859" s="230"/>
      <c r="D859" s="231"/>
      <c r="E859" s="157"/>
      <c r="F859" s="12"/>
    </row>
    <row r="860">
      <c r="A860" s="153"/>
      <c r="B860" s="229"/>
      <c r="C860" s="230"/>
      <c r="D860" s="231"/>
      <c r="E860" s="157"/>
      <c r="F860" s="12"/>
    </row>
    <row r="861">
      <c r="A861" s="153"/>
      <c r="B861" s="229"/>
      <c r="C861" s="230"/>
      <c r="D861" s="231"/>
      <c r="E861" s="157"/>
      <c r="F861" s="12"/>
    </row>
    <row r="862">
      <c r="A862" s="153"/>
      <c r="B862" s="229"/>
      <c r="C862" s="230"/>
      <c r="D862" s="231"/>
      <c r="E862" s="157"/>
      <c r="F862" s="12"/>
    </row>
    <row r="863">
      <c r="A863" s="153"/>
      <c r="B863" s="229"/>
      <c r="C863" s="230"/>
      <c r="D863" s="231"/>
      <c r="E863" s="157"/>
      <c r="F863" s="12"/>
    </row>
    <row r="864">
      <c r="A864" s="153"/>
      <c r="B864" s="229"/>
      <c r="C864" s="230"/>
      <c r="D864" s="231"/>
      <c r="E864" s="157"/>
      <c r="F864" s="12"/>
    </row>
    <row r="865">
      <c r="A865" s="153"/>
      <c r="B865" s="229"/>
      <c r="C865" s="230"/>
      <c r="D865" s="231"/>
      <c r="E865" s="157"/>
      <c r="F865" s="12"/>
    </row>
    <row r="866">
      <c r="A866" s="153"/>
      <c r="B866" s="229"/>
      <c r="C866" s="230"/>
      <c r="D866" s="231"/>
      <c r="E866" s="157"/>
      <c r="F866" s="12"/>
    </row>
    <row r="867">
      <c r="A867" s="153"/>
      <c r="B867" s="229"/>
      <c r="C867" s="230"/>
      <c r="D867" s="231"/>
      <c r="E867" s="157"/>
      <c r="F867" s="12"/>
    </row>
    <row r="868">
      <c r="A868" s="153"/>
      <c r="B868" s="229"/>
      <c r="C868" s="230"/>
      <c r="D868" s="231"/>
      <c r="E868" s="157"/>
      <c r="F868" s="12"/>
    </row>
    <row r="869">
      <c r="A869" s="153"/>
      <c r="B869" s="229"/>
      <c r="C869" s="230"/>
      <c r="D869" s="231"/>
      <c r="E869" s="157"/>
      <c r="F869" s="12"/>
    </row>
    <row r="870">
      <c r="A870" s="153"/>
      <c r="B870" s="229"/>
      <c r="C870" s="230"/>
      <c r="D870" s="231"/>
      <c r="E870" s="157"/>
      <c r="F870" s="12"/>
    </row>
    <row r="871">
      <c r="A871" s="153"/>
      <c r="B871" s="229"/>
      <c r="C871" s="230"/>
      <c r="D871" s="231"/>
      <c r="E871" s="157"/>
      <c r="F871" s="12"/>
    </row>
    <row r="872">
      <c r="A872" s="153"/>
      <c r="B872" s="229"/>
      <c r="C872" s="230"/>
      <c r="D872" s="231"/>
      <c r="E872" s="157"/>
      <c r="F872" s="12"/>
    </row>
    <row r="873">
      <c r="A873" s="153"/>
      <c r="B873" s="229"/>
      <c r="C873" s="230"/>
      <c r="D873" s="231"/>
      <c r="E873" s="157"/>
      <c r="F873" s="12"/>
    </row>
    <row r="874">
      <c r="A874" s="153"/>
      <c r="B874" s="229"/>
      <c r="C874" s="230"/>
      <c r="D874" s="231"/>
      <c r="E874" s="157"/>
      <c r="F874" s="12"/>
    </row>
    <row r="875">
      <c r="A875" s="153"/>
      <c r="B875" s="229"/>
      <c r="C875" s="230"/>
      <c r="D875" s="231"/>
      <c r="E875" s="157"/>
      <c r="F875" s="12"/>
    </row>
    <row r="876">
      <c r="A876" s="153"/>
      <c r="B876" s="229"/>
      <c r="C876" s="230"/>
      <c r="D876" s="231"/>
      <c r="E876" s="157"/>
      <c r="F876" s="12"/>
    </row>
    <row r="877">
      <c r="A877" s="153"/>
      <c r="B877" s="229"/>
      <c r="C877" s="230"/>
      <c r="D877" s="231"/>
      <c r="E877" s="157"/>
      <c r="F877" s="12"/>
    </row>
    <row r="878">
      <c r="A878" s="153"/>
      <c r="B878" s="229"/>
      <c r="C878" s="230"/>
      <c r="D878" s="231"/>
      <c r="E878" s="157"/>
      <c r="F878" s="12"/>
    </row>
    <row r="879">
      <c r="A879" s="153"/>
      <c r="B879" s="229"/>
      <c r="C879" s="230"/>
      <c r="D879" s="231"/>
      <c r="E879" s="157"/>
      <c r="F879" s="12"/>
    </row>
    <row r="880">
      <c r="A880" s="153"/>
      <c r="B880" s="229"/>
      <c r="C880" s="230"/>
      <c r="D880" s="231"/>
      <c r="E880" s="157"/>
      <c r="F880" s="12"/>
    </row>
    <row r="881">
      <c r="A881" s="153"/>
      <c r="B881" s="229"/>
      <c r="C881" s="230"/>
      <c r="D881" s="231"/>
      <c r="E881" s="157"/>
      <c r="F881" s="12"/>
    </row>
    <row r="882">
      <c r="A882" s="153"/>
      <c r="B882" s="229"/>
      <c r="C882" s="230"/>
      <c r="D882" s="231"/>
      <c r="E882" s="157"/>
      <c r="F882" s="12"/>
    </row>
    <row r="883">
      <c r="A883" s="153"/>
      <c r="B883" s="229"/>
      <c r="C883" s="230"/>
      <c r="D883" s="231"/>
      <c r="E883" s="157"/>
      <c r="F883" s="12"/>
    </row>
    <row r="884">
      <c r="A884" s="153"/>
      <c r="B884" s="229"/>
      <c r="C884" s="230"/>
      <c r="D884" s="231"/>
      <c r="E884" s="157"/>
      <c r="F884" s="12"/>
    </row>
    <row r="885">
      <c r="A885" s="153"/>
      <c r="B885" s="229"/>
      <c r="C885" s="230"/>
      <c r="D885" s="231"/>
      <c r="E885" s="157"/>
      <c r="F885" s="12"/>
    </row>
    <row r="886">
      <c r="A886" s="153"/>
      <c r="B886" s="229"/>
      <c r="C886" s="230"/>
      <c r="D886" s="231"/>
      <c r="E886" s="157"/>
      <c r="F886" s="12"/>
    </row>
    <row r="887">
      <c r="A887" s="153"/>
      <c r="B887" s="229"/>
      <c r="C887" s="230"/>
      <c r="D887" s="231"/>
      <c r="E887" s="157"/>
      <c r="F887" s="12"/>
    </row>
    <row r="888">
      <c r="A888" s="153"/>
      <c r="B888" s="229"/>
      <c r="C888" s="230"/>
      <c r="D888" s="231"/>
      <c r="E888" s="157"/>
      <c r="F888" s="12"/>
    </row>
    <row r="889">
      <c r="A889" s="153"/>
      <c r="B889" s="229"/>
      <c r="C889" s="230"/>
      <c r="D889" s="231"/>
      <c r="E889" s="157"/>
      <c r="F889" s="12"/>
    </row>
    <row r="890">
      <c r="A890" s="153"/>
      <c r="B890" s="229"/>
      <c r="C890" s="230"/>
      <c r="D890" s="231"/>
      <c r="E890" s="157"/>
      <c r="F890" s="12"/>
    </row>
    <row r="891">
      <c r="A891" s="153"/>
      <c r="B891" s="229"/>
      <c r="C891" s="230"/>
      <c r="D891" s="231"/>
      <c r="E891" s="157"/>
      <c r="F891" s="12"/>
    </row>
    <row r="892">
      <c r="A892" s="153"/>
      <c r="B892" s="229"/>
      <c r="C892" s="230"/>
      <c r="D892" s="231"/>
      <c r="E892" s="157"/>
      <c r="F892" s="12"/>
    </row>
    <row r="893">
      <c r="A893" s="153"/>
      <c r="B893" s="229"/>
      <c r="C893" s="230"/>
      <c r="D893" s="231"/>
      <c r="E893" s="157"/>
      <c r="F893" s="12"/>
    </row>
    <row r="894">
      <c r="A894" s="153"/>
      <c r="B894" s="229"/>
      <c r="C894" s="230"/>
      <c r="D894" s="231"/>
      <c r="E894" s="157"/>
      <c r="F894" s="12"/>
    </row>
    <row r="895">
      <c r="A895" s="153"/>
      <c r="B895" s="229"/>
      <c r="C895" s="230"/>
      <c r="D895" s="231"/>
      <c r="E895" s="157"/>
      <c r="F895" s="12"/>
    </row>
    <row r="896">
      <c r="A896" s="153"/>
      <c r="B896" s="229"/>
      <c r="C896" s="230"/>
      <c r="D896" s="231"/>
      <c r="E896" s="157"/>
      <c r="F896" s="12"/>
    </row>
    <row r="897">
      <c r="A897" s="153"/>
      <c r="B897" s="229"/>
      <c r="C897" s="230"/>
      <c r="D897" s="231"/>
      <c r="E897" s="157"/>
      <c r="F897" s="12"/>
    </row>
    <row r="898">
      <c r="A898" s="153"/>
      <c r="B898" s="229"/>
      <c r="C898" s="230"/>
      <c r="D898" s="231"/>
      <c r="E898" s="157"/>
      <c r="F898" s="12"/>
    </row>
    <row r="899">
      <c r="A899" s="153"/>
      <c r="B899" s="229"/>
      <c r="C899" s="230"/>
      <c r="D899" s="231"/>
      <c r="E899" s="157"/>
      <c r="F899" s="12"/>
    </row>
    <row r="900">
      <c r="A900" s="153"/>
      <c r="B900" s="229"/>
      <c r="C900" s="230"/>
      <c r="D900" s="231"/>
      <c r="E900" s="157"/>
      <c r="F900" s="12"/>
    </row>
    <row r="901">
      <c r="A901" s="153"/>
      <c r="B901" s="229"/>
      <c r="C901" s="230"/>
      <c r="D901" s="231"/>
      <c r="E901" s="157"/>
      <c r="F901" s="12"/>
    </row>
    <row r="902">
      <c r="A902" s="153"/>
      <c r="B902" s="229"/>
      <c r="C902" s="230"/>
      <c r="D902" s="231"/>
      <c r="E902" s="157"/>
      <c r="F902" s="12"/>
    </row>
    <row r="903">
      <c r="A903" s="153"/>
      <c r="B903" s="229"/>
      <c r="C903" s="230"/>
      <c r="D903" s="231"/>
      <c r="E903" s="157"/>
      <c r="F903" s="12"/>
    </row>
    <row r="904">
      <c r="A904" s="153"/>
      <c r="B904" s="229"/>
      <c r="C904" s="230"/>
      <c r="D904" s="231"/>
      <c r="E904" s="157"/>
      <c r="F904" s="12"/>
    </row>
    <row r="905">
      <c r="A905" s="153"/>
      <c r="B905" s="229"/>
      <c r="C905" s="230"/>
      <c r="D905" s="231"/>
      <c r="E905" s="157"/>
      <c r="F905" s="12"/>
    </row>
    <row r="906">
      <c r="A906" s="153"/>
      <c r="B906" s="229"/>
      <c r="C906" s="230"/>
      <c r="D906" s="231"/>
      <c r="E906" s="157"/>
      <c r="F906" s="12"/>
    </row>
    <row r="907">
      <c r="A907" s="153"/>
      <c r="B907" s="229"/>
      <c r="C907" s="230"/>
      <c r="D907" s="231"/>
      <c r="E907" s="157"/>
      <c r="F907" s="12"/>
    </row>
    <row r="908">
      <c r="A908" s="153"/>
      <c r="B908" s="229"/>
      <c r="C908" s="230"/>
      <c r="D908" s="231"/>
      <c r="E908" s="157"/>
      <c r="F908" s="12"/>
    </row>
    <row r="909">
      <c r="A909" s="153"/>
      <c r="B909" s="229"/>
      <c r="C909" s="230"/>
      <c r="D909" s="231"/>
      <c r="E909" s="157"/>
      <c r="F909" s="12"/>
    </row>
    <row r="910">
      <c r="A910" s="153"/>
      <c r="B910" s="229"/>
      <c r="C910" s="230"/>
      <c r="D910" s="231"/>
      <c r="E910" s="157"/>
      <c r="F910" s="12"/>
    </row>
    <row r="911">
      <c r="A911" s="153"/>
      <c r="B911" s="229"/>
      <c r="C911" s="230"/>
      <c r="D911" s="231"/>
      <c r="E911" s="157"/>
      <c r="F911" s="12"/>
    </row>
    <row r="912">
      <c r="A912" s="153"/>
      <c r="B912" s="229"/>
      <c r="C912" s="230"/>
      <c r="D912" s="231"/>
      <c r="E912" s="157"/>
      <c r="F912" s="12"/>
    </row>
    <row r="913">
      <c r="A913" s="153"/>
      <c r="B913" s="229"/>
      <c r="C913" s="230"/>
      <c r="D913" s="231"/>
      <c r="E913" s="157"/>
      <c r="F913" s="12"/>
    </row>
    <row r="914">
      <c r="A914" s="153"/>
      <c r="B914" s="229"/>
      <c r="C914" s="230"/>
      <c r="D914" s="231"/>
      <c r="E914" s="157"/>
      <c r="F914" s="12"/>
    </row>
    <row r="915">
      <c r="A915" s="153"/>
      <c r="B915" s="229"/>
      <c r="C915" s="230"/>
      <c r="D915" s="231"/>
      <c r="E915" s="157"/>
      <c r="F915" s="12"/>
    </row>
    <row r="916">
      <c r="A916" s="153"/>
      <c r="B916" s="229"/>
      <c r="C916" s="230"/>
      <c r="D916" s="231"/>
      <c r="E916" s="157"/>
      <c r="F916" s="12"/>
    </row>
    <row r="917">
      <c r="A917" s="153"/>
      <c r="B917" s="229"/>
      <c r="C917" s="230"/>
      <c r="D917" s="231"/>
      <c r="E917" s="157"/>
      <c r="F917" s="12"/>
    </row>
    <row r="918">
      <c r="A918" s="153"/>
      <c r="B918" s="229"/>
      <c r="C918" s="230"/>
      <c r="D918" s="231"/>
      <c r="E918" s="157"/>
      <c r="F918" s="12"/>
    </row>
    <row r="919">
      <c r="A919" s="153"/>
      <c r="B919" s="229"/>
      <c r="C919" s="230"/>
      <c r="D919" s="231"/>
      <c r="E919" s="157"/>
      <c r="F919" s="12"/>
    </row>
    <row r="920">
      <c r="A920" s="153"/>
      <c r="B920" s="229"/>
      <c r="C920" s="230"/>
      <c r="D920" s="231"/>
      <c r="E920" s="157"/>
      <c r="F920" s="12"/>
    </row>
    <row r="921">
      <c r="A921" s="153"/>
      <c r="B921" s="229"/>
      <c r="C921" s="230"/>
      <c r="D921" s="231"/>
      <c r="E921" s="157"/>
      <c r="F921" s="12"/>
    </row>
    <row r="922">
      <c r="A922" s="153"/>
      <c r="B922" s="229"/>
      <c r="C922" s="230"/>
      <c r="D922" s="231"/>
      <c r="E922" s="157"/>
      <c r="F922" s="12"/>
    </row>
    <row r="923">
      <c r="A923" s="153"/>
      <c r="B923" s="229"/>
      <c r="C923" s="230"/>
      <c r="D923" s="231"/>
      <c r="E923" s="157"/>
      <c r="F923" s="12"/>
    </row>
    <row r="924">
      <c r="A924" s="153"/>
      <c r="B924" s="229"/>
      <c r="C924" s="230"/>
      <c r="D924" s="231"/>
      <c r="E924" s="157"/>
      <c r="F924" s="12"/>
    </row>
    <row r="925">
      <c r="A925" s="153"/>
      <c r="B925" s="229"/>
      <c r="C925" s="230"/>
      <c r="D925" s="231"/>
      <c r="E925" s="157"/>
      <c r="F925" s="12"/>
    </row>
    <row r="926">
      <c r="A926" s="153"/>
      <c r="B926" s="229"/>
      <c r="C926" s="230"/>
      <c r="D926" s="231"/>
      <c r="E926" s="157"/>
      <c r="F926" s="12"/>
    </row>
    <row r="927">
      <c r="A927" s="153"/>
      <c r="B927" s="229"/>
      <c r="C927" s="230"/>
      <c r="D927" s="231"/>
      <c r="E927" s="157"/>
      <c r="F927" s="12"/>
    </row>
    <row r="928">
      <c r="A928" s="153"/>
      <c r="B928" s="229"/>
      <c r="C928" s="230"/>
      <c r="D928" s="231"/>
      <c r="E928" s="157"/>
      <c r="F928" s="12"/>
    </row>
    <row r="929">
      <c r="A929" s="153"/>
      <c r="B929" s="229"/>
      <c r="C929" s="230"/>
      <c r="D929" s="231"/>
      <c r="E929" s="157"/>
      <c r="F929" s="12"/>
    </row>
    <row r="930">
      <c r="A930" s="153"/>
      <c r="B930" s="229"/>
      <c r="C930" s="230"/>
      <c r="D930" s="231"/>
      <c r="E930" s="157"/>
      <c r="F930" s="12"/>
    </row>
    <row r="931">
      <c r="A931" s="153"/>
      <c r="B931" s="229"/>
      <c r="C931" s="230"/>
      <c r="D931" s="231"/>
      <c r="E931" s="157"/>
      <c r="F931" s="12"/>
    </row>
    <row r="932">
      <c r="A932" s="153"/>
      <c r="B932" s="229"/>
      <c r="C932" s="230"/>
      <c r="D932" s="231"/>
      <c r="E932" s="157"/>
      <c r="F932" s="12"/>
    </row>
    <row r="933">
      <c r="A933" s="153"/>
      <c r="B933" s="229"/>
      <c r="C933" s="230"/>
      <c r="D933" s="231"/>
      <c r="E933" s="157"/>
      <c r="F933" s="12"/>
    </row>
    <row r="934">
      <c r="A934" s="153"/>
      <c r="B934" s="229"/>
      <c r="C934" s="230"/>
      <c r="D934" s="231"/>
      <c r="E934" s="157"/>
      <c r="F934" s="12"/>
    </row>
    <row r="935">
      <c r="A935" s="153"/>
      <c r="B935" s="229"/>
      <c r="C935" s="230"/>
      <c r="D935" s="231"/>
      <c r="E935" s="157"/>
      <c r="F935" s="12"/>
    </row>
    <row r="936">
      <c r="A936" s="153"/>
      <c r="B936" s="229"/>
      <c r="C936" s="230"/>
      <c r="D936" s="231"/>
      <c r="E936" s="157"/>
      <c r="F936" s="12"/>
    </row>
    <row r="937">
      <c r="A937" s="153"/>
      <c r="B937" s="229"/>
      <c r="C937" s="230"/>
      <c r="D937" s="231"/>
      <c r="E937" s="157"/>
      <c r="F937" s="12"/>
    </row>
    <row r="938">
      <c r="A938" s="153"/>
      <c r="B938" s="229"/>
      <c r="C938" s="230"/>
      <c r="D938" s="231"/>
      <c r="E938" s="157"/>
      <c r="F938" s="12"/>
    </row>
    <row r="939">
      <c r="A939" s="153"/>
      <c r="B939" s="229"/>
      <c r="C939" s="230"/>
      <c r="D939" s="231"/>
      <c r="E939" s="157"/>
      <c r="F939" s="12"/>
    </row>
    <row r="940">
      <c r="A940" s="153"/>
      <c r="B940" s="229"/>
      <c r="C940" s="230"/>
      <c r="D940" s="231"/>
      <c r="E940" s="157"/>
      <c r="F940" s="12"/>
    </row>
    <row r="941">
      <c r="A941" s="153"/>
      <c r="B941" s="229"/>
      <c r="C941" s="230"/>
      <c r="D941" s="231"/>
      <c r="E941" s="157"/>
      <c r="F941" s="12"/>
    </row>
    <row r="942">
      <c r="A942" s="153"/>
      <c r="B942" s="229"/>
      <c r="C942" s="230"/>
      <c r="D942" s="231"/>
      <c r="E942" s="157"/>
      <c r="F942" s="12"/>
    </row>
    <row r="943">
      <c r="A943" s="153"/>
      <c r="B943" s="229"/>
      <c r="C943" s="230"/>
      <c r="D943" s="231"/>
      <c r="E943" s="157"/>
      <c r="F943" s="12"/>
    </row>
    <row r="944">
      <c r="A944" s="153"/>
      <c r="B944" s="229"/>
      <c r="C944" s="230"/>
      <c r="D944" s="231"/>
      <c r="E944" s="157"/>
      <c r="F944" s="12"/>
    </row>
    <row r="945">
      <c r="A945" s="153"/>
      <c r="B945" s="229"/>
      <c r="C945" s="230"/>
      <c r="D945" s="231"/>
      <c r="E945" s="157"/>
      <c r="F945" s="12"/>
    </row>
    <row r="946">
      <c r="A946" s="153"/>
      <c r="B946" s="229"/>
      <c r="C946" s="230"/>
      <c r="D946" s="231"/>
      <c r="E946" s="157"/>
      <c r="F946" s="12"/>
    </row>
    <row r="947">
      <c r="A947" s="153"/>
      <c r="B947" s="229"/>
      <c r="C947" s="230"/>
      <c r="D947" s="231"/>
      <c r="E947" s="157"/>
      <c r="F947" s="12"/>
    </row>
    <row r="948">
      <c r="A948" s="153"/>
      <c r="B948" s="229"/>
      <c r="C948" s="230"/>
      <c r="D948" s="231"/>
      <c r="E948" s="157"/>
      <c r="F948" s="12"/>
    </row>
    <row r="949">
      <c r="A949" s="153"/>
      <c r="B949" s="229"/>
      <c r="C949" s="230"/>
      <c r="D949" s="231"/>
      <c r="E949" s="157"/>
      <c r="F949" s="12"/>
    </row>
    <row r="950">
      <c r="A950" s="153"/>
      <c r="B950" s="229"/>
      <c r="C950" s="230"/>
      <c r="D950" s="231"/>
      <c r="E950" s="157"/>
      <c r="F950" s="12"/>
    </row>
    <row r="951">
      <c r="A951" s="153"/>
      <c r="B951" s="229"/>
      <c r="C951" s="230"/>
      <c r="D951" s="231"/>
      <c r="E951" s="157"/>
      <c r="F951" s="12"/>
    </row>
    <row r="952">
      <c r="A952" s="153"/>
      <c r="B952" s="229"/>
      <c r="C952" s="230"/>
      <c r="D952" s="231"/>
      <c r="E952" s="157"/>
      <c r="F952" s="12"/>
    </row>
    <row r="953">
      <c r="A953" s="153"/>
      <c r="B953" s="229"/>
      <c r="C953" s="230"/>
      <c r="D953" s="231"/>
      <c r="E953" s="157"/>
      <c r="F953" s="12"/>
    </row>
    <row r="954">
      <c r="A954" s="153"/>
      <c r="B954" s="229"/>
      <c r="C954" s="230"/>
      <c r="D954" s="231"/>
      <c r="E954" s="157"/>
      <c r="F954" s="12"/>
    </row>
    <row r="955">
      <c r="A955" s="153"/>
      <c r="B955" s="229"/>
      <c r="C955" s="230"/>
      <c r="D955" s="231"/>
      <c r="E955" s="157"/>
      <c r="F955" s="12"/>
    </row>
    <row r="956">
      <c r="A956" s="153"/>
      <c r="B956" s="229"/>
      <c r="C956" s="230"/>
      <c r="D956" s="231"/>
      <c r="E956" s="157"/>
      <c r="F956" s="12"/>
    </row>
    <row r="957">
      <c r="A957" s="153"/>
      <c r="B957" s="229"/>
      <c r="C957" s="230"/>
      <c r="D957" s="231"/>
      <c r="E957" s="157"/>
      <c r="F957" s="12"/>
    </row>
    <row r="958">
      <c r="A958" s="153"/>
      <c r="B958" s="229"/>
      <c r="C958" s="230"/>
      <c r="D958" s="231"/>
      <c r="E958" s="157"/>
      <c r="F958" s="12"/>
    </row>
    <row r="959">
      <c r="A959" s="153"/>
      <c r="B959" s="229"/>
      <c r="C959" s="230"/>
      <c r="D959" s="231"/>
      <c r="E959" s="157"/>
      <c r="F959" s="12"/>
    </row>
    <row r="960">
      <c r="A960" s="153"/>
      <c r="B960" s="229"/>
      <c r="C960" s="230"/>
      <c r="D960" s="231"/>
      <c r="E960" s="157"/>
      <c r="F960" s="12"/>
    </row>
    <row r="961">
      <c r="A961" s="153"/>
      <c r="B961" s="229"/>
      <c r="C961" s="230"/>
      <c r="D961" s="231"/>
      <c r="E961" s="157"/>
      <c r="F961" s="12"/>
    </row>
    <row r="962">
      <c r="A962" s="153"/>
      <c r="B962" s="229"/>
      <c r="C962" s="230"/>
      <c r="D962" s="231"/>
      <c r="E962" s="157"/>
      <c r="F962" s="12"/>
    </row>
    <row r="963">
      <c r="A963" s="153"/>
      <c r="B963" s="229"/>
      <c r="C963" s="230"/>
      <c r="D963" s="231"/>
      <c r="E963" s="157"/>
      <c r="F963" s="12"/>
    </row>
    <row r="964">
      <c r="A964" s="153"/>
      <c r="B964" s="229"/>
      <c r="C964" s="230"/>
      <c r="D964" s="231"/>
      <c r="E964" s="157"/>
      <c r="F964" s="12"/>
    </row>
    <row r="965">
      <c r="A965" s="153"/>
      <c r="B965" s="229"/>
      <c r="C965" s="230"/>
      <c r="D965" s="231"/>
      <c r="E965" s="157"/>
      <c r="F965" s="12"/>
    </row>
    <row r="966">
      <c r="A966" s="153"/>
      <c r="B966" s="229"/>
      <c r="C966" s="230"/>
      <c r="D966" s="231"/>
      <c r="E966" s="157"/>
      <c r="F966" s="12"/>
    </row>
    <row r="967">
      <c r="A967" s="153"/>
      <c r="B967" s="229"/>
      <c r="C967" s="230"/>
      <c r="D967" s="231"/>
      <c r="E967" s="157"/>
      <c r="F967" s="12"/>
    </row>
    <row r="968">
      <c r="A968" s="153"/>
      <c r="B968" s="229"/>
      <c r="C968" s="230"/>
      <c r="D968" s="231"/>
      <c r="E968" s="157"/>
      <c r="F968" s="12"/>
    </row>
    <row r="969">
      <c r="A969" s="153"/>
      <c r="B969" s="229"/>
      <c r="C969" s="230"/>
      <c r="D969" s="231"/>
      <c r="E969" s="157"/>
      <c r="F969" s="12"/>
    </row>
    <row r="970">
      <c r="A970" s="153"/>
      <c r="B970" s="229"/>
      <c r="C970" s="230"/>
      <c r="D970" s="231"/>
      <c r="E970" s="157"/>
      <c r="F970" s="12"/>
    </row>
    <row r="971">
      <c r="A971" s="153"/>
      <c r="B971" s="229"/>
      <c r="C971" s="230"/>
      <c r="D971" s="231"/>
      <c r="E971" s="157"/>
      <c r="F971" s="12"/>
    </row>
    <row r="972">
      <c r="A972" s="153"/>
      <c r="B972" s="229"/>
      <c r="C972" s="230"/>
      <c r="D972" s="231"/>
      <c r="E972" s="157"/>
      <c r="F972" s="12"/>
    </row>
    <row r="973">
      <c r="A973" s="153"/>
      <c r="B973" s="229"/>
      <c r="C973" s="230"/>
      <c r="D973" s="231"/>
      <c r="E973" s="157"/>
      <c r="F973" s="12"/>
    </row>
    <row r="974">
      <c r="A974" s="153"/>
      <c r="B974" s="229"/>
      <c r="C974" s="230"/>
      <c r="D974" s="231"/>
      <c r="E974" s="157"/>
      <c r="F974" s="12"/>
    </row>
    <row r="975">
      <c r="A975" s="153"/>
      <c r="B975" s="229"/>
      <c r="C975" s="230"/>
      <c r="D975" s="231"/>
      <c r="E975" s="157"/>
      <c r="F975" s="12"/>
    </row>
    <row r="976">
      <c r="A976" s="153"/>
      <c r="B976" s="229"/>
      <c r="C976" s="230"/>
      <c r="D976" s="231"/>
      <c r="E976" s="157"/>
      <c r="F976" s="12"/>
    </row>
    <row r="977">
      <c r="A977" s="153"/>
      <c r="B977" s="229"/>
      <c r="C977" s="230"/>
      <c r="D977" s="231"/>
      <c r="E977" s="157"/>
      <c r="F977" s="12"/>
    </row>
    <row r="978">
      <c r="A978" s="153"/>
      <c r="B978" s="229"/>
      <c r="C978" s="230"/>
      <c r="D978" s="231"/>
      <c r="E978" s="157"/>
      <c r="F978" s="12"/>
    </row>
    <row r="979">
      <c r="A979" s="153"/>
      <c r="B979" s="229"/>
      <c r="C979" s="230"/>
      <c r="D979" s="231"/>
      <c r="E979" s="157"/>
      <c r="F979" s="12"/>
    </row>
    <row r="980">
      <c r="A980" s="153"/>
      <c r="B980" s="229"/>
      <c r="C980" s="230"/>
      <c r="D980" s="231"/>
      <c r="E980" s="157"/>
      <c r="F980" s="12"/>
    </row>
    <row r="981">
      <c r="A981" s="153"/>
      <c r="B981" s="229"/>
      <c r="C981" s="230"/>
      <c r="D981" s="231"/>
      <c r="E981" s="157"/>
      <c r="F981" s="12"/>
    </row>
    <row r="982">
      <c r="A982" s="153"/>
      <c r="B982" s="229"/>
      <c r="C982" s="230"/>
      <c r="D982" s="231"/>
      <c r="E982" s="157"/>
      <c r="F982" s="12"/>
    </row>
    <row r="983">
      <c r="A983" s="153"/>
      <c r="B983" s="229"/>
      <c r="C983" s="230"/>
      <c r="D983" s="231"/>
      <c r="E983" s="157"/>
      <c r="F983" s="12"/>
    </row>
    <row r="984">
      <c r="A984" s="153"/>
      <c r="B984" s="229"/>
      <c r="C984" s="230"/>
      <c r="D984" s="231"/>
      <c r="E984" s="157"/>
      <c r="F984" s="12"/>
    </row>
    <row r="985">
      <c r="A985" s="153"/>
      <c r="B985" s="229"/>
      <c r="C985" s="230"/>
      <c r="D985" s="231"/>
      <c r="E985" s="157"/>
      <c r="F985" s="12"/>
    </row>
    <row r="986">
      <c r="A986" s="153"/>
      <c r="B986" s="229"/>
      <c r="C986" s="230"/>
      <c r="D986" s="231"/>
      <c r="E986" s="157"/>
      <c r="F986" s="12"/>
    </row>
    <row r="987">
      <c r="A987" s="153"/>
      <c r="B987" s="229"/>
      <c r="C987" s="230"/>
      <c r="D987" s="231"/>
      <c r="E987" s="157"/>
      <c r="F987" s="12"/>
    </row>
    <row r="988">
      <c r="A988" s="153"/>
      <c r="B988" s="229"/>
      <c r="C988" s="230"/>
      <c r="D988" s="231"/>
      <c r="E988" s="157"/>
      <c r="F988" s="12"/>
    </row>
    <row r="989">
      <c r="A989" s="153"/>
      <c r="B989" s="229"/>
      <c r="C989" s="230"/>
      <c r="D989" s="231"/>
      <c r="E989" s="157"/>
      <c r="F989" s="12"/>
    </row>
    <row r="990">
      <c r="A990" s="153"/>
      <c r="B990" s="229"/>
      <c r="C990" s="230"/>
      <c r="D990" s="231"/>
      <c r="E990" s="157"/>
      <c r="F990" s="12"/>
    </row>
    <row r="991">
      <c r="A991" s="153"/>
      <c r="B991" s="229"/>
      <c r="C991" s="230"/>
      <c r="D991" s="231"/>
      <c r="E991" s="157"/>
      <c r="F991" s="12"/>
    </row>
    <row r="992">
      <c r="A992" s="153"/>
      <c r="B992" s="229"/>
      <c r="C992" s="230"/>
      <c r="D992" s="231"/>
      <c r="E992" s="157"/>
      <c r="F992" s="12"/>
    </row>
    <row r="993">
      <c r="A993" s="153"/>
      <c r="B993" s="229"/>
      <c r="C993" s="230"/>
      <c r="D993" s="231"/>
      <c r="E993" s="157"/>
      <c r="F993" s="12"/>
    </row>
    <row r="994">
      <c r="A994" s="153"/>
      <c r="B994" s="229"/>
      <c r="C994" s="230"/>
      <c r="D994" s="231"/>
      <c r="E994" s="157"/>
      <c r="F994" s="12"/>
    </row>
    <row r="995">
      <c r="A995" s="153"/>
      <c r="B995" s="229"/>
      <c r="C995" s="230"/>
      <c r="D995" s="231"/>
      <c r="E995" s="157"/>
      <c r="F995" s="12"/>
    </row>
    <row r="996">
      <c r="A996" s="153"/>
      <c r="B996" s="229"/>
      <c r="C996" s="230"/>
      <c r="D996" s="231"/>
      <c r="E996" s="157"/>
      <c r="F996" s="12"/>
    </row>
    <row r="997">
      <c r="A997" s="153"/>
      <c r="B997" s="229"/>
      <c r="C997" s="230"/>
      <c r="D997" s="231"/>
      <c r="E997" s="157"/>
      <c r="F997" s="12"/>
    </row>
    <row r="998">
      <c r="A998" s="153"/>
      <c r="B998" s="229"/>
      <c r="C998" s="230"/>
      <c r="D998" s="231"/>
      <c r="E998" s="157"/>
      <c r="F998" s="12"/>
    </row>
    <row r="999">
      <c r="A999" s="153"/>
      <c r="B999" s="229"/>
      <c r="C999" s="230"/>
      <c r="D999" s="231"/>
      <c r="E999" s="157"/>
      <c r="F999" s="12"/>
    </row>
    <row r="1000">
      <c r="A1000" s="153"/>
      <c r="B1000" s="229"/>
      <c r="C1000" s="230"/>
      <c r="D1000" s="231"/>
      <c r="E1000" s="157"/>
      <c r="F1000" s="12"/>
    </row>
    <row r="1001">
      <c r="A1001" s="153"/>
      <c r="B1001" s="229"/>
      <c r="C1001" s="230"/>
      <c r="D1001" s="231"/>
      <c r="E1001" s="157"/>
      <c r="F1001" s="12"/>
    </row>
    <row r="1002">
      <c r="A1002" s="153"/>
      <c r="B1002" s="229"/>
      <c r="C1002" s="230"/>
      <c r="D1002" s="231"/>
      <c r="E1002" s="157"/>
      <c r="F1002" s="12"/>
    </row>
    <row r="1003">
      <c r="A1003" s="153"/>
      <c r="B1003" s="229"/>
      <c r="C1003" s="230"/>
      <c r="D1003" s="231"/>
      <c r="E1003" s="157"/>
      <c r="F1003" s="12"/>
    </row>
    <row r="1004">
      <c r="A1004" s="153"/>
      <c r="B1004" s="229"/>
      <c r="C1004" s="230"/>
      <c r="D1004" s="231"/>
      <c r="E1004" s="157"/>
      <c r="F1004" s="12"/>
    </row>
    <row r="1005">
      <c r="A1005" s="153"/>
      <c r="B1005" s="229"/>
      <c r="C1005" s="230"/>
      <c r="D1005" s="231"/>
      <c r="E1005" s="157"/>
      <c r="F1005" s="12"/>
    </row>
    <row r="1006">
      <c r="A1006" s="153"/>
      <c r="B1006" s="229"/>
      <c r="C1006" s="230"/>
      <c r="D1006" s="231"/>
      <c r="E1006" s="157"/>
      <c r="F1006" s="12"/>
    </row>
    <row r="1007">
      <c r="A1007" s="153"/>
      <c r="B1007" s="229"/>
      <c r="C1007" s="230"/>
      <c r="D1007" s="231"/>
      <c r="E1007" s="157"/>
      <c r="F1007" s="12"/>
    </row>
    <row r="1008">
      <c r="A1008" s="153"/>
      <c r="B1008" s="229"/>
      <c r="C1008" s="230"/>
      <c r="D1008" s="231"/>
      <c r="E1008" s="157"/>
      <c r="F1008" s="12"/>
    </row>
  </sheetData>
  <mergeCells count="50">
    <mergeCell ref="A63:D63"/>
    <mergeCell ref="A64:D64"/>
    <mergeCell ref="A56:D56"/>
    <mergeCell ref="A57:D57"/>
    <mergeCell ref="A58:D58"/>
    <mergeCell ref="A59:D59"/>
    <mergeCell ref="A60:D60"/>
    <mergeCell ref="A61:D61"/>
    <mergeCell ref="A62:D62"/>
    <mergeCell ref="A2:G2"/>
    <mergeCell ref="A3:G3"/>
    <mergeCell ref="A4:G4"/>
    <mergeCell ref="A5:G5"/>
    <mergeCell ref="A6:G6"/>
    <mergeCell ref="I10:I12"/>
    <mergeCell ref="I13:I16"/>
    <mergeCell ref="A30:D30"/>
    <mergeCell ref="A31:D31"/>
    <mergeCell ref="A32:D32"/>
    <mergeCell ref="A29:D29"/>
    <mergeCell ref="A33:D33"/>
    <mergeCell ref="I19:I22"/>
    <mergeCell ref="I25:I26"/>
    <mergeCell ref="A27:D27"/>
    <mergeCell ref="I27:I28"/>
    <mergeCell ref="A28:D28"/>
    <mergeCell ref="I29:I31"/>
    <mergeCell ref="I32:I36"/>
    <mergeCell ref="A36:D36"/>
    <mergeCell ref="A34:D34"/>
    <mergeCell ref="A35:D35"/>
    <mergeCell ref="A37:D37"/>
    <mergeCell ref="A38:D38"/>
    <mergeCell ref="A39:D39"/>
    <mergeCell ref="A40:D40"/>
    <mergeCell ref="A41:D41"/>
    <mergeCell ref="A42:D42"/>
    <mergeCell ref="A43:D43"/>
    <mergeCell ref="A44:D44"/>
    <mergeCell ref="A45:D45"/>
    <mergeCell ref="A46:D46"/>
    <mergeCell ref="A47:D47"/>
    <mergeCell ref="A48:D48"/>
    <mergeCell ref="A49:D49"/>
    <mergeCell ref="A50:D50"/>
    <mergeCell ref="A51:D51"/>
    <mergeCell ref="A52:D52"/>
    <mergeCell ref="A53:D53"/>
    <mergeCell ref="A54:D54"/>
    <mergeCell ref="A55:D55"/>
  </mergeCells>
  <conditionalFormatting sqref="B9:D24">
    <cfRule type="expression" dxfId="13" priority="1">
      <formula>$A9="Yes!"</formula>
    </cfRule>
  </conditionalFormatting>
  <conditionalFormatting sqref="A9:A24">
    <cfRule type="containsText" dxfId="15" priority="2" operator="containsText" text="Yes">
      <formula>NOT(ISERROR(SEARCH(("Yes"),(A9))))</formula>
    </cfRule>
  </conditionalFormatting>
  <conditionalFormatting sqref="A9:A24">
    <cfRule type="containsText" dxfId="14" priority="3" operator="containsText" text="No">
      <formula>NOT(ISERROR(SEARCH(("No"),(A9))))</formula>
    </cfRule>
  </conditionalFormatting>
  <drawing r:id="rId4"/>
  <legacyDrawing r:id="rId5"/>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workbookViewId="0"/>
  </sheetViews>
  <sheetFormatPr customHeight="1" defaultColWidth="12.63" defaultRowHeight="15.75"/>
  <cols>
    <col customWidth="1" min="1" max="1" width="21.38"/>
    <col customWidth="1" min="2" max="2" width="15.13"/>
    <col customWidth="1" min="3" max="3" width="68.75"/>
    <col customWidth="1" min="4" max="4" width="9.0"/>
    <col customWidth="1" min="10" max="10" width="11.0"/>
  </cols>
  <sheetData>
    <row r="1">
      <c r="A1" s="385" t="str">
        <f>IFERROR(__xludf.DUMMYFUNCTION("IMPORTRANGE(""https://docs.google.com/spreadsheets/d/1PPFix0KE5FV0_ekB8X93l4fBTTlhI3_4FnP7klgfg_Y/edit?gid=0#gid=0"", ""Sythwan!a1:f100"")"),"SYTHWAN")</f>
        <v>SYTHWAN</v>
      </c>
      <c r="B1" s="387"/>
      <c r="C1" s="390" t="str">
        <f>IFERROR(__xludf.DUMMYFUNCTION("""COMPUTED_VALUE"""),"Silla (Lori Nadig)")</f>
        <v>Silla (Lori Nadig)</v>
      </c>
      <c r="D1" s="392"/>
      <c r="E1" s="392"/>
      <c r="F1" s="393"/>
      <c r="G1" s="393"/>
      <c r="H1" s="393"/>
      <c r="I1" s="393"/>
      <c r="J1" s="393"/>
      <c r="K1" s="392"/>
      <c r="L1" s="392"/>
      <c r="M1" s="392"/>
      <c r="N1" s="392"/>
      <c r="O1" s="392"/>
      <c r="P1" s="392"/>
      <c r="Q1" s="392"/>
      <c r="R1" s="392"/>
      <c r="S1" s="392"/>
      <c r="T1" s="392"/>
      <c r="U1" s="392"/>
      <c r="V1" s="392"/>
      <c r="W1" s="392"/>
      <c r="X1" s="392"/>
      <c r="Y1" s="392"/>
    </row>
    <row r="2">
      <c r="A2" s="214"/>
      <c r="B2" s="12"/>
      <c r="C2" s="137"/>
      <c r="D2" s="214"/>
      <c r="E2" s="260" t="str">
        <f>IFERROR(__xludf.DUMMYFUNCTION("""COMPUTED_VALUE"""),"Caster")</f>
        <v>Caster</v>
      </c>
      <c r="F2" s="214" t="str">
        <f>IFERROR(__xludf.DUMMYFUNCTION("""COMPUTED_VALUE"""),"Wormy; black robe, black and yellow tabard")</f>
        <v>Wormy; black robe, black and yellow tabard</v>
      </c>
    </row>
    <row r="3">
      <c r="A3" s="262" t="str">
        <f>IFERROR(__xludf.DUMMYFUNCTION("""COMPUTED_VALUE"""),"PARTY PATH")</f>
        <v>PARTY PATH</v>
      </c>
      <c r="B3" s="12"/>
      <c r="C3" s="137"/>
      <c r="D3" s="214"/>
      <c r="E3" s="260" t="str">
        <f>IFERROR(__xludf.DUMMYFUNCTION("""COMPUTED_VALUE"""),"Keeper")</f>
        <v>Keeper</v>
      </c>
      <c r="F3" s="214" t="str">
        <f>IFERROR(__xludf.DUMMYFUNCTION("""COMPUTED_VALUE"""),"Siobhan; Brown overvest, rust skirt")</f>
        <v>Siobhan; Brown overvest, rust skirt</v>
      </c>
    </row>
    <row r="4">
      <c r="A4" s="8" t="str">
        <f>IFERROR(__xludf.DUMMYFUNCTION("""COMPUTED_VALUE"""),"Character")</f>
        <v>Character</v>
      </c>
      <c r="B4" s="86" t="str">
        <f>IFERROR(__xludf.DUMMYFUNCTION("""COMPUTED_VALUE"""),"Gave Item/Info")</f>
        <v>Gave Item/Info</v>
      </c>
      <c r="C4" s="263" t="str">
        <f>IFERROR(__xludf.DUMMYFUNCTION("""COMPUTED_VALUE"""),"Notes")</f>
        <v>Notes</v>
      </c>
      <c r="D4" s="214"/>
      <c r="E4" s="260" t="str">
        <f>IFERROR(__xludf.DUMMYFUNCTION("""COMPUTED_VALUE"""),"Maker")</f>
        <v>Maker</v>
      </c>
      <c r="F4" s="214" t="str">
        <f>IFERROR(__xludf.DUMMYFUNCTION("""COMPUTED_VALUE"""),"Fennec; yellow tabard over green tunic")</f>
        <v>Fennec; yellow tabard over green tunic</v>
      </c>
    </row>
    <row r="5">
      <c r="A5" s="32" t="str">
        <f>IFERROR(__xludf.DUMMYFUNCTION("""COMPUTED_VALUE"""),"Pearl Bryce")</f>
        <v>Pearl Bryce</v>
      </c>
      <c r="B5" s="48" t="b">
        <f>IFERROR(__xludf.DUMMYFUNCTION("""COMPUTED_VALUE"""),TRUE)</f>
        <v>1</v>
      </c>
      <c r="C5" s="138" t="str">
        <f>IFERROR(__xludf.DUMMYFUNCTION("""COMPUTED_VALUE"""),"Very interested in everything at world's edge. Seem like the might fall for red herring, had to steer them a bit. Friday night-TB")</f>
        <v>Very interested in everything at world's edge. Seem like the might fall for red herring, had to steer them a bit. Friday night-TB</v>
      </c>
      <c r="D5" s="214"/>
      <c r="E5" s="260" t="str">
        <f>IFERROR(__xludf.DUMMYFUNCTION("""COMPUTED_VALUE"""),"Ranger")</f>
        <v>Ranger</v>
      </c>
      <c r="F5" s="214" t="str">
        <f>IFERROR(__xludf.DUMMYFUNCTION("""COMPUTED_VALUE"""),"Ilea; hunter green tunic")</f>
        <v>Ilea; hunter green tunic</v>
      </c>
    </row>
    <row r="6">
      <c r="A6" s="32" t="str">
        <f>IFERROR(__xludf.DUMMYFUNCTION("""COMPUTED_VALUE"""),"Poppy Golden")</f>
        <v>Poppy Golden</v>
      </c>
      <c r="B6" s="48" t="b">
        <f>IFERROR(__xludf.DUMMYFUNCTION("""COMPUTED_VALUE"""),TRUE)</f>
        <v>1</v>
      </c>
      <c r="C6" s="222" t="str">
        <f>IFERROR(__xludf.DUMMYFUNCTION("""COMPUTED_VALUE"""),"They already knew to talk to Melados and had talked to Miscellania about taking them — the ranger seemed to be going off and talking to a lot of different people? Not sure if the group was coordinating well. —LH")</f>
        <v>They already knew to talk to Melados and had talked to Miscellania about taking them — the ranger seemed to be going off and talking to a lot of different people? Not sure if the group was coordinating well. —LH</v>
      </c>
      <c r="D6" s="214"/>
      <c r="E6" s="260" t="str">
        <f>IFERROR(__xludf.DUMMYFUNCTION("""COMPUTED_VALUE"""),"Seeker")</f>
        <v>Seeker</v>
      </c>
      <c r="F6" s="214" t="str">
        <f>IFERROR(__xludf.DUMMYFUNCTION("""COMPUTED_VALUE"""),"Nil; gold, maroon and brown; monk vibes")</f>
        <v>Nil; gold, maroon and brown; monk vibes</v>
      </c>
    </row>
    <row r="7">
      <c r="A7" s="32" t="str">
        <f>IFERROR(__xludf.DUMMYFUNCTION("""COMPUTED_VALUE"""),"Miscellania")</f>
        <v>Miscellania</v>
      </c>
      <c r="B7" s="12" t="b">
        <f>IFERROR(__xludf.DUMMYFUNCTION("""COMPUTED_VALUE"""),FALSE)</f>
        <v>0</v>
      </c>
      <c r="C7" s="138"/>
      <c r="D7" s="214"/>
      <c r="E7" s="260" t="str">
        <f>IFERROR(__xludf.DUMMYFUNCTION("""COMPUTED_VALUE"""),"Traveler")</f>
        <v>Traveler</v>
      </c>
      <c r="F7" s="214" t="str">
        <f>IFERROR(__xludf.DUMMYFUNCTION("""COMPUTED_VALUE"""),"Leander; black hat w/yellow flowers")</f>
        <v>Leander; black hat w/yellow flowers</v>
      </c>
    </row>
    <row r="8">
      <c r="A8" s="32" t="str">
        <f>IFERROR(__xludf.DUMMYFUNCTION("""COMPUTED_VALUE"""),"Melados")</f>
        <v>Melados</v>
      </c>
      <c r="B8" s="48" t="b">
        <f>IFERROR(__xludf.DUMMYFUNCTION("""COMPUTED_VALUE"""),TRUE)</f>
        <v>1</v>
      </c>
      <c r="C8" s="138" t="str">
        <f>IFERROR(__xludf.DUMMYFUNCTION("""COMPUTED_VALUE"""),"Delightful party, great dynamics. Leander was most talkative; Seeker was most quiet. Group was VERY INTO LEARNING LORE MY GOODNESS")</f>
        <v>Delightful party, great dynamics. Leander was most talkative; Seeker was most quiet. Group was VERY INTO LEARNING LORE MY GOODNESS</v>
      </c>
      <c r="D8" s="214"/>
      <c r="E8" s="214"/>
      <c r="F8" s="214"/>
    </row>
    <row r="9">
      <c r="A9" s="32" t="str">
        <f>IFERROR(__xludf.DUMMYFUNCTION("""COMPUTED_VALUE"""),"Elliott Peacock")</f>
        <v>Elliott Peacock</v>
      </c>
      <c r="B9" s="48" t="b">
        <f>IFERROR(__xludf.DUMMYFUNCTION("""COMPUTED_VALUE"""),TRUE)</f>
        <v>1</v>
      </c>
      <c r="C9" s="222" t="str">
        <f>IFERROR(__xludf.DUMMYFUNCTION("""COMPUTED_VALUE"""),"Crushed the Perfect Square challenge, great communication. Gave the celadon egg (MR)")</f>
        <v>Crushed the Perfect Square challenge, great communication. Gave the celadon egg (MR)</v>
      </c>
      <c r="D9" s="214"/>
      <c r="E9" s="214"/>
      <c r="F9" s="214"/>
    </row>
    <row r="10">
      <c r="A10" s="32" t="str">
        <f>IFERROR(__xludf.DUMMYFUNCTION("""COMPUTED_VALUE"""),"Tinker Bill (Don't Give Item)")</f>
        <v>Tinker Bill (Don't Give Item)</v>
      </c>
      <c r="B10" s="48" t="b">
        <f>IFERROR(__xludf.DUMMYFUNCTION("""COMPUTED_VALUE"""),TRUE)</f>
        <v>1</v>
      </c>
      <c r="C10" s="138" t="str">
        <f>IFERROR(__xludf.DUMMYFUNCTION("""COMPUTED_VALUE"""),"Really fun story with good engagement, and a passionate plea for their need.  Seem very engaged.")</f>
        <v>Really fun story with good engagement, and a passionate plea for their need.  Seem very engaged.</v>
      </c>
      <c r="D10" s="214"/>
      <c r="E10" s="214"/>
      <c r="F10" s="214"/>
    </row>
    <row r="11">
      <c r="A11" s="32" t="str">
        <f>IFERROR(__xludf.DUMMYFUNCTION("""COMPUTED_VALUE"""),"Honoré Valerius")</f>
        <v>Honoré Valerius</v>
      </c>
      <c r="B11" s="48" t="b">
        <f>IFERROR(__xludf.DUMMYFUNCTION("""COMPUTED_VALUE"""),TRUE)</f>
        <v>1</v>
      </c>
      <c r="C11" s="138" t="str">
        <f>IFERROR(__xludf.DUMMYFUNCTION("""COMPUTED_VALUE"""),"In combat training we stressed this wasn't as ""payment"" for my mother's ring.  It was to make sure they survived to use such a precious item.")</f>
        <v>In combat training we stressed this wasn't as "payment" for my mother's ring.  It was to make sure they survived to use such a precious item.</v>
      </c>
      <c r="D11" s="214"/>
      <c r="E11" s="214"/>
      <c r="F11" s="214"/>
    </row>
    <row r="12">
      <c r="A12" s="214" t="str">
        <f>IFERROR(__xludf.DUMMYFUNCTION("""COMPUTED_VALUE"""),"Kazim Firestarter")</f>
        <v>Kazim Firestarter</v>
      </c>
      <c r="B12" s="48" t="b">
        <f>IFERROR(__xludf.DUMMYFUNCTION("""COMPUTED_VALUE"""),TRUE)</f>
        <v>1</v>
      </c>
      <c r="C12" s="138"/>
      <c r="D12" s="214"/>
      <c r="E12" s="214"/>
      <c r="F12" s="214"/>
    </row>
    <row r="13">
      <c r="A13" s="214" t="str">
        <f>IFERROR(__xludf.DUMMYFUNCTION("""COMPUTED_VALUE"""),"Ursula Smith")</f>
        <v>Ursula Smith</v>
      </c>
      <c r="B13" s="12" t="b">
        <f>IFERROR(__xludf.DUMMYFUNCTION("""COMPUTED_VALUE"""),TRUE)</f>
        <v>1</v>
      </c>
      <c r="C13" s="138"/>
      <c r="D13" s="214"/>
      <c r="E13" s="214"/>
      <c r="F13" s="214"/>
    </row>
    <row r="14">
      <c r="A14" s="214" t="str">
        <f>IFERROR(__xludf.DUMMYFUNCTION("""COMPUTED_VALUE"""),"Bonnie Stillwater")</f>
        <v>Bonnie Stillwater</v>
      </c>
      <c r="B14" s="12" t="b">
        <f>IFERROR(__xludf.DUMMYFUNCTION("""COMPUTED_VALUE"""),TRUE)</f>
        <v>1</v>
      </c>
      <c r="C14" s="138" t="str">
        <f>IFERROR(__xludf.DUMMYFUNCTION("""COMPUTED_VALUE"""),"They really engaged in the memorial challenge and were so kind jag")</f>
        <v>They really engaged in the memorial challenge and were so kind jag</v>
      </c>
      <c r="D14" s="214"/>
      <c r="E14" s="214"/>
      <c r="F14" s="214"/>
    </row>
    <row r="15">
      <c r="A15" s="32" t="str">
        <f>IFERROR(__xludf.DUMMYFUNCTION("""COMPUTED_VALUE"""),"Orion Wilde")</f>
        <v>Orion Wilde</v>
      </c>
      <c r="B15" s="12" t="b">
        <f>IFERROR(__xludf.DUMMYFUNCTION("""COMPUTED_VALUE"""),TRUE)</f>
        <v>1</v>
      </c>
      <c r="C15" s="138" t="str">
        <f>IFERROR(__xludf.DUMMYFUNCTION("""COMPUTED_VALUE"""),"Super engaged. All 6 spoke, invested in convincing Orion, very good at explaining need for moonstone shards, made truthful statement that they would treat with care but couldn't guarantee item return. --TR")</f>
        <v>Super engaged. All 6 spoke, invested in convincing Orion, very good at explaining need for moonstone shards, made truthful statement that they would treat with care but couldn't guarantee item return. --TR</v>
      </c>
      <c r="D15" s="214"/>
      <c r="E15" s="214"/>
      <c r="F15" s="214"/>
    </row>
    <row r="16">
      <c r="A16" s="214" t="str">
        <f>IFERROR(__xludf.DUMMYFUNCTION("""COMPUTED_VALUE"""),"Aria Morgan")</f>
        <v>Aria Morgan</v>
      </c>
      <c r="B16" s="12" t="b">
        <f>IFERROR(__xludf.DUMMYFUNCTION("""COMPUTED_VALUE"""),TRUE)</f>
        <v>1</v>
      </c>
      <c r="C16" s="137" t="str">
        <f>IFERROR(__xludf.DUMMYFUNCTION("""COMPUTED_VALUE"""),"Very empathetic- Lori told me to try to engage the rest of the party (the traveler has been doing most of the speaking), had them brainstorm ideas for Brimstone/Phil. Challenge- gave them the eternity pendant. They asked Brim. to help them come up with a "&amp;"new sandwich idea for their sandwich shop back in Arden- ""Lasagna Mealworm Sandwich"" DG")</f>
        <v>Very empathetic- Lori told me to try to engage the rest of the party (the traveler has been doing most of the speaking), had them brainstorm ideas for Brimstone/Phil. Challenge- gave them the eternity pendant. They asked Brim. to help them come up with a new sandwich idea for their sandwich shop back in Arden- "Lasagna Mealworm Sandwich" DG</v>
      </c>
      <c r="D16" s="214"/>
      <c r="E16" s="214"/>
      <c r="F16" s="214"/>
    </row>
    <row r="17">
      <c r="A17" s="216" t="str">
        <f>IFERROR(__xludf.DUMMYFUNCTION("""COMPUTED_VALUE"""),"Mind of a Madman")</f>
        <v>Mind of a Madman</v>
      </c>
      <c r="B17" s="216" t="b">
        <f>IFERROR(__xludf.DUMMYFUNCTION("""COMPUTED_VALUE"""),TRUE)</f>
        <v>1</v>
      </c>
      <c r="C17" s="137" t="str">
        <f>IFERROR(__xludf.DUMMYFUNCTION("""COMPUTED_VALUE"""),"They're a lovely group; they sang multiple songs and rounds while doing the Mind (KLH)")</f>
        <v>They're a lovely group; they sang multiple songs and rounds while doing the Mind (KLH)</v>
      </c>
      <c r="D17" s="214"/>
      <c r="E17" s="214"/>
      <c r="F17" s="214"/>
    </row>
    <row r="18">
      <c r="A18" s="216" t="str">
        <f>IFERROR(__xludf.DUMMYFUNCTION("""COMPUTED_VALUE"""),"Tinker Bill (Sunday)")</f>
        <v>Tinker Bill (Sunday)</v>
      </c>
      <c r="B18" s="232" t="b">
        <f>IFERROR(__xludf.DUMMYFUNCTION("""COMPUTED_VALUE"""),FALSE)</f>
        <v>0</v>
      </c>
      <c r="C18" s="263"/>
      <c r="D18" s="86"/>
      <c r="E18" s="214"/>
      <c r="F18" s="214"/>
    </row>
    <row r="19">
      <c r="A19" s="32" t="str">
        <f>IFERROR(__xludf.DUMMYFUNCTION("""COMPUTED_VALUE"""),"Ghost of Jon Golden")</f>
        <v>Ghost of Jon Golden</v>
      </c>
      <c r="B19" s="48" t="b">
        <f>IFERROR(__xludf.DUMMYFUNCTION("""COMPUTED_VALUE"""),FALSE)</f>
        <v>0</v>
      </c>
      <c r="C19" s="138"/>
      <c r="D19" s="12"/>
      <c r="E19" s="214"/>
      <c r="F19" s="214"/>
    </row>
    <row r="20">
      <c r="A20" s="32"/>
      <c r="B20" s="48"/>
      <c r="C20" s="138"/>
      <c r="D20" s="12"/>
      <c r="E20" s="214"/>
      <c r="F20" s="214"/>
    </row>
    <row r="21">
      <c r="A21" s="32"/>
      <c r="B21" s="48"/>
      <c r="C21" s="222"/>
      <c r="D21" s="12"/>
      <c r="E21" s="214"/>
      <c r="F21" s="214"/>
    </row>
    <row r="22">
      <c r="A22" s="32" t="str">
        <f>IFERROR(__xludf.DUMMYFUNCTION("""COMPUTED_VALUE"""),"CHARGE INFO")</f>
        <v>CHARGE INFO</v>
      </c>
      <c r="B22" s="48" t="str">
        <f>IFERROR(__xludf.DUMMYFUNCTION("""COMPUTED_VALUE"""),"(Huxley &amp; Quinoa)")</f>
        <v>(Huxley &amp; Quinoa)</v>
      </c>
      <c r="C22" s="138"/>
      <c r="D22" s="12"/>
      <c r="E22" s="214"/>
      <c r="F22" s="214"/>
    </row>
    <row r="23">
      <c r="A23" s="32" t="str">
        <f>IFERROR(__xludf.DUMMYFUNCTION("""COMPUTED_VALUE"""),"Character")</f>
        <v>Character</v>
      </c>
      <c r="B23" s="48" t="str">
        <f>IFERROR(__xludf.DUMMYFUNCTION("""COMPUTED_VALUE"""),"Gave Info")</f>
        <v>Gave Info</v>
      </c>
      <c r="C23" s="222" t="str">
        <f>IFERROR(__xludf.DUMMYFUNCTION("""COMPUTED_VALUE"""),"Notes")</f>
        <v>Notes</v>
      </c>
      <c r="D23" s="12"/>
      <c r="E23" s="214"/>
      <c r="F23" s="214"/>
    </row>
    <row r="24">
      <c r="A24" s="32" t="str">
        <f>IFERROR(__xludf.DUMMYFUNCTION("""COMPUTED_VALUE"""),"Solomon Stillwater")</f>
        <v>Solomon Stillwater</v>
      </c>
      <c r="B24" s="48" t="b">
        <f>IFERROR(__xludf.DUMMYFUNCTION("""COMPUTED_VALUE"""),TRUE)</f>
        <v>1</v>
      </c>
      <c r="C24" s="138" t="str">
        <f>IFERROR(__xludf.DUMMYFUNCTION("""COMPUTED_VALUE"""),"Nadav: Friday dinner: praised Huxley &amp; Quinoa for their hard work and how they essentially saved us in this busy weekend
Saturday lunch: assigned charge. 5 party members were on the porch with Sila, so looked like a good opportunity. They seemed quite rec"&amp;"eptive to it")</f>
        <v>Nadav: Friday dinner: praised Huxley &amp; Quinoa for their hard work and how they essentially saved us in this busy weekend
Saturday lunch: assigned charge. 5 party members were on the porch with Sila, so looked like a good opportunity. They seemed quite receptive to it</v>
      </c>
      <c r="D24" s="12"/>
      <c r="E24" s="214"/>
      <c r="F24" s="214"/>
    </row>
    <row r="25">
      <c r="A25" s="32" t="str">
        <f>IFERROR(__xludf.DUMMYFUNCTION("""COMPUTED_VALUE"""),"Bartleby Sprink")</f>
        <v>Bartleby Sprink</v>
      </c>
      <c r="B25" s="48" t="b">
        <f>IFERROR(__xludf.DUMMYFUNCTION("""COMPUTED_VALUE"""),TRUE)</f>
        <v>1</v>
      </c>
      <c r="C25" s="138"/>
      <c r="D25" s="12"/>
      <c r="E25" s="214"/>
      <c r="F25" s="214"/>
    </row>
    <row r="26">
      <c r="A26" s="32" t="str">
        <f>IFERROR(__xludf.DUMMYFUNCTION("""COMPUTED_VALUE"""),"Samuelson")</f>
        <v>Samuelson</v>
      </c>
      <c r="B26" s="48" t="b">
        <f>IFERROR(__xludf.DUMMYFUNCTION("""COMPUTED_VALUE"""),TRUE)</f>
        <v>1</v>
      </c>
      <c r="C26" s="138" t="str">
        <f>IFERROR(__xludf.DUMMYFUNCTION("""COMPUTED_VALUE"""),"Talked to full party right after Bartleby.  They are wondering if Huxley is an imposter or the letter is a fake.")</f>
        <v>Talked to full party right after Bartleby.  They are wondering if Huxley is an imposter or the letter is a fake.</v>
      </c>
      <c r="D26" s="12"/>
      <c r="E26" s="214"/>
      <c r="F26" s="214"/>
    </row>
    <row r="27">
      <c r="A27" s="32" t="str">
        <f>IFERROR(__xludf.DUMMYFUNCTION("""COMPUTED_VALUE"""),"Pansy Golden")</f>
        <v>Pansy Golden</v>
      </c>
      <c r="B27" s="48" t="b">
        <f>IFERROR(__xludf.DUMMYFUNCTION("""COMPUTED_VALUE"""),FALSE)</f>
        <v>0</v>
      </c>
      <c r="C27" s="138"/>
      <c r="D27" s="12"/>
      <c r="E27" s="214"/>
      <c r="F27" s="214"/>
    </row>
    <row r="28">
      <c r="A28" s="32" t="str">
        <f>IFERROR(__xludf.DUMMYFUNCTION("""COMPUTED_VALUE"""),"Nix Valerius")</f>
        <v>Nix Valerius</v>
      </c>
      <c r="B28" s="48" t="b">
        <f>IFERROR(__xludf.DUMMYFUNCTION("""COMPUTED_VALUE"""),TRUE)</f>
        <v>1</v>
      </c>
      <c r="C28" s="222" t="str">
        <f>IFERROR(__xludf.DUMMYFUNCTION("""COMPUTED_VALUE"""),"All listening attentively to info about Huxley being lost")</f>
        <v>All listening attentively to info about Huxley being lost</v>
      </c>
      <c r="D28" s="12"/>
      <c r="E28" s="214"/>
      <c r="F28" s="214"/>
    </row>
    <row r="29">
      <c r="A29" s="32" t="str">
        <f>IFERROR(__xludf.DUMMYFUNCTION("""COMPUTED_VALUE"""),"Huxley")</f>
        <v>Huxley</v>
      </c>
      <c r="B29" s="48" t="b">
        <f>IFERROR(__xludf.DUMMYFUNCTION("""COMPUTED_VALUE"""),TRUE)</f>
        <v>1</v>
      </c>
      <c r="C29" s="138" t="str">
        <f>IFERROR(__xludf.DUMMYFUNCTION("""COMPUTED_VALUE"""),"knows we aren't who we say we are. ")</f>
        <v>knows we aren't who we say we are. </v>
      </c>
      <c r="D29" s="12"/>
      <c r="E29" s="214"/>
      <c r="F29" s="214"/>
    </row>
    <row r="30">
      <c r="A30" s="32" t="str">
        <f>IFERROR(__xludf.DUMMYFUNCTION("""COMPUTED_VALUE"""),"Quinoa")</f>
        <v>Quinoa</v>
      </c>
      <c r="B30" s="48" t="b">
        <f>IFERROR(__xludf.DUMMYFUNCTION("""COMPUTED_VALUE"""),FALSE)</f>
        <v>0</v>
      </c>
      <c r="C30" s="138"/>
      <c r="D30" s="12"/>
      <c r="E30" s="214"/>
      <c r="F30" s="214"/>
    </row>
    <row r="31">
      <c r="A31" s="32" t="str">
        <f>IFERROR(__xludf.DUMMYFUNCTION("""COMPUTED_VALUE"""),"Mila")</f>
        <v>Mila</v>
      </c>
      <c r="B31" s="48" t="b">
        <f>IFERROR(__xludf.DUMMYFUNCTION("""COMPUTED_VALUE"""),FALSE)</f>
        <v>0</v>
      </c>
      <c r="C31" s="138"/>
      <c r="D31" s="12"/>
      <c r="E31" s="214"/>
      <c r="F31" s="214"/>
    </row>
    <row r="32">
      <c r="A32" s="32" t="str">
        <f>IFERROR(__xludf.DUMMYFUNCTION("""COMPUTED_VALUE"""),"Valentina")</f>
        <v>Valentina</v>
      </c>
      <c r="B32" s="48" t="b">
        <f>IFERROR(__xludf.DUMMYFUNCTION("""COMPUTED_VALUE"""),FALSE)</f>
        <v>0</v>
      </c>
      <c r="C32" s="138"/>
      <c r="D32" s="12"/>
      <c r="E32" s="214"/>
      <c r="F32" s="214"/>
    </row>
    <row r="33">
      <c r="A33" s="32" t="str">
        <f>IFERROR(__xludf.DUMMYFUNCTION("""COMPUTED_VALUE"""),"Kazmira")</f>
        <v>Kazmira</v>
      </c>
      <c r="B33" s="48" t="b">
        <f>IFERROR(__xludf.DUMMYFUNCTION("""COMPUTED_VALUE"""),FALSE)</f>
        <v>0</v>
      </c>
      <c r="C33" s="138"/>
      <c r="D33" s="12"/>
      <c r="E33" s="214"/>
      <c r="F33" s="214"/>
    </row>
    <row r="34">
      <c r="A34" s="32" t="str">
        <f>IFERROR(__xludf.DUMMYFUNCTION("""COMPUTED_VALUE"""),"Lenora Graves")</f>
        <v>Lenora Graves</v>
      </c>
      <c r="B34" s="48" t="b">
        <f>IFERROR(__xludf.DUMMYFUNCTION("""COMPUTED_VALUE"""),TRUE)</f>
        <v>1</v>
      </c>
      <c r="C34" s="138" t="str">
        <f>IFERROR(__xludf.DUMMYFUNCTION("""COMPUTED_VALUE"""),"They all listened attentively when I told them that Huxley isn't the Lord Huxley I met years ago. ")</f>
        <v>They all listened attentively when I told them that Huxley isn't the Lord Huxley I met years ago. </v>
      </c>
      <c r="D34" s="12"/>
      <c r="E34" s="214"/>
      <c r="F34" s="214"/>
    </row>
    <row r="35">
      <c r="A35" s="32" t="str">
        <f>IFERROR(__xludf.DUMMYFUNCTION("""COMPUTED_VALUE"""),"Kovi Woundtender")</f>
        <v>Kovi Woundtender</v>
      </c>
      <c r="B35" s="48" t="b">
        <f>IFERROR(__xludf.DUMMYFUNCTION("""COMPUTED_VALUE"""),FALSE)</f>
        <v>0</v>
      </c>
      <c r="C35" s="138"/>
      <c r="D35" s="12"/>
      <c r="E35" s="214"/>
      <c r="F35" s="214"/>
    </row>
    <row r="36">
      <c r="A36" s="32" t="str">
        <f>IFERROR(__xludf.DUMMYFUNCTION("""COMPUTED_VALUE"""),"Evelyn")</f>
        <v>Evelyn</v>
      </c>
      <c r="B36" s="48" t="b">
        <f>IFERROR(__xludf.DUMMYFUNCTION("""COMPUTED_VALUE"""),FALSE)</f>
        <v>0</v>
      </c>
      <c r="C36" s="138"/>
      <c r="D36" s="12"/>
      <c r="E36" s="214"/>
      <c r="F36" s="214"/>
    </row>
    <row r="37">
      <c r="A37" s="32" t="str">
        <f>IFERROR(__xludf.DUMMYFUNCTION("""COMPUTED_VALUE"""),"Kulinos")</f>
        <v>Kulinos</v>
      </c>
      <c r="B37" s="48" t="b">
        <f>IFERROR(__xludf.DUMMYFUNCTION("""COMPUTED_VALUE"""),TRUE)</f>
        <v>1</v>
      </c>
      <c r="C37" s="138"/>
      <c r="D37" s="12"/>
      <c r="E37" s="214"/>
      <c r="F37" s="214"/>
    </row>
    <row r="38">
      <c r="A38" s="32" t="str">
        <f>IFERROR(__xludf.DUMMYFUNCTION("""COMPUTED_VALUE"""),"Teknos")</f>
        <v>Teknos</v>
      </c>
      <c r="B38" s="48" t="b">
        <f>IFERROR(__xludf.DUMMYFUNCTION("""COMPUTED_VALUE"""),FALSE)</f>
        <v>0</v>
      </c>
      <c r="C38" s="138" t="str">
        <f>IFERROR(__xludf.DUMMYFUNCTION("""COMPUTED_VALUE"""),"Did not connect at lunch :-/")</f>
        <v>Did not connect at lunch :-/</v>
      </c>
      <c r="D38" s="12"/>
      <c r="E38" s="214"/>
      <c r="F38" s="214"/>
    </row>
    <row r="39">
      <c r="A39" s="32" t="str">
        <f>IFERROR(__xludf.DUMMYFUNCTION("""COMPUTED_VALUE"""),"Bailey")</f>
        <v>Bailey</v>
      </c>
      <c r="B39" s="48" t="b">
        <f>IFERROR(__xludf.DUMMYFUNCTION("""COMPUTED_VALUE"""),FALSE)</f>
        <v>0</v>
      </c>
      <c r="C39" s="138"/>
      <c r="D39" s="12"/>
      <c r="E39" s="214"/>
      <c r="F39" s="214"/>
    </row>
    <row r="40">
      <c r="A40" s="32" t="str">
        <f>IFERROR(__xludf.DUMMYFUNCTION("""COMPUTED_VALUE"""),"Diesel")</f>
        <v>Diesel</v>
      </c>
      <c r="B40" s="48" t="b">
        <f>IFERROR(__xludf.DUMMYFUNCTION("""COMPUTED_VALUE"""),FALSE)</f>
        <v>0</v>
      </c>
      <c r="C40" s="138"/>
      <c r="D40" s="12"/>
      <c r="E40" s="214"/>
      <c r="F40" s="214"/>
    </row>
    <row r="41">
      <c r="A41" s="32" t="str">
        <f>IFERROR(__xludf.DUMMYFUNCTION("""COMPUTED_VALUE"""),"Phineas Smirch (item)")</f>
        <v>Phineas Smirch (item)</v>
      </c>
      <c r="B41" s="48" t="b">
        <f>IFERROR(__xludf.DUMMYFUNCTION("""COMPUTED_VALUE"""),FALSE)</f>
        <v>0</v>
      </c>
      <c r="C41" s="138"/>
      <c r="D41" s="12"/>
      <c r="E41" s="214"/>
      <c r="F41" s="214"/>
    </row>
    <row r="42">
      <c r="A42" s="32" t="str">
        <f>IFERROR(__xludf.DUMMYFUNCTION("""COMPUTED_VALUE"""),"Carmina Bordeaux (item)")</f>
        <v>Carmina Bordeaux (item)</v>
      </c>
      <c r="B42" s="48" t="b">
        <f>IFERROR(__xludf.DUMMYFUNCTION("""COMPUTED_VALUE"""),TRUE)</f>
        <v>1</v>
      </c>
      <c r="C42" s="138"/>
      <c r="D42" s="12"/>
      <c r="E42" s="214"/>
      <c r="F42" s="214"/>
    </row>
    <row r="43">
      <c r="A43" s="32" t="str">
        <f>IFERROR(__xludf.DUMMYFUNCTION("""COMPUTED_VALUE"""),"Vernon Gill (item)")</f>
        <v>Vernon Gill (item)</v>
      </c>
      <c r="B43" s="48" t="b">
        <f>IFERROR(__xludf.DUMMYFUNCTION("""COMPUTED_VALUE"""),FALSE)</f>
        <v>0</v>
      </c>
      <c r="C43" s="138"/>
      <c r="D43" s="12"/>
      <c r="E43" s="214"/>
      <c r="F43" s="214"/>
    </row>
    <row r="44">
      <c r="A44" s="32" t="str">
        <f>IFERROR(__xludf.DUMMYFUNCTION("""COMPUTED_VALUE"""),"Phineas Smirch (identity theft)")</f>
        <v>Phineas Smirch (identity theft)</v>
      </c>
      <c r="B44" s="48" t="b">
        <f>IFERROR(__xludf.DUMMYFUNCTION("""COMPUTED_VALUE"""),FALSE)</f>
        <v>0</v>
      </c>
      <c r="C44" s="138"/>
      <c r="D44" s="12"/>
      <c r="E44" s="214"/>
      <c r="F44" s="214"/>
    </row>
    <row r="45">
      <c r="A45" s="32" t="str">
        <f>IFERROR(__xludf.DUMMYFUNCTION("""COMPUTED_VALUE"""),"Carmina Bordeaux (identity theft)")</f>
        <v>Carmina Bordeaux (identity theft)</v>
      </c>
      <c r="B45" s="48" t="b">
        <f>IFERROR(__xludf.DUMMYFUNCTION("""COMPUTED_VALUE"""),FALSE)</f>
        <v>0</v>
      </c>
      <c r="C45" s="138"/>
      <c r="D45" s="12"/>
      <c r="E45" s="214"/>
      <c r="F45" s="214"/>
    </row>
    <row r="46">
      <c r="A46" s="32" t="str">
        <f>IFERROR(__xludf.DUMMYFUNCTION("""COMPUTED_VALUE"""),"Vernon Gill (identity theft)")</f>
        <v>Vernon Gill (identity theft)</v>
      </c>
      <c r="B46" s="48" t="b">
        <f>IFERROR(__xludf.DUMMYFUNCTION("""COMPUTED_VALUE"""),FALSE)</f>
        <v>0</v>
      </c>
      <c r="C46" s="138"/>
      <c r="D46" s="12"/>
      <c r="E46" s="214"/>
      <c r="F46" s="214"/>
    </row>
    <row r="47">
      <c r="A47" s="214" t="str">
        <f>IFERROR(__xludf.DUMMYFUNCTION("""COMPUTED_VALUE"""),"Huxley/Quinoa")</f>
        <v>Huxley/Quinoa</v>
      </c>
      <c r="B47" s="12" t="b">
        <f>IFERROR(__xludf.DUMMYFUNCTION("""COMPUTED_VALUE"""),TRUE)</f>
        <v>1</v>
      </c>
      <c r="C47" s="137" t="str">
        <f>IFERROR(__xludf.DUMMYFUNCTION("""COMPUTED_VALUE"""),"Asked the maker if he knew where I could find a favor from the court of mirrors. He knew!")</f>
        <v>Asked the maker if he knew where I could find a favor from the court of mirrors. He knew!</v>
      </c>
      <c r="D47" s="214"/>
      <c r="E47" s="214"/>
      <c r="F47" s="214"/>
    </row>
    <row r="48">
      <c r="A48" s="214" t="str">
        <f>IFERROR(__xludf.DUMMYFUNCTION("""COMPUTED_VALUE"""),"Brimstone")</f>
        <v>Brimstone</v>
      </c>
      <c r="B48" s="12" t="b">
        <f>IFERROR(__xludf.DUMMYFUNCTION("""COMPUTED_VALUE"""),FALSE)</f>
        <v>0</v>
      </c>
      <c r="C48" s="137" t="str">
        <f>IFERROR(__xludf.DUMMYFUNCTION("""COMPUTED_VALUE"""),"Couldn't grab em before they headed to soul speaking, I can try again this morning. - ZT")</f>
        <v>Couldn't grab em before they headed to soul speaking, I can try again this morning. - ZT</v>
      </c>
      <c r="D48" s="214"/>
      <c r="E48" s="214"/>
      <c r="F48" s="214"/>
    </row>
    <row r="49">
      <c r="A49" s="214" t="str">
        <f>IFERROR(__xludf.DUMMYFUNCTION("""COMPUTED_VALUE"""),"Bartleby Sprink")</f>
        <v>Bartleby Sprink</v>
      </c>
      <c r="B49" s="12" t="b">
        <f>IFERROR(__xludf.DUMMYFUNCTION("""COMPUTED_VALUE"""),FALSE)</f>
        <v>0</v>
      </c>
      <c r="C49" s="137"/>
      <c r="D49" s="214"/>
      <c r="E49" s="214"/>
      <c r="F49" s="214"/>
    </row>
    <row r="50">
      <c r="A50" s="214" t="str">
        <f>IFERROR(__xludf.DUMMYFUNCTION("""COMPUTED_VALUE"""),"Revelations")</f>
        <v>Revelations</v>
      </c>
      <c r="B50" s="12"/>
      <c r="C50" s="137"/>
      <c r="D50" s="214"/>
      <c r="E50" s="214"/>
      <c r="F50" s="214"/>
    </row>
    <row r="51">
      <c r="A51" s="214" t="str">
        <f>IFERROR(__xludf.DUMMYFUNCTION("""COMPUTED_VALUE"""),"Anotherworld Adventure Weekend Party")</f>
        <v>Anotherworld Adventure Weekend Party</v>
      </c>
      <c r="B51" s="12" t="b">
        <f>IFERROR(__xludf.DUMMYFUNCTION("""COMPUTED_VALUE"""),FALSE)</f>
        <v>0</v>
      </c>
      <c r="C51" s="137"/>
      <c r="D51" s="214"/>
      <c r="E51" s="214"/>
      <c r="F51" s="214"/>
    </row>
    <row r="52">
      <c r="A52" s="214" t="str">
        <f>IFERROR(__xludf.DUMMYFUNCTION("""COMPUTED_VALUE"""),"Poppy Golden")</f>
        <v>Poppy Golden</v>
      </c>
      <c r="B52" s="12" t="b">
        <f>IFERROR(__xludf.DUMMYFUNCTION("""COMPUTED_VALUE"""),FALSE)</f>
        <v>0</v>
      </c>
      <c r="C52" s="137"/>
      <c r="D52" s="214"/>
      <c r="E52" s="214"/>
      <c r="F52" s="214"/>
    </row>
    <row r="53">
      <c r="A53" s="214"/>
      <c r="B53" s="12"/>
      <c r="C53" s="137"/>
      <c r="D53" s="214"/>
      <c r="E53" s="214"/>
      <c r="F53" s="214"/>
    </row>
    <row r="54">
      <c r="A54" s="214" t="str">
        <f>IFERROR(__xludf.DUMMYFUNCTION("""COMPUTED_VALUE"""),"GENERAL NOTES")</f>
        <v>GENERAL NOTES</v>
      </c>
      <c r="B54" s="12"/>
      <c r="C54" s="137"/>
      <c r="D54" s="214"/>
      <c r="E54" s="214"/>
      <c r="F54" s="214"/>
    </row>
    <row r="55">
      <c r="A55" s="214" t="str">
        <f>IFERROR(__xludf.DUMMYFUNCTION("""COMPUTED_VALUE"""),"Heard that the traveler (Leander) might be a little shy; had a lovely talk with her at the campfire.  --Lance, 11pm Friday")</f>
        <v>Heard that the traveler (Leander) might be a little shy; had a lovely talk with her at the campfire.  --Lance, 11pm Friday</v>
      </c>
      <c r="B55" s="12"/>
      <c r="C55" s="137"/>
      <c r="D55" s="214"/>
      <c r="E55" s="214"/>
      <c r="F55" s="214"/>
    </row>
    <row r="56">
      <c r="A56" s="214" t="str">
        <f>IFERROR(__xludf.DUMMYFUNCTION("""COMPUTED_VALUE"""),"They worked together very well in the marble challenge - Betsy")</f>
        <v>They worked together very well in the marble challenge - Betsy</v>
      </c>
      <c r="B56" s="12"/>
      <c r="C56" s="137"/>
      <c r="D56" s="214"/>
      <c r="E56" s="214"/>
      <c r="F56" s="214"/>
    </row>
    <row r="57">
      <c r="A57" s="214" t="str">
        <f>IFERROR(__xludf.DUMMYFUNCTION("""COMPUTED_VALUE"""),"Joined with Waylon to fight chitters.  Ranger did a great job soothing me.  Complimented my horns - Peggy Saturday 8-10")</f>
        <v>Joined with Waylon to fight chitters.  Ranger did a great job soothing me.  Complimented my horns - Peggy Saturday 8-10</v>
      </c>
      <c r="B57" s="12"/>
      <c r="C57" s="137"/>
      <c r="D57" s="214"/>
      <c r="E57" s="214"/>
      <c r="F57" s="214"/>
    </row>
    <row r="58">
      <c r="A58" s="214" t="str">
        <f>IFERROR(__xludf.DUMMYFUNCTION("""COMPUTED_VALUE"""),"party photo taken -Mirin")</f>
        <v>party photo taken -Mirin</v>
      </c>
      <c r="B58" s="12"/>
      <c r="C58" s="137"/>
      <c r="D58" s="214"/>
      <c r="E58" s="214"/>
      <c r="F58" s="214"/>
    </row>
    <row r="59">
      <c r="A59" s="214" t="str">
        <f>IFERROR(__xludf.DUMMYFUNCTION("""COMPUTED_VALUE"""),"They are SUPER with it; noticed Orion's necklace quickly, all spoke to convince, nobody was being quiet, etc.  Happy to share information about their quest to see if we could help. Very friendly and attentive.  Traveler wrote down all our names with exact"&amp;" spelling.  --TR Also asked us for a verse for their song (Drop of Nelson's Blood) - PO")</f>
        <v>They are SUPER with it; noticed Orion's necklace quickly, all spoke to convince, nobody was being quiet, etc.  Happy to share information about their quest to see if we could help. Very friendly and attentive.  Traveler wrote down all our names with exact spelling.  --TR Also asked us for a verse for their song (Drop of Nelson's Blood) - PO</v>
      </c>
      <c r="B59" s="12"/>
      <c r="C59" s="137"/>
      <c r="D59" s="214"/>
      <c r="E59" s="214"/>
      <c r="F59" s="214"/>
    </row>
    <row r="60">
      <c r="A60" s="214" t="str">
        <f>IFERROR(__xludf.DUMMYFUNCTION("""COMPUTED_VALUE"""),"They were very successful in the philanthropy challenge, had Brimstone invent a sandwich and then paid royalties. - ZT")</f>
        <v>They were very successful in the philanthropy challenge, had Brimstone invent a sandwich and then paid royalties. - ZT</v>
      </c>
      <c r="B60" s="12"/>
      <c r="C60" s="137"/>
      <c r="D60" s="214"/>
      <c r="E60" s="214"/>
      <c r="F60" s="214"/>
    </row>
    <row r="61">
      <c r="A61" s="214" t="str">
        <f>IFERROR(__xludf.DUMMYFUNCTION("""COMPUTED_VALUE"""),"Cooke Golden page story told to single r Eason in party")</f>
        <v>Cooke Golden page story told to single r Eason in party</v>
      </c>
      <c r="B61" s="12"/>
      <c r="C61" s="137"/>
      <c r="D61" s="214"/>
      <c r="E61" s="214"/>
      <c r="F61" s="214"/>
    </row>
    <row r="62">
      <c r="A62" s="214" t="str">
        <f>IFERROR(__xludf.DUMMYFUNCTION("""COMPUTED_VALUE"""),"Invested in the Huxley/Quinoa charge as of Saturday around 2pm. Asked us when we got to town, whether there could be more than one Huxley in the world. - Janet")</f>
        <v>Invested in the Huxley/Quinoa charge as of Saturday around 2pm. Asked us when we got to town, whether there could be more than one Huxley in the world. - Janet</v>
      </c>
      <c r="B62" s="12"/>
      <c r="C62" s="137"/>
      <c r="D62" s="214"/>
      <c r="E62" s="214"/>
      <c r="F62" s="214"/>
    </row>
    <row r="63">
      <c r="A63" s="214" t="str">
        <f>IFERROR(__xludf.DUMMYFUNCTION("""COMPUTED_VALUE"""),"Had a long chat with Siobhan (sp?) on porch while she was resting and gfroup went out. Watched the bridesmaids. Group had used up all free hits; some played Ander games as we watched. ek")</f>
        <v>Had a long chat with Siobhan (sp?) on porch while she was resting and gfroup went out. Watched the bridesmaids. Group had used up all free hits; some played Ander games as we watched. ek</v>
      </c>
      <c r="B63" s="12"/>
      <c r="C63" s="137"/>
      <c r="D63" s="214"/>
      <c r="E63" s="214"/>
      <c r="F63" s="214"/>
    </row>
    <row r="64">
      <c r="A64" s="214" t="str">
        <f>IFERROR(__xludf.DUMMYFUNCTION("""COMPUTED_VALUE"""),"(edited for pronouns) Ander 8; after having played already &amp; later hoping to play again &amp; get more free hits, we said ""one party-one game""; the Seeker (I think, based on description of garb) asked if we would like to learn a game, and they proceeded to "&amp;"teach the Anders a new game - very positive.  We gave them one free hit (unexpected by them) as a thank you for the new game.  They were proud when returning to their group &amp; relating what had happened. 5:30pm MO")</f>
        <v>(edited for pronouns) Ander 8; after having played already &amp; later hoping to play again &amp; get more free hits, we said "one party-one game"; the Seeker (I think, based on description of garb) asked if we would like to learn a game, and they proceeded to teach the Anders a new game - very positive.  We gave them one free hit (unexpected by them) as a thank you for the new game.  They were proud when returning to their group &amp; relating what had happened. 5:30pm MO</v>
      </c>
      <c r="B64" s="12"/>
      <c r="C64" s="137"/>
      <c r="D64" s="214"/>
      <c r="E64" s="214"/>
      <c r="F64" s="214"/>
    </row>
    <row r="65">
      <c r="A65" s="214" t="str">
        <f>IFERROR(__xludf.DUMMYFUNCTION("""COMPUTED_VALUE"""),"Amazing cup of insight - folks cried, question about a trait you wouldn't pass on was difficult for some but they supported each other. ALSO amazing job at Mind of a Mad Man, sang &amp; worked together really well. - Kels")</f>
        <v>Amazing cup of insight - folks cried, question about a trait you wouldn't pass on was difficult for some but they supported each other. ALSO amazing job at Mind of a Mad Man, sang &amp; worked together really well. - Kels</v>
      </c>
      <c r="B65" s="12"/>
      <c r="C65" s="137"/>
      <c r="D65" s="214"/>
      <c r="E65" s="214"/>
      <c r="F65" s="214"/>
    </row>
    <row r="66">
      <c r="A66" s="214"/>
      <c r="B66" s="12"/>
      <c r="C66" s="137"/>
      <c r="D66" s="214"/>
      <c r="E66" s="214"/>
      <c r="F66" s="214"/>
    </row>
    <row r="67">
      <c r="A67" s="214"/>
      <c r="B67" s="12"/>
      <c r="C67" s="137"/>
      <c r="D67" s="214"/>
      <c r="E67" s="214"/>
      <c r="F67" s="214"/>
    </row>
    <row r="68">
      <c r="A68" s="214"/>
      <c r="B68" s="12"/>
      <c r="C68" s="137"/>
      <c r="D68" s="214"/>
      <c r="E68" s="214"/>
      <c r="F68" s="214"/>
    </row>
    <row r="69">
      <c r="A69" s="214"/>
      <c r="B69" s="12"/>
      <c r="C69" s="137"/>
      <c r="D69" s="214"/>
      <c r="E69" s="214"/>
      <c r="F69" s="214"/>
    </row>
    <row r="70">
      <c r="A70" s="214"/>
      <c r="B70" s="12"/>
      <c r="C70" s="137"/>
      <c r="D70" s="214"/>
      <c r="E70" s="214"/>
      <c r="F70" s="214"/>
    </row>
    <row r="71">
      <c r="A71" s="214"/>
      <c r="B71" s="12"/>
      <c r="C71" s="137"/>
      <c r="D71" s="214"/>
      <c r="E71" s="214"/>
      <c r="F71" s="214"/>
    </row>
    <row r="72">
      <c r="A72" s="214"/>
      <c r="B72" s="12"/>
      <c r="C72" s="137"/>
      <c r="D72" s="214"/>
      <c r="E72" s="214"/>
      <c r="F72" s="214"/>
    </row>
    <row r="73">
      <c r="A73" s="214"/>
      <c r="B73" s="12"/>
      <c r="C73" s="137"/>
      <c r="D73" s="214"/>
      <c r="E73" s="214"/>
      <c r="F73" s="214"/>
    </row>
    <row r="74">
      <c r="A74" s="214"/>
      <c r="B74" s="12"/>
      <c r="C74" s="137"/>
      <c r="D74" s="214"/>
      <c r="E74" s="214"/>
      <c r="F74" s="214"/>
    </row>
    <row r="75">
      <c r="A75" s="214"/>
      <c r="B75" s="12"/>
      <c r="C75" s="137"/>
      <c r="D75" s="214"/>
      <c r="E75" s="214"/>
      <c r="F75" s="214"/>
    </row>
    <row r="76">
      <c r="A76" s="214"/>
      <c r="B76" s="12"/>
      <c r="C76" s="137"/>
      <c r="D76" s="214"/>
      <c r="E76" s="214"/>
      <c r="F76" s="214"/>
    </row>
    <row r="77">
      <c r="A77" s="214"/>
      <c r="B77" s="12"/>
      <c r="C77" s="137"/>
      <c r="D77" s="214"/>
      <c r="E77" s="214"/>
      <c r="F77" s="214"/>
    </row>
    <row r="78">
      <c r="A78" s="214"/>
      <c r="B78" s="12"/>
      <c r="C78" s="137"/>
      <c r="D78" s="214"/>
      <c r="E78" s="214"/>
      <c r="F78" s="214"/>
    </row>
    <row r="79">
      <c r="A79" s="214"/>
      <c r="B79" s="12"/>
      <c r="C79" s="137"/>
      <c r="D79" s="214"/>
      <c r="E79" s="214"/>
      <c r="F79" s="214"/>
    </row>
    <row r="80">
      <c r="B80" s="12"/>
      <c r="C80" s="137"/>
    </row>
    <row r="81">
      <c r="B81" s="12"/>
      <c r="C81" s="137"/>
    </row>
    <row r="82">
      <c r="B82" s="12"/>
      <c r="C82" s="137"/>
    </row>
    <row r="83">
      <c r="B83" s="12"/>
      <c r="C83" s="137"/>
    </row>
    <row r="84">
      <c r="B84" s="12"/>
      <c r="C84" s="137"/>
    </row>
    <row r="85">
      <c r="B85" s="12"/>
      <c r="C85" s="137"/>
    </row>
    <row r="86">
      <c r="B86" s="12"/>
      <c r="C86" s="137"/>
    </row>
    <row r="87">
      <c r="B87" s="12"/>
      <c r="C87" s="137"/>
    </row>
    <row r="88">
      <c r="B88" s="12"/>
      <c r="C88" s="137"/>
    </row>
    <row r="89">
      <c r="B89" s="12"/>
      <c r="C89" s="137"/>
    </row>
    <row r="90">
      <c r="B90" s="12"/>
      <c r="C90" s="137"/>
    </row>
    <row r="91">
      <c r="B91" s="12"/>
      <c r="C91" s="137"/>
    </row>
    <row r="92">
      <c r="B92" s="12"/>
      <c r="C92" s="137"/>
    </row>
    <row r="93">
      <c r="B93" s="12"/>
      <c r="C93" s="137"/>
    </row>
    <row r="94">
      <c r="B94" s="12"/>
      <c r="C94" s="137"/>
    </row>
    <row r="95">
      <c r="B95" s="12"/>
      <c r="C95" s="137"/>
    </row>
    <row r="96">
      <c r="B96" s="12"/>
      <c r="C96" s="137"/>
    </row>
    <row r="97">
      <c r="B97" s="12"/>
      <c r="C97" s="137"/>
    </row>
    <row r="98">
      <c r="B98" s="12"/>
      <c r="C98" s="137"/>
    </row>
    <row r="99">
      <c r="B99" s="12"/>
      <c r="C99" s="137"/>
    </row>
    <row r="100">
      <c r="B100" s="12"/>
      <c r="C100" s="137"/>
    </row>
    <row r="101">
      <c r="B101" s="12"/>
      <c r="C101" s="137"/>
    </row>
    <row r="102">
      <c r="B102" s="12"/>
      <c r="C102" s="137"/>
    </row>
    <row r="103">
      <c r="B103" s="12"/>
      <c r="C103" s="137"/>
    </row>
    <row r="104">
      <c r="B104" s="12"/>
      <c r="C104" s="137"/>
    </row>
    <row r="105">
      <c r="B105" s="12"/>
      <c r="C105" s="137"/>
    </row>
    <row r="106">
      <c r="B106" s="12"/>
      <c r="C106" s="137"/>
    </row>
    <row r="107">
      <c r="B107" s="12"/>
      <c r="C107" s="137"/>
    </row>
    <row r="108">
      <c r="B108" s="12"/>
      <c r="C108" s="137"/>
    </row>
    <row r="109">
      <c r="B109" s="12"/>
      <c r="C109" s="137"/>
    </row>
    <row r="110">
      <c r="B110" s="12"/>
      <c r="C110" s="137"/>
    </row>
    <row r="111">
      <c r="B111" s="12"/>
      <c r="C111" s="137"/>
    </row>
    <row r="112">
      <c r="B112" s="12"/>
      <c r="C112" s="137"/>
    </row>
    <row r="113">
      <c r="B113" s="12"/>
      <c r="C113" s="137"/>
    </row>
    <row r="114">
      <c r="B114" s="12"/>
      <c r="C114" s="137"/>
    </row>
    <row r="115">
      <c r="B115" s="12"/>
      <c r="C115" s="137"/>
    </row>
    <row r="116">
      <c r="B116" s="12"/>
      <c r="C116" s="137"/>
    </row>
    <row r="117">
      <c r="B117" s="12"/>
      <c r="C117" s="137"/>
    </row>
    <row r="118">
      <c r="B118" s="12"/>
      <c r="C118" s="137"/>
    </row>
    <row r="119">
      <c r="B119" s="12"/>
      <c r="C119" s="137"/>
    </row>
    <row r="120">
      <c r="B120" s="12"/>
      <c r="C120" s="137"/>
    </row>
    <row r="121">
      <c r="B121" s="12"/>
      <c r="C121" s="137"/>
    </row>
    <row r="122">
      <c r="B122" s="12"/>
      <c r="C122" s="137"/>
    </row>
    <row r="123">
      <c r="B123" s="12"/>
      <c r="C123" s="137"/>
    </row>
    <row r="124">
      <c r="B124" s="12"/>
      <c r="C124" s="137"/>
    </row>
    <row r="125">
      <c r="B125" s="12"/>
      <c r="C125" s="137"/>
    </row>
    <row r="126">
      <c r="B126" s="12"/>
      <c r="C126" s="137"/>
    </row>
    <row r="127">
      <c r="B127" s="12"/>
      <c r="C127" s="137"/>
    </row>
    <row r="128">
      <c r="B128" s="12"/>
      <c r="C128" s="137"/>
    </row>
    <row r="129">
      <c r="B129" s="12"/>
      <c r="C129" s="137"/>
    </row>
    <row r="130">
      <c r="B130" s="12"/>
      <c r="C130" s="137"/>
    </row>
    <row r="131">
      <c r="B131" s="12"/>
      <c r="C131" s="137"/>
    </row>
    <row r="132">
      <c r="B132" s="12"/>
      <c r="C132" s="137"/>
    </row>
    <row r="133">
      <c r="B133" s="12"/>
      <c r="C133" s="137"/>
    </row>
    <row r="134">
      <c r="B134" s="12"/>
      <c r="C134" s="137"/>
    </row>
    <row r="135">
      <c r="B135" s="12"/>
      <c r="C135" s="137"/>
    </row>
    <row r="136">
      <c r="B136" s="12"/>
      <c r="C136" s="137"/>
    </row>
    <row r="137">
      <c r="B137" s="12"/>
      <c r="C137" s="137"/>
    </row>
    <row r="138">
      <c r="B138" s="12"/>
      <c r="C138" s="137"/>
    </row>
    <row r="139">
      <c r="B139" s="12"/>
      <c r="C139" s="137"/>
    </row>
    <row r="140">
      <c r="B140" s="12"/>
      <c r="C140" s="137"/>
    </row>
    <row r="141">
      <c r="B141" s="12"/>
      <c r="C141" s="137"/>
    </row>
    <row r="142">
      <c r="B142" s="12"/>
      <c r="C142" s="137"/>
    </row>
    <row r="143">
      <c r="B143" s="12"/>
      <c r="C143" s="137"/>
    </row>
    <row r="144">
      <c r="B144" s="12"/>
      <c r="C144" s="137"/>
    </row>
    <row r="145">
      <c r="B145" s="12"/>
      <c r="C145" s="137"/>
    </row>
    <row r="146">
      <c r="B146" s="12"/>
      <c r="C146" s="137"/>
    </row>
    <row r="147">
      <c r="B147" s="12"/>
      <c r="C147" s="137"/>
    </row>
    <row r="148">
      <c r="B148" s="12"/>
      <c r="C148" s="137"/>
    </row>
    <row r="149">
      <c r="B149" s="12"/>
      <c r="C149" s="137"/>
    </row>
    <row r="150">
      <c r="B150" s="12"/>
      <c r="C150" s="137"/>
    </row>
    <row r="151">
      <c r="B151" s="12"/>
      <c r="C151" s="137"/>
    </row>
    <row r="152">
      <c r="B152" s="12"/>
      <c r="C152" s="137"/>
    </row>
    <row r="153">
      <c r="B153" s="12"/>
      <c r="C153" s="137"/>
    </row>
    <row r="154">
      <c r="B154" s="12"/>
      <c r="C154" s="137"/>
    </row>
    <row r="155">
      <c r="B155" s="12"/>
      <c r="C155" s="137"/>
    </row>
    <row r="156">
      <c r="B156" s="12"/>
      <c r="C156" s="137"/>
    </row>
    <row r="157">
      <c r="B157" s="12"/>
      <c r="C157" s="137"/>
    </row>
    <row r="158">
      <c r="B158" s="12"/>
      <c r="C158" s="137"/>
    </row>
    <row r="159">
      <c r="B159" s="12"/>
      <c r="C159" s="137"/>
    </row>
    <row r="160">
      <c r="B160" s="12"/>
      <c r="C160" s="137"/>
    </row>
    <row r="161">
      <c r="B161" s="12"/>
      <c r="C161" s="137"/>
    </row>
    <row r="162">
      <c r="B162" s="12"/>
      <c r="C162" s="137"/>
    </row>
    <row r="163">
      <c r="B163" s="12"/>
      <c r="C163" s="137"/>
    </row>
    <row r="164">
      <c r="B164" s="12"/>
      <c r="C164" s="137"/>
    </row>
    <row r="165">
      <c r="B165" s="12"/>
      <c r="C165" s="137"/>
    </row>
    <row r="166">
      <c r="B166" s="12"/>
      <c r="C166" s="137"/>
    </row>
    <row r="167">
      <c r="B167" s="12"/>
      <c r="C167" s="137"/>
    </row>
    <row r="168">
      <c r="B168" s="12"/>
      <c r="C168" s="137"/>
    </row>
    <row r="169">
      <c r="B169" s="12"/>
      <c r="C169" s="137"/>
    </row>
    <row r="170">
      <c r="B170" s="12"/>
      <c r="C170" s="137"/>
    </row>
    <row r="171">
      <c r="B171" s="12"/>
      <c r="C171" s="137"/>
    </row>
    <row r="172">
      <c r="B172" s="12"/>
      <c r="C172" s="137"/>
    </row>
    <row r="173">
      <c r="B173" s="12"/>
      <c r="C173" s="137"/>
    </row>
    <row r="174">
      <c r="B174" s="12"/>
      <c r="C174" s="137"/>
    </row>
    <row r="175">
      <c r="B175" s="12"/>
      <c r="C175" s="137"/>
    </row>
    <row r="176">
      <c r="B176" s="12"/>
      <c r="C176" s="137"/>
    </row>
    <row r="177">
      <c r="B177" s="12"/>
      <c r="C177" s="137"/>
    </row>
    <row r="178">
      <c r="B178" s="12"/>
      <c r="C178" s="137"/>
    </row>
    <row r="179">
      <c r="B179" s="12"/>
      <c r="C179" s="137"/>
    </row>
    <row r="180">
      <c r="B180" s="12"/>
      <c r="C180" s="137"/>
    </row>
    <row r="181">
      <c r="B181" s="12"/>
      <c r="C181" s="137"/>
    </row>
    <row r="182">
      <c r="B182" s="12"/>
      <c r="C182" s="137"/>
    </row>
    <row r="183">
      <c r="B183" s="12"/>
      <c r="C183" s="137"/>
    </row>
    <row r="184">
      <c r="B184" s="12"/>
      <c r="C184" s="137"/>
    </row>
    <row r="185">
      <c r="B185" s="12"/>
      <c r="C185" s="137"/>
    </row>
    <row r="186">
      <c r="B186" s="12"/>
      <c r="C186" s="137"/>
    </row>
    <row r="187">
      <c r="B187" s="12"/>
      <c r="C187" s="137"/>
    </row>
    <row r="188">
      <c r="B188" s="12"/>
      <c r="C188" s="137"/>
    </row>
    <row r="189">
      <c r="B189" s="12"/>
      <c r="C189" s="137"/>
    </row>
    <row r="190">
      <c r="B190" s="12"/>
      <c r="C190" s="137"/>
    </row>
    <row r="191">
      <c r="B191" s="12"/>
      <c r="C191" s="137"/>
    </row>
    <row r="192">
      <c r="B192" s="12"/>
      <c r="C192" s="137"/>
    </row>
    <row r="193">
      <c r="B193" s="12"/>
      <c r="C193" s="137"/>
    </row>
    <row r="194">
      <c r="B194" s="12"/>
      <c r="C194" s="137"/>
    </row>
    <row r="195">
      <c r="B195" s="12"/>
      <c r="C195" s="137"/>
    </row>
    <row r="196">
      <c r="B196" s="12"/>
      <c r="C196" s="137"/>
    </row>
    <row r="197">
      <c r="B197" s="12"/>
      <c r="C197" s="137"/>
    </row>
    <row r="198">
      <c r="B198" s="12"/>
      <c r="C198" s="137"/>
    </row>
    <row r="199">
      <c r="B199" s="12"/>
      <c r="C199" s="137"/>
    </row>
    <row r="200">
      <c r="B200" s="12"/>
      <c r="C200" s="137"/>
    </row>
    <row r="201">
      <c r="B201" s="12"/>
      <c r="C201" s="137"/>
    </row>
    <row r="202">
      <c r="B202" s="12"/>
      <c r="C202" s="137"/>
    </row>
    <row r="203">
      <c r="B203" s="12"/>
      <c r="C203" s="137"/>
    </row>
    <row r="204">
      <c r="B204" s="12"/>
      <c r="C204" s="137"/>
    </row>
    <row r="205">
      <c r="B205" s="12"/>
      <c r="C205" s="137"/>
    </row>
    <row r="206">
      <c r="B206" s="12"/>
      <c r="C206" s="137"/>
    </row>
    <row r="207">
      <c r="B207" s="12"/>
      <c r="C207" s="137"/>
    </row>
    <row r="208">
      <c r="B208" s="12"/>
      <c r="C208" s="137"/>
    </row>
    <row r="209">
      <c r="B209" s="12"/>
      <c r="C209" s="137"/>
    </row>
    <row r="210">
      <c r="B210" s="12"/>
      <c r="C210" s="137"/>
    </row>
    <row r="211">
      <c r="B211" s="12"/>
      <c r="C211" s="137"/>
    </row>
    <row r="212">
      <c r="B212" s="12"/>
      <c r="C212" s="137"/>
    </row>
    <row r="213">
      <c r="B213" s="12"/>
      <c r="C213" s="137"/>
    </row>
    <row r="214">
      <c r="B214" s="12"/>
      <c r="C214" s="137"/>
    </row>
    <row r="215">
      <c r="B215" s="12"/>
      <c r="C215" s="137"/>
    </row>
    <row r="216">
      <c r="B216" s="12"/>
      <c r="C216" s="137"/>
    </row>
    <row r="217">
      <c r="B217" s="12"/>
      <c r="C217" s="137"/>
    </row>
    <row r="218">
      <c r="B218" s="12"/>
      <c r="C218" s="137"/>
    </row>
    <row r="219">
      <c r="B219" s="12"/>
      <c r="C219" s="137"/>
    </row>
    <row r="220">
      <c r="B220" s="12"/>
      <c r="C220" s="137"/>
    </row>
    <row r="221">
      <c r="B221" s="12"/>
      <c r="C221" s="137"/>
    </row>
    <row r="222">
      <c r="B222" s="12"/>
      <c r="C222" s="137"/>
    </row>
    <row r="223">
      <c r="B223" s="12"/>
      <c r="C223" s="137"/>
    </row>
    <row r="224">
      <c r="B224" s="12"/>
      <c r="C224" s="137"/>
    </row>
    <row r="225">
      <c r="B225" s="12"/>
      <c r="C225" s="137"/>
    </row>
    <row r="226">
      <c r="B226" s="12"/>
      <c r="C226" s="137"/>
    </row>
    <row r="227">
      <c r="B227" s="12"/>
      <c r="C227" s="137"/>
    </row>
    <row r="228">
      <c r="B228" s="12"/>
      <c r="C228" s="137"/>
    </row>
    <row r="229">
      <c r="B229" s="12"/>
      <c r="C229" s="137"/>
    </row>
    <row r="230">
      <c r="B230" s="12"/>
      <c r="C230" s="137"/>
    </row>
    <row r="231">
      <c r="B231" s="12"/>
      <c r="C231" s="137"/>
    </row>
    <row r="232">
      <c r="B232" s="12"/>
      <c r="C232" s="137"/>
    </row>
    <row r="233">
      <c r="B233" s="12"/>
      <c r="C233" s="137"/>
    </row>
    <row r="234">
      <c r="B234" s="12"/>
      <c r="C234" s="137"/>
    </row>
    <row r="235">
      <c r="B235" s="12"/>
      <c r="C235" s="137"/>
    </row>
    <row r="236">
      <c r="B236" s="12"/>
      <c r="C236" s="137"/>
    </row>
    <row r="237">
      <c r="B237" s="12"/>
      <c r="C237" s="137"/>
    </row>
    <row r="238">
      <c r="B238" s="12"/>
      <c r="C238" s="137"/>
    </row>
    <row r="239">
      <c r="B239" s="12"/>
      <c r="C239" s="137"/>
    </row>
    <row r="240">
      <c r="B240" s="12"/>
      <c r="C240" s="137"/>
    </row>
    <row r="241">
      <c r="B241" s="12"/>
      <c r="C241" s="137"/>
    </row>
    <row r="242">
      <c r="B242" s="12"/>
      <c r="C242" s="137"/>
    </row>
    <row r="243">
      <c r="B243" s="12"/>
      <c r="C243" s="137"/>
    </row>
    <row r="244">
      <c r="B244" s="12"/>
      <c r="C244" s="137"/>
    </row>
    <row r="245">
      <c r="B245" s="12"/>
      <c r="C245" s="137"/>
    </row>
    <row r="246">
      <c r="B246" s="12"/>
      <c r="C246" s="137"/>
    </row>
    <row r="247">
      <c r="B247" s="12"/>
      <c r="C247" s="137"/>
    </row>
    <row r="248">
      <c r="B248" s="12"/>
      <c r="C248" s="137"/>
    </row>
    <row r="249">
      <c r="B249" s="12"/>
      <c r="C249" s="137"/>
    </row>
    <row r="250">
      <c r="B250" s="12"/>
      <c r="C250" s="137"/>
    </row>
    <row r="251">
      <c r="B251" s="12"/>
      <c r="C251" s="137"/>
    </row>
    <row r="252">
      <c r="B252" s="12"/>
      <c r="C252" s="137"/>
    </row>
    <row r="253">
      <c r="B253" s="12"/>
      <c r="C253" s="137"/>
    </row>
    <row r="254">
      <c r="B254" s="12"/>
      <c r="C254" s="137"/>
    </row>
    <row r="255">
      <c r="B255" s="12"/>
      <c r="C255" s="137"/>
    </row>
    <row r="256">
      <c r="B256" s="12"/>
      <c r="C256" s="137"/>
    </row>
    <row r="257">
      <c r="B257" s="12"/>
      <c r="C257" s="137"/>
    </row>
    <row r="258">
      <c r="B258" s="12"/>
      <c r="C258" s="137"/>
    </row>
    <row r="259">
      <c r="B259" s="12"/>
      <c r="C259" s="137"/>
    </row>
    <row r="260">
      <c r="B260" s="12"/>
      <c r="C260" s="137"/>
    </row>
    <row r="261">
      <c r="B261" s="12"/>
      <c r="C261" s="137"/>
    </row>
    <row r="262">
      <c r="B262" s="12"/>
      <c r="C262" s="137"/>
    </row>
    <row r="263">
      <c r="B263" s="12"/>
      <c r="C263" s="137"/>
    </row>
    <row r="264">
      <c r="B264" s="12"/>
      <c r="C264" s="137"/>
    </row>
    <row r="265">
      <c r="B265" s="12"/>
      <c r="C265" s="137"/>
    </row>
    <row r="266">
      <c r="B266" s="12"/>
      <c r="C266" s="137"/>
    </row>
    <row r="267">
      <c r="B267" s="12"/>
      <c r="C267" s="137"/>
    </row>
    <row r="268">
      <c r="B268" s="12"/>
      <c r="C268" s="137"/>
    </row>
    <row r="269">
      <c r="B269" s="12"/>
      <c r="C269" s="137"/>
    </row>
    <row r="270">
      <c r="B270" s="12"/>
      <c r="C270" s="137"/>
    </row>
    <row r="271">
      <c r="B271" s="12"/>
      <c r="C271" s="137"/>
    </row>
    <row r="272">
      <c r="B272" s="12"/>
      <c r="C272" s="137"/>
    </row>
    <row r="273">
      <c r="B273" s="12"/>
      <c r="C273" s="137"/>
    </row>
    <row r="274">
      <c r="B274" s="12"/>
      <c r="C274" s="137"/>
    </row>
    <row r="275">
      <c r="B275" s="12"/>
      <c r="C275" s="137"/>
    </row>
    <row r="276">
      <c r="B276" s="12"/>
      <c r="C276" s="137"/>
    </row>
    <row r="277">
      <c r="B277" s="12"/>
      <c r="C277" s="137"/>
    </row>
    <row r="278">
      <c r="B278" s="12"/>
      <c r="C278" s="137"/>
    </row>
    <row r="279">
      <c r="B279" s="12"/>
      <c r="C279" s="137"/>
    </row>
    <row r="280">
      <c r="B280" s="12"/>
      <c r="C280" s="137"/>
    </row>
    <row r="281">
      <c r="B281" s="12"/>
      <c r="C281" s="137"/>
    </row>
    <row r="282">
      <c r="B282" s="12"/>
      <c r="C282" s="137"/>
    </row>
    <row r="283">
      <c r="B283" s="12"/>
      <c r="C283" s="137"/>
    </row>
    <row r="284">
      <c r="B284" s="12"/>
      <c r="C284" s="137"/>
    </row>
    <row r="285">
      <c r="B285" s="12"/>
      <c r="C285" s="137"/>
    </row>
    <row r="286">
      <c r="B286" s="12"/>
      <c r="C286" s="137"/>
    </row>
    <row r="287">
      <c r="B287" s="12"/>
      <c r="C287" s="137"/>
    </row>
    <row r="288">
      <c r="B288" s="12"/>
      <c r="C288" s="137"/>
    </row>
    <row r="289">
      <c r="B289" s="12"/>
      <c r="C289" s="137"/>
    </row>
    <row r="290">
      <c r="B290" s="12"/>
      <c r="C290" s="137"/>
    </row>
    <row r="291">
      <c r="B291" s="12"/>
      <c r="C291" s="137"/>
    </row>
    <row r="292">
      <c r="B292" s="12"/>
      <c r="C292" s="137"/>
    </row>
    <row r="293">
      <c r="B293" s="12"/>
      <c r="C293" s="137"/>
    </row>
    <row r="294">
      <c r="B294" s="12"/>
      <c r="C294" s="137"/>
    </row>
    <row r="295">
      <c r="B295" s="12"/>
      <c r="C295" s="137"/>
    </row>
    <row r="296">
      <c r="B296" s="12"/>
      <c r="C296" s="137"/>
    </row>
    <row r="297">
      <c r="B297" s="12"/>
      <c r="C297" s="137"/>
    </row>
    <row r="298">
      <c r="B298" s="12"/>
      <c r="C298" s="137"/>
    </row>
    <row r="299">
      <c r="B299" s="12"/>
      <c r="C299" s="137"/>
    </row>
    <row r="300">
      <c r="B300" s="12"/>
      <c r="C300" s="137"/>
    </row>
    <row r="301">
      <c r="B301" s="12"/>
      <c r="C301" s="137"/>
    </row>
    <row r="302">
      <c r="B302" s="12"/>
      <c r="C302" s="137"/>
    </row>
    <row r="303">
      <c r="B303" s="12"/>
      <c r="C303" s="137"/>
    </row>
    <row r="304">
      <c r="B304" s="12"/>
      <c r="C304" s="137"/>
    </row>
    <row r="305">
      <c r="B305" s="12"/>
      <c r="C305" s="137"/>
    </row>
    <row r="306">
      <c r="B306" s="12"/>
      <c r="C306" s="137"/>
    </row>
    <row r="307">
      <c r="B307" s="12"/>
      <c r="C307" s="137"/>
    </row>
    <row r="308">
      <c r="B308" s="12"/>
      <c r="C308" s="137"/>
    </row>
    <row r="309">
      <c r="B309" s="12"/>
      <c r="C309" s="137"/>
    </row>
    <row r="310">
      <c r="B310" s="12"/>
      <c r="C310" s="137"/>
    </row>
    <row r="311">
      <c r="B311" s="12"/>
      <c r="C311" s="137"/>
    </row>
    <row r="312">
      <c r="B312" s="12"/>
      <c r="C312" s="137"/>
    </row>
    <row r="313">
      <c r="B313" s="12"/>
      <c r="C313" s="137"/>
    </row>
    <row r="314">
      <c r="B314" s="12"/>
      <c r="C314" s="137"/>
    </row>
    <row r="315">
      <c r="B315" s="12"/>
      <c r="C315" s="137"/>
    </row>
    <row r="316">
      <c r="B316" s="12"/>
      <c r="C316" s="137"/>
    </row>
    <row r="317">
      <c r="B317" s="12"/>
      <c r="C317" s="137"/>
    </row>
    <row r="318">
      <c r="B318" s="12"/>
      <c r="C318" s="137"/>
    </row>
    <row r="319">
      <c r="B319" s="12"/>
      <c r="C319" s="137"/>
    </row>
    <row r="320">
      <c r="B320" s="12"/>
      <c r="C320" s="137"/>
    </row>
    <row r="321">
      <c r="B321" s="12"/>
      <c r="C321" s="137"/>
    </row>
    <row r="322">
      <c r="B322" s="12"/>
      <c r="C322" s="137"/>
    </row>
    <row r="323">
      <c r="B323" s="12"/>
      <c r="C323" s="137"/>
    </row>
    <row r="324">
      <c r="B324" s="12"/>
      <c r="C324" s="137"/>
    </row>
    <row r="325">
      <c r="B325" s="12"/>
      <c r="C325" s="137"/>
    </row>
    <row r="326">
      <c r="B326" s="12"/>
      <c r="C326" s="137"/>
    </row>
    <row r="327">
      <c r="B327" s="12"/>
      <c r="C327" s="137"/>
    </row>
    <row r="328">
      <c r="B328" s="12"/>
      <c r="C328" s="137"/>
    </row>
    <row r="329">
      <c r="B329" s="12"/>
      <c r="C329" s="137"/>
    </row>
    <row r="330">
      <c r="B330" s="12"/>
      <c r="C330" s="137"/>
    </row>
    <row r="331">
      <c r="B331" s="12"/>
      <c r="C331" s="137"/>
    </row>
    <row r="332">
      <c r="B332" s="12"/>
      <c r="C332" s="137"/>
    </row>
    <row r="333">
      <c r="B333" s="12"/>
      <c r="C333" s="137"/>
    </row>
    <row r="334">
      <c r="B334" s="12"/>
      <c r="C334" s="137"/>
    </row>
    <row r="335">
      <c r="B335" s="12"/>
      <c r="C335" s="137"/>
    </row>
    <row r="336">
      <c r="B336" s="12"/>
      <c r="C336" s="137"/>
    </row>
    <row r="337">
      <c r="B337" s="12"/>
      <c r="C337" s="137"/>
    </row>
    <row r="338">
      <c r="B338" s="12"/>
      <c r="C338" s="137"/>
    </row>
    <row r="339">
      <c r="B339" s="12"/>
      <c r="C339" s="137"/>
    </row>
    <row r="340">
      <c r="B340" s="12"/>
      <c r="C340" s="137"/>
    </row>
    <row r="341">
      <c r="B341" s="12"/>
      <c r="C341" s="137"/>
    </row>
    <row r="342">
      <c r="B342" s="12"/>
      <c r="C342" s="137"/>
    </row>
    <row r="343">
      <c r="B343" s="12"/>
      <c r="C343" s="137"/>
    </row>
    <row r="344">
      <c r="B344" s="12"/>
      <c r="C344" s="137"/>
    </row>
    <row r="345">
      <c r="B345" s="12"/>
      <c r="C345" s="137"/>
    </row>
    <row r="346">
      <c r="B346" s="12"/>
      <c r="C346" s="137"/>
    </row>
    <row r="347">
      <c r="B347" s="12"/>
      <c r="C347" s="137"/>
    </row>
    <row r="348">
      <c r="B348" s="12"/>
      <c r="C348" s="137"/>
    </row>
    <row r="349">
      <c r="B349" s="12"/>
      <c r="C349" s="137"/>
    </row>
    <row r="350">
      <c r="B350" s="12"/>
      <c r="C350" s="137"/>
    </row>
    <row r="351">
      <c r="B351" s="12"/>
      <c r="C351" s="137"/>
    </row>
    <row r="352">
      <c r="B352" s="12"/>
      <c r="C352" s="137"/>
    </row>
    <row r="353">
      <c r="B353" s="12"/>
      <c r="C353" s="137"/>
    </row>
    <row r="354">
      <c r="B354" s="12"/>
      <c r="C354" s="137"/>
    </row>
    <row r="355">
      <c r="B355" s="12"/>
      <c r="C355" s="137"/>
    </row>
    <row r="356">
      <c r="B356" s="12"/>
      <c r="C356" s="137"/>
    </row>
    <row r="357">
      <c r="B357" s="12"/>
      <c r="C357" s="137"/>
    </row>
    <row r="358">
      <c r="B358" s="12"/>
      <c r="C358" s="137"/>
    </row>
    <row r="359">
      <c r="B359" s="12"/>
      <c r="C359" s="137"/>
    </row>
    <row r="360">
      <c r="B360" s="12"/>
      <c r="C360" s="137"/>
    </row>
    <row r="361">
      <c r="B361" s="12"/>
      <c r="C361" s="137"/>
    </row>
    <row r="362">
      <c r="B362" s="12"/>
      <c r="C362" s="137"/>
    </row>
    <row r="363">
      <c r="B363" s="12"/>
      <c r="C363" s="137"/>
    </row>
    <row r="364">
      <c r="B364" s="12"/>
      <c r="C364" s="137"/>
    </row>
    <row r="365">
      <c r="B365" s="12"/>
      <c r="C365" s="137"/>
    </row>
    <row r="366">
      <c r="B366" s="12"/>
      <c r="C366" s="137"/>
    </row>
    <row r="367">
      <c r="B367" s="12"/>
      <c r="C367" s="137"/>
    </row>
    <row r="368">
      <c r="B368" s="12"/>
      <c r="C368" s="137"/>
    </row>
    <row r="369">
      <c r="B369" s="12"/>
      <c r="C369" s="137"/>
    </row>
    <row r="370">
      <c r="B370" s="12"/>
      <c r="C370" s="137"/>
    </row>
    <row r="371">
      <c r="B371" s="12"/>
      <c r="C371" s="137"/>
    </row>
    <row r="372">
      <c r="B372" s="12"/>
      <c r="C372" s="137"/>
    </row>
    <row r="373">
      <c r="B373" s="12"/>
      <c r="C373" s="137"/>
    </row>
    <row r="374">
      <c r="B374" s="12"/>
      <c r="C374" s="137"/>
    </row>
    <row r="375">
      <c r="B375" s="12"/>
      <c r="C375" s="137"/>
    </row>
    <row r="376">
      <c r="B376" s="12"/>
      <c r="C376" s="137"/>
    </row>
    <row r="377">
      <c r="B377" s="12"/>
      <c r="C377" s="137"/>
    </row>
    <row r="378">
      <c r="B378" s="12"/>
      <c r="C378" s="137"/>
    </row>
    <row r="379">
      <c r="B379" s="12"/>
      <c r="C379" s="137"/>
    </row>
    <row r="380">
      <c r="B380" s="12"/>
      <c r="C380" s="137"/>
    </row>
    <row r="381">
      <c r="B381" s="12"/>
      <c r="C381" s="137"/>
    </row>
    <row r="382">
      <c r="B382" s="12"/>
      <c r="C382" s="137"/>
    </row>
    <row r="383">
      <c r="B383" s="12"/>
      <c r="C383" s="137"/>
    </row>
    <row r="384">
      <c r="B384" s="12"/>
      <c r="C384" s="137"/>
    </row>
    <row r="385">
      <c r="B385" s="12"/>
      <c r="C385" s="137"/>
    </row>
    <row r="386">
      <c r="B386" s="12"/>
      <c r="C386" s="137"/>
    </row>
    <row r="387">
      <c r="B387" s="12"/>
      <c r="C387" s="137"/>
    </row>
    <row r="388">
      <c r="B388" s="12"/>
      <c r="C388" s="137"/>
    </row>
    <row r="389">
      <c r="B389" s="12"/>
      <c r="C389" s="137"/>
    </row>
    <row r="390">
      <c r="B390" s="12"/>
      <c r="C390" s="137"/>
    </row>
    <row r="391">
      <c r="B391" s="12"/>
      <c r="C391" s="137"/>
    </row>
    <row r="392">
      <c r="B392" s="12"/>
      <c r="C392" s="137"/>
    </row>
    <row r="393">
      <c r="B393" s="12"/>
      <c r="C393" s="137"/>
    </row>
    <row r="394">
      <c r="B394" s="12"/>
      <c r="C394" s="137"/>
    </row>
    <row r="395">
      <c r="B395" s="12"/>
      <c r="C395" s="137"/>
    </row>
    <row r="396">
      <c r="B396" s="12"/>
      <c r="C396" s="137"/>
    </row>
    <row r="397">
      <c r="B397" s="12"/>
      <c r="C397" s="137"/>
    </row>
    <row r="398">
      <c r="B398" s="12"/>
      <c r="C398" s="137"/>
    </row>
    <row r="399">
      <c r="B399" s="12"/>
      <c r="C399" s="137"/>
    </row>
    <row r="400">
      <c r="B400" s="12"/>
      <c r="C400" s="137"/>
    </row>
    <row r="401">
      <c r="B401" s="12"/>
      <c r="C401" s="137"/>
    </row>
    <row r="402">
      <c r="B402" s="12"/>
      <c r="C402" s="137"/>
    </row>
    <row r="403">
      <c r="B403" s="12"/>
      <c r="C403" s="137"/>
    </row>
    <row r="404">
      <c r="B404" s="12"/>
      <c r="C404" s="137"/>
    </row>
    <row r="405">
      <c r="B405" s="12"/>
      <c r="C405" s="137"/>
    </row>
    <row r="406">
      <c r="B406" s="12"/>
      <c r="C406" s="137"/>
    </row>
    <row r="407">
      <c r="B407" s="12"/>
      <c r="C407" s="137"/>
    </row>
    <row r="408">
      <c r="B408" s="12"/>
      <c r="C408" s="137"/>
    </row>
    <row r="409">
      <c r="B409" s="12"/>
      <c r="C409" s="137"/>
    </row>
    <row r="410">
      <c r="B410" s="12"/>
      <c r="C410" s="137"/>
    </row>
    <row r="411">
      <c r="B411" s="12"/>
      <c r="C411" s="137"/>
    </row>
    <row r="412">
      <c r="B412" s="12"/>
      <c r="C412" s="137"/>
    </row>
    <row r="413">
      <c r="B413" s="12"/>
      <c r="C413" s="137"/>
    </row>
    <row r="414">
      <c r="B414" s="12"/>
      <c r="C414" s="137"/>
    </row>
    <row r="415">
      <c r="B415" s="12"/>
      <c r="C415" s="137"/>
    </row>
    <row r="416">
      <c r="B416" s="12"/>
      <c r="C416" s="137"/>
    </row>
    <row r="417">
      <c r="B417" s="12"/>
      <c r="C417" s="137"/>
    </row>
    <row r="418">
      <c r="B418" s="12"/>
      <c r="C418" s="137"/>
    </row>
    <row r="419">
      <c r="B419" s="12"/>
      <c r="C419" s="137"/>
    </row>
    <row r="420">
      <c r="B420" s="12"/>
      <c r="C420" s="137"/>
    </row>
    <row r="421">
      <c r="B421" s="12"/>
      <c r="C421" s="137"/>
    </row>
    <row r="422">
      <c r="B422" s="12"/>
      <c r="C422" s="137"/>
    </row>
    <row r="423">
      <c r="B423" s="12"/>
      <c r="C423" s="137"/>
    </row>
    <row r="424">
      <c r="B424" s="12"/>
      <c r="C424" s="137"/>
    </row>
    <row r="425">
      <c r="B425" s="12"/>
      <c r="C425" s="137"/>
    </row>
    <row r="426">
      <c r="B426" s="12"/>
      <c r="C426" s="137"/>
    </row>
    <row r="427">
      <c r="B427" s="12"/>
      <c r="C427" s="137"/>
    </row>
    <row r="428">
      <c r="B428" s="12"/>
      <c r="C428" s="137"/>
    </row>
    <row r="429">
      <c r="B429" s="12"/>
      <c r="C429" s="137"/>
    </row>
    <row r="430">
      <c r="B430" s="12"/>
      <c r="C430" s="137"/>
    </row>
    <row r="431">
      <c r="B431" s="12"/>
      <c r="C431" s="137"/>
    </row>
    <row r="432">
      <c r="B432" s="12"/>
      <c r="C432" s="137"/>
    </row>
    <row r="433">
      <c r="B433" s="12"/>
      <c r="C433" s="137"/>
    </row>
    <row r="434">
      <c r="B434" s="12"/>
      <c r="C434" s="137"/>
    </row>
    <row r="435">
      <c r="B435" s="12"/>
      <c r="C435" s="137"/>
    </row>
    <row r="436">
      <c r="B436" s="12"/>
      <c r="C436" s="137"/>
    </row>
    <row r="437">
      <c r="B437" s="12"/>
      <c r="C437" s="137"/>
    </row>
    <row r="438">
      <c r="B438" s="12"/>
      <c r="C438" s="137"/>
    </row>
    <row r="439">
      <c r="B439" s="12"/>
      <c r="C439" s="137"/>
    </row>
    <row r="440">
      <c r="B440" s="12"/>
      <c r="C440" s="137"/>
    </row>
    <row r="441">
      <c r="B441" s="12"/>
      <c r="C441" s="137"/>
    </row>
    <row r="442">
      <c r="B442" s="12"/>
      <c r="C442" s="137"/>
    </row>
    <row r="443">
      <c r="B443" s="12"/>
      <c r="C443" s="137"/>
    </row>
    <row r="444">
      <c r="B444" s="12"/>
      <c r="C444" s="137"/>
    </row>
    <row r="445">
      <c r="B445" s="12"/>
      <c r="C445" s="137"/>
    </row>
    <row r="446">
      <c r="B446" s="12"/>
      <c r="C446" s="137"/>
    </row>
    <row r="447">
      <c r="B447" s="12"/>
      <c r="C447" s="137"/>
    </row>
    <row r="448">
      <c r="B448" s="12"/>
      <c r="C448" s="137"/>
    </row>
    <row r="449">
      <c r="B449" s="12"/>
      <c r="C449" s="137"/>
    </row>
    <row r="450">
      <c r="B450" s="12"/>
      <c r="C450" s="137"/>
    </row>
    <row r="451">
      <c r="B451" s="12"/>
      <c r="C451" s="137"/>
    </row>
    <row r="452">
      <c r="B452" s="12"/>
      <c r="C452" s="137"/>
    </row>
    <row r="453">
      <c r="B453" s="12"/>
      <c r="C453" s="137"/>
    </row>
    <row r="454">
      <c r="B454" s="12"/>
      <c r="C454" s="137"/>
    </row>
    <row r="455">
      <c r="B455" s="12"/>
      <c r="C455" s="137"/>
    </row>
    <row r="456">
      <c r="B456" s="12"/>
      <c r="C456" s="137"/>
    </row>
    <row r="457">
      <c r="B457" s="12"/>
      <c r="C457" s="137"/>
    </row>
    <row r="458">
      <c r="B458" s="12"/>
      <c r="C458" s="137"/>
    </row>
    <row r="459">
      <c r="B459" s="12"/>
      <c r="C459" s="137"/>
    </row>
    <row r="460">
      <c r="B460" s="12"/>
      <c r="C460" s="137"/>
    </row>
    <row r="461">
      <c r="B461" s="12"/>
      <c r="C461" s="137"/>
    </row>
    <row r="462">
      <c r="B462" s="12"/>
      <c r="C462" s="137"/>
    </row>
    <row r="463">
      <c r="B463" s="12"/>
      <c r="C463" s="137"/>
    </row>
    <row r="464">
      <c r="B464" s="12"/>
      <c r="C464" s="137"/>
    </row>
    <row r="465">
      <c r="B465" s="12"/>
      <c r="C465" s="137"/>
    </row>
    <row r="466">
      <c r="B466" s="12"/>
      <c r="C466" s="137"/>
    </row>
    <row r="467">
      <c r="B467" s="12"/>
      <c r="C467" s="137"/>
    </row>
    <row r="468">
      <c r="B468" s="12"/>
      <c r="C468" s="137"/>
    </row>
    <row r="469">
      <c r="B469" s="12"/>
      <c r="C469" s="137"/>
    </row>
    <row r="470">
      <c r="B470" s="12"/>
      <c r="C470" s="137"/>
    </row>
    <row r="471">
      <c r="B471" s="12"/>
      <c r="C471" s="137"/>
    </row>
    <row r="472">
      <c r="B472" s="12"/>
      <c r="C472" s="137"/>
    </row>
    <row r="473">
      <c r="B473" s="12"/>
      <c r="C473" s="137"/>
    </row>
    <row r="474">
      <c r="B474" s="12"/>
      <c r="C474" s="137"/>
    </row>
    <row r="475">
      <c r="B475" s="12"/>
      <c r="C475" s="137"/>
    </row>
    <row r="476">
      <c r="B476" s="12"/>
      <c r="C476" s="137"/>
    </row>
    <row r="477">
      <c r="B477" s="12"/>
      <c r="C477" s="137"/>
    </row>
    <row r="478">
      <c r="B478" s="12"/>
      <c r="C478" s="137"/>
    </row>
    <row r="479">
      <c r="B479" s="12"/>
      <c r="C479" s="137"/>
    </row>
    <row r="480">
      <c r="B480" s="12"/>
      <c r="C480" s="137"/>
    </row>
    <row r="481">
      <c r="B481" s="12"/>
      <c r="C481" s="137"/>
    </row>
    <row r="482">
      <c r="B482" s="12"/>
      <c r="C482" s="137"/>
    </row>
    <row r="483">
      <c r="B483" s="12"/>
      <c r="C483" s="137"/>
    </row>
    <row r="484">
      <c r="B484" s="12"/>
      <c r="C484" s="137"/>
    </row>
    <row r="485">
      <c r="B485" s="12"/>
      <c r="C485" s="137"/>
    </row>
    <row r="486">
      <c r="B486" s="12"/>
      <c r="C486" s="137"/>
    </row>
    <row r="487">
      <c r="B487" s="12"/>
      <c r="C487" s="137"/>
    </row>
    <row r="488">
      <c r="B488" s="12"/>
      <c r="C488" s="137"/>
    </row>
    <row r="489">
      <c r="B489" s="12"/>
      <c r="C489" s="137"/>
    </row>
    <row r="490">
      <c r="B490" s="12"/>
      <c r="C490" s="137"/>
    </row>
    <row r="491">
      <c r="B491" s="12"/>
      <c r="C491" s="137"/>
    </row>
    <row r="492">
      <c r="B492" s="12"/>
      <c r="C492" s="137"/>
    </row>
    <row r="493">
      <c r="B493" s="12"/>
      <c r="C493" s="137"/>
    </row>
    <row r="494">
      <c r="B494" s="12"/>
      <c r="C494" s="137"/>
    </row>
    <row r="495">
      <c r="B495" s="12"/>
      <c r="C495" s="137"/>
    </row>
    <row r="496">
      <c r="B496" s="12"/>
      <c r="C496" s="137"/>
    </row>
    <row r="497">
      <c r="B497" s="12"/>
      <c r="C497" s="137"/>
    </row>
    <row r="498">
      <c r="B498" s="12"/>
      <c r="C498" s="137"/>
    </row>
    <row r="499">
      <c r="B499" s="12"/>
      <c r="C499" s="137"/>
    </row>
    <row r="500">
      <c r="B500" s="12"/>
      <c r="C500" s="137"/>
    </row>
    <row r="501">
      <c r="B501" s="12"/>
      <c r="C501" s="137"/>
    </row>
    <row r="502">
      <c r="B502" s="12"/>
      <c r="C502" s="137"/>
    </row>
    <row r="503">
      <c r="B503" s="12"/>
      <c r="C503" s="137"/>
    </row>
    <row r="504">
      <c r="B504" s="12"/>
      <c r="C504" s="137"/>
    </row>
    <row r="505">
      <c r="B505" s="12"/>
      <c r="C505" s="137"/>
    </row>
    <row r="506">
      <c r="B506" s="12"/>
      <c r="C506" s="137"/>
    </row>
    <row r="507">
      <c r="B507" s="12"/>
      <c r="C507" s="137"/>
    </row>
    <row r="508">
      <c r="B508" s="12"/>
      <c r="C508" s="137"/>
    </row>
    <row r="509">
      <c r="B509" s="12"/>
      <c r="C509" s="137"/>
    </row>
    <row r="510">
      <c r="B510" s="12"/>
      <c r="C510" s="137"/>
    </row>
    <row r="511">
      <c r="B511" s="12"/>
      <c r="C511" s="137"/>
    </row>
    <row r="512">
      <c r="B512" s="12"/>
      <c r="C512" s="137"/>
    </row>
    <row r="513">
      <c r="B513" s="12"/>
      <c r="C513" s="137"/>
    </row>
    <row r="514">
      <c r="B514" s="12"/>
      <c r="C514" s="137"/>
    </row>
    <row r="515">
      <c r="B515" s="12"/>
      <c r="C515" s="137"/>
    </row>
    <row r="516">
      <c r="B516" s="12"/>
      <c r="C516" s="137"/>
    </row>
    <row r="517">
      <c r="B517" s="12"/>
      <c r="C517" s="137"/>
    </row>
    <row r="518">
      <c r="B518" s="12"/>
      <c r="C518" s="137"/>
    </row>
    <row r="519">
      <c r="B519" s="12"/>
      <c r="C519" s="137"/>
    </row>
    <row r="520">
      <c r="B520" s="12"/>
      <c r="C520" s="137"/>
    </row>
    <row r="521">
      <c r="B521" s="12"/>
      <c r="C521" s="137"/>
    </row>
    <row r="522">
      <c r="B522" s="12"/>
      <c r="C522" s="137"/>
    </row>
    <row r="523">
      <c r="B523" s="12"/>
      <c r="C523" s="137"/>
    </row>
    <row r="524">
      <c r="B524" s="12"/>
      <c r="C524" s="137"/>
    </row>
    <row r="525">
      <c r="B525" s="12"/>
      <c r="C525" s="137"/>
    </row>
    <row r="526">
      <c r="B526" s="12"/>
      <c r="C526" s="137"/>
    </row>
    <row r="527">
      <c r="B527" s="12"/>
      <c r="C527" s="137"/>
    </row>
    <row r="528">
      <c r="B528" s="12"/>
      <c r="C528" s="137"/>
    </row>
    <row r="529">
      <c r="B529" s="12"/>
      <c r="C529" s="137"/>
    </row>
    <row r="530">
      <c r="B530" s="12"/>
      <c r="C530" s="137"/>
    </row>
    <row r="531">
      <c r="B531" s="12"/>
      <c r="C531" s="137"/>
    </row>
    <row r="532">
      <c r="B532" s="12"/>
      <c r="C532" s="137"/>
    </row>
    <row r="533">
      <c r="B533" s="12"/>
      <c r="C533" s="137"/>
    </row>
    <row r="534">
      <c r="B534" s="12"/>
      <c r="C534" s="137"/>
    </row>
    <row r="535">
      <c r="B535" s="12"/>
      <c r="C535" s="137"/>
    </row>
    <row r="536">
      <c r="B536" s="12"/>
      <c r="C536" s="137"/>
    </row>
    <row r="537">
      <c r="B537" s="12"/>
      <c r="C537" s="137"/>
    </row>
    <row r="538">
      <c r="B538" s="12"/>
      <c r="C538" s="137"/>
    </row>
    <row r="539">
      <c r="B539" s="12"/>
      <c r="C539" s="137"/>
    </row>
    <row r="540">
      <c r="B540" s="12"/>
      <c r="C540" s="137"/>
    </row>
    <row r="541">
      <c r="B541" s="12"/>
      <c r="C541" s="137"/>
    </row>
    <row r="542">
      <c r="B542" s="12"/>
      <c r="C542" s="137"/>
    </row>
    <row r="543">
      <c r="B543" s="12"/>
      <c r="C543" s="137"/>
    </row>
    <row r="544">
      <c r="B544" s="12"/>
      <c r="C544" s="137"/>
    </row>
    <row r="545">
      <c r="B545" s="12"/>
      <c r="C545" s="137"/>
    </row>
    <row r="546">
      <c r="B546" s="12"/>
      <c r="C546" s="137"/>
    </row>
    <row r="547">
      <c r="B547" s="12"/>
      <c r="C547" s="137"/>
    </row>
    <row r="548">
      <c r="B548" s="12"/>
      <c r="C548" s="137"/>
    </row>
    <row r="549">
      <c r="B549" s="12"/>
      <c r="C549" s="137"/>
    </row>
    <row r="550">
      <c r="B550" s="12"/>
      <c r="C550" s="137"/>
    </row>
    <row r="551">
      <c r="B551" s="12"/>
      <c r="C551" s="137"/>
    </row>
    <row r="552">
      <c r="B552" s="12"/>
      <c r="C552" s="137"/>
    </row>
    <row r="553">
      <c r="B553" s="12"/>
      <c r="C553" s="137"/>
    </row>
    <row r="554">
      <c r="B554" s="12"/>
      <c r="C554" s="137"/>
    </row>
    <row r="555">
      <c r="B555" s="12"/>
      <c r="C555" s="137"/>
    </row>
    <row r="556">
      <c r="B556" s="12"/>
      <c r="C556" s="137"/>
    </row>
    <row r="557">
      <c r="B557" s="12"/>
      <c r="C557" s="137"/>
    </row>
    <row r="558">
      <c r="B558" s="12"/>
      <c r="C558" s="137"/>
    </row>
    <row r="559">
      <c r="B559" s="12"/>
      <c r="C559" s="137"/>
    </row>
    <row r="560">
      <c r="B560" s="12"/>
      <c r="C560" s="137"/>
    </row>
    <row r="561">
      <c r="B561" s="12"/>
      <c r="C561" s="137"/>
    </row>
    <row r="562">
      <c r="B562" s="12"/>
      <c r="C562" s="137"/>
    </row>
    <row r="563">
      <c r="B563" s="12"/>
      <c r="C563" s="137"/>
    </row>
    <row r="564">
      <c r="B564" s="12"/>
      <c r="C564" s="137"/>
    </row>
    <row r="565">
      <c r="B565" s="12"/>
      <c r="C565" s="137"/>
    </row>
    <row r="566">
      <c r="B566" s="12"/>
      <c r="C566" s="137"/>
    </row>
    <row r="567">
      <c r="B567" s="12"/>
      <c r="C567" s="137"/>
    </row>
    <row r="568">
      <c r="B568" s="12"/>
      <c r="C568" s="137"/>
    </row>
    <row r="569">
      <c r="B569" s="12"/>
      <c r="C569" s="137"/>
    </row>
    <row r="570">
      <c r="B570" s="12"/>
      <c r="C570" s="137"/>
    </row>
    <row r="571">
      <c r="B571" s="12"/>
      <c r="C571" s="137"/>
    </row>
    <row r="572">
      <c r="B572" s="12"/>
      <c r="C572" s="137"/>
    </row>
    <row r="573">
      <c r="B573" s="12"/>
      <c r="C573" s="137"/>
    </row>
    <row r="574">
      <c r="B574" s="12"/>
      <c r="C574" s="137"/>
    </row>
    <row r="575">
      <c r="B575" s="12"/>
      <c r="C575" s="137"/>
    </row>
    <row r="576">
      <c r="B576" s="12"/>
      <c r="C576" s="137"/>
    </row>
    <row r="577">
      <c r="B577" s="12"/>
      <c r="C577" s="137"/>
    </row>
    <row r="578">
      <c r="B578" s="12"/>
      <c r="C578" s="137"/>
    </row>
    <row r="579">
      <c r="B579" s="12"/>
      <c r="C579" s="137"/>
    </row>
    <row r="580">
      <c r="B580" s="12"/>
      <c r="C580" s="137"/>
    </row>
    <row r="581">
      <c r="B581" s="12"/>
      <c r="C581" s="137"/>
    </row>
    <row r="582">
      <c r="B582" s="12"/>
      <c r="C582" s="137"/>
    </row>
    <row r="583">
      <c r="B583" s="12"/>
      <c r="C583" s="137"/>
    </row>
    <row r="584">
      <c r="B584" s="12"/>
      <c r="C584" s="137"/>
    </row>
    <row r="585">
      <c r="B585" s="12"/>
      <c r="C585" s="137"/>
    </row>
    <row r="586">
      <c r="B586" s="12"/>
      <c r="C586" s="137"/>
    </row>
    <row r="587">
      <c r="B587" s="12"/>
      <c r="C587" s="137"/>
    </row>
    <row r="588">
      <c r="B588" s="12"/>
      <c r="C588" s="137"/>
    </row>
    <row r="589">
      <c r="B589" s="12"/>
      <c r="C589" s="137"/>
    </row>
    <row r="590">
      <c r="B590" s="12"/>
      <c r="C590" s="137"/>
    </row>
    <row r="591">
      <c r="B591" s="12"/>
      <c r="C591" s="137"/>
    </row>
    <row r="592">
      <c r="B592" s="12"/>
      <c r="C592" s="137"/>
    </row>
    <row r="593">
      <c r="B593" s="12"/>
      <c r="C593" s="137"/>
    </row>
    <row r="594">
      <c r="B594" s="12"/>
      <c r="C594" s="137"/>
    </row>
    <row r="595">
      <c r="B595" s="12"/>
      <c r="C595" s="137"/>
    </row>
    <row r="596">
      <c r="B596" s="12"/>
      <c r="C596" s="137"/>
    </row>
    <row r="597">
      <c r="B597" s="12"/>
      <c r="C597" s="137"/>
    </row>
    <row r="598">
      <c r="B598" s="12"/>
      <c r="C598" s="137"/>
    </row>
    <row r="599">
      <c r="B599" s="12"/>
      <c r="C599" s="137"/>
    </row>
    <row r="600">
      <c r="B600" s="12"/>
      <c r="C600" s="137"/>
    </row>
    <row r="601">
      <c r="B601" s="12"/>
      <c r="C601" s="137"/>
    </row>
    <row r="602">
      <c r="B602" s="12"/>
      <c r="C602" s="137"/>
    </row>
    <row r="603">
      <c r="B603" s="12"/>
      <c r="C603" s="137"/>
    </row>
    <row r="604">
      <c r="B604" s="12"/>
      <c r="C604" s="137"/>
    </row>
    <row r="605">
      <c r="B605" s="12"/>
      <c r="C605" s="137"/>
    </row>
    <row r="606">
      <c r="B606" s="12"/>
      <c r="C606" s="137"/>
    </row>
    <row r="607">
      <c r="B607" s="12"/>
      <c r="C607" s="137"/>
    </row>
    <row r="608">
      <c r="B608" s="12"/>
      <c r="C608" s="137"/>
    </row>
    <row r="609">
      <c r="B609" s="12"/>
      <c r="C609" s="137"/>
    </row>
    <row r="610">
      <c r="B610" s="12"/>
      <c r="C610" s="137"/>
    </row>
    <row r="611">
      <c r="B611" s="12"/>
      <c r="C611" s="137"/>
    </row>
    <row r="612">
      <c r="B612" s="12"/>
      <c r="C612" s="137"/>
    </row>
    <row r="613">
      <c r="B613" s="12"/>
      <c r="C613" s="137"/>
    </row>
    <row r="614">
      <c r="B614" s="12"/>
      <c r="C614" s="137"/>
    </row>
    <row r="615">
      <c r="B615" s="12"/>
      <c r="C615" s="137"/>
    </row>
    <row r="616">
      <c r="B616" s="12"/>
      <c r="C616" s="137"/>
    </row>
    <row r="617">
      <c r="B617" s="12"/>
      <c r="C617" s="137"/>
    </row>
    <row r="618">
      <c r="B618" s="12"/>
      <c r="C618" s="137"/>
    </row>
    <row r="619">
      <c r="B619" s="12"/>
      <c r="C619" s="137"/>
    </row>
    <row r="620">
      <c r="B620" s="12"/>
      <c r="C620" s="137"/>
    </row>
    <row r="621">
      <c r="B621" s="12"/>
      <c r="C621" s="137"/>
    </row>
    <row r="622">
      <c r="B622" s="12"/>
      <c r="C622" s="137"/>
    </row>
    <row r="623">
      <c r="B623" s="12"/>
      <c r="C623" s="137"/>
    </row>
    <row r="624">
      <c r="B624" s="12"/>
      <c r="C624" s="137"/>
    </row>
    <row r="625">
      <c r="B625" s="12"/>
      <c r="C625" s="137"/>
    </row>
    <row r="626">
      <c r="B626" s="12"/>
      <c r="C626" s="137"/>
    </row>
    <row r="627">
      <c r="B627" s="12"/>
      <c r="C627" s="137"/>
    </row>
    <row r="628">
      <c r="B628" s="12"/>
      <c r="C628" s="137"/>
    </row>
    <row r="629">
      <c r="B629" s="12"/>
      <c r="C629" s="137"/>
    </row>
    <row r="630">
      <c r="B630" s="12"/>
      <c r="C630" s="137"/>
    </row>
    <row r="631">
      <c r="B631" s="12"/>
      <c r="C631" s="137"/>
    </row>
    <row r="632">
      <c r="B632" s="12"/>
      <c r="C632" s="137"/>
    </row>
    <row r="633">
      <c r="B633" s="12"/>
      <c r="C633" s="137"/>
    </row>
    <row r="634">
      <c r="B634" s="12"/>
      <c r="C634" s="137"/>
    </row>
    <row r="635">
      <c r="B635" s="12"/>
      <c r="C635" s="137"/>
    </row>
    <row r="636">
      <c r="B636" s="12"/>
      <c r="C636" s="137"/>
    </row>
    <row r="637">
      <c r="B637" s="12"/>
      <c r="C637" s="137"/>
    </row>
    <row r="638">
      <c r="B638" s="12"/>
      <c r="C638" s="137"/>
    </row>
    <row r="639">
      <c r="B639" s="12"/>
      <c r="C639" s="137"/>
    </row>
    <row r="640">
      <c r="B640" s="12"/>
      <c r="C640" s="137"/>
    </row>
    <row r="641">
      <c r="B641" s="12"/>
      <c r="C641" s="137"/>
    </row>
    <row r="642">
      <c r="B642" s="12"/>
      <c r="C642" s="137"/>
    </row>
    <row r="643">
      <c r="B643" s="12"/>
      <c r="C643" s="137"/>
    </row>
    <row r="644">
      <c r="B644" s="12"/>
      <c r="C644" s="137"/>
    </row>
    <row r="645">
      <c r="B645" s="12"/>
      <c r="C645" s="137"/>
    </row>
    <row r="646">
      <c r="B646" s="12"/>
      <c r="C646" s="137"/>
    </row>
    <row r="647">
      <c r="B647" s="12"/>
      <c r="C647" s="137"/>
    </row>
    <row r="648">
      <c r="B648" s="12"/>
      <c r="C648" s="137"/>
    </row>
    <row r="649">
      <c r="B649" s="12"/>
      <c r="C649" s="137"/>
    </row>
    <row r="650">
      <c r="B650" s="12"/>
      <c r="C650" s="137"/>
    </row>
    <row r="651">
      <c r="B651" s="12"/>
      <c r="C651" s="137"/>
    </row>
    <row r="652">
      <c r="B652" s="12"/>
      <c r="C652" s="137"/>
    </row>
    <row r="653">
      <c r="B653" s="12"/>
      <c r="C653" s="137"/>
    </row>
    <row r="654">
      <c r="B654" s="12"/>
      <c r="C654" s="137"/>
    </row>
    <row r="655">
      <c r="B655" s="12"/>
      <c r="C655" s="137"/>
    </row>
    <row r="656">
      <c r="B656" s="12"/>
      <c r="C656" s="137"/>
    </row>
    <row r="657">
      <c r="B657" s="12"/>
      <c r="C657" s="137"/>
    </row>
    <row r="658">
      <c r="B658" s="12"/>
      <c r="C658" s="137"/>
    </row>
    <row r="659">
      <c r="B659" s="12"/>
      <c r="C659" s="137"/>
    </row>
    <row r="660">
      <c r="B660" s="12"/>
      <c r="C660" s="137"/>
    </row>
    <row r="661">
      <c r="B661" s="12"/>
      <c r="C661" s="137"/>
    </row>
    <row r="662">
      <c r="B662" s="12"/>
      <c r="C662" s="137"/>
    </row>
    <row r="663">
      <c r="B663" s="12"/>
      <c r="C663" s="137"/>
    </row>
    <row r="664">
      <c r="B664" s="12"/>
      <c r="C664" s="137"/>
    </row>
    <row r="665">
      <c r="B665" s="12"/>
      <c r="C665" s="137"/>
    </row>
    <row r="666">
      <c r="B666" s="12"/>
      <c r="C666" s="137"/>
    </row>
    <row r="667">
      <c r="B667" s="12"/>
      <c r="C667" s="137"/>
    </row>
    <row r="668">
      <c r="B668" s="12"/>
      <c r="C668" s="137"/>
    </row>
    <row r="669">
      <c r="B669" s="12"/>
      <c r="C669" s="137"/>
    </row>
    <row r="670">
      <c r="B670" s="12"/>
      <c r="C670" s="137"/>
    </row>
    <row r="671">
      <c r="B671" s="12"/>
      <c r="C671" s="137"/>
    </row>
    <row r="672">
      <c r="B672" s="12"/>
      <c r="C672" s="137"/>
    </row>
    <row r="673">
      <c r="B673" s="12"/>
      <c r="C673" s="137"/>
    </row>
    <row r="674">
      <c r="B674" s="12"/>
      <c r="C674" s="137"/>
    </row>
    <row r="675">
      <c r="B675" s="12"/>
      <c r="C675" s="137"/>
    </row>
    <row r="676">
      <c r="B676" s="12"/>
      <c r="C676" s="137"/>
    </row>
    <row r="677">
      <c r="B677" s="12"/>
      <c r="C677" s="137"/>
    </row>
    <row r="678">
      <c r="B678" s="12"/>
      <c r="C678" s="137"/>
    </row>
    <row r="679">
      <c r="B679" s="12"/>
      <c r="C679" s="137"/>
    </row>
    <row r="680">
      <c r="B680" s="12"/>
      <c r="C680" s="137"/>
    </row>
    <row r="681">
      <c r="B681" s="12"/>
      <c r="C681" s="137"/>
    </row>
    <row r="682">
      <c r="B682" s="12"/>
      <c r="C682" s="137"/>
    </row>
    <row r="683">
      <c r="B683" s="12"/>
      <c r="C683" s="137"/>
    </row>
    <row r="684">
      <c r="B684" s="12"/>
      <c r="C684" s="137"/>
    </row>
    <row r="685">
      <c r="B685" s="12"/>
      <c r="C685" s="137"/>
    </row>
    <row r="686">
      <c r="B686" s="12"/>
      <c r="C686" s="137"/>
    </row>
    <row r="687">
      <c r="B687" s="12"/>
      <c r="C687" s="137"/>
    </row>
    <row r="688">
      <c r="B688" s="12"/>
      <c r="C688" s="137"/>
    </row>
    <row r="689">
      <c r="B689" s="12"/>
      <c r="C689" s="137"/>
    </row>
    <row r="690">
      <c r="B690" s="12"/>
      <c r="C690" s="137"/>
    </row>
    <row r="691">
      <c r="B691" s="12"/>
      <c r="C691" s="137"/>
    </row>
    <row r="692">
      <c r="B692" s="12"/>
      <c r="C692" s="137"/>
    </row>
    <row r="693">
      <c r="B693" s="12"/>
      <c r="C693" s="137"/>
    </row>
    <row r="694">
      <c r="B694" s="12"/>
      <c r="C694" s="137"/>
    </row>
    <row r="695">
      <c r="B695" s="12"/>
      <c r="C695" s="137"/>
    </row>
    <row r="696">
      <c r="B696" s="12"/>
      <c r="C696" s="137"/>
    </row>
    <row r="697">
      <c r="B697" s="12"/>
      <c r="C697" s="137"/>
    </row>
    <row r="698">
      <c r="B698" s="12"/>
      <c r="C698" s="137"/>
    </row>
    <row r="699">
      <c r="B699" s="12"/>
      <c r="C699" s="137"/>
    </row>
    <row r="700">
      <c r="B700" s="12"/>
      <c r="C700" s="137"/>
    </row>
    <row r="701">
      <c r="B701" s="12"/>
      <c r="C701" s="137"/>
    </row>
    <row r="702">
      <c r="B702" s="12"/>
      <c r="C702" s="137"/>
    </row>
    <row r="703">
      <c r="B703" s="12"/>
      <c r="C703" s="137"/>
    </row>
    <row r="704">
      <c r="B704" s="12"/>
      <c r="C704" s="137"/>
    </row>
    <row r="705">
      <c r="B705" s="12"/>
      <c r="C705" s="137"/>
    </row>
    <row r="706">
      <c r="B706" s="12"/>
      <c r="C706" s="137"/>
    </row>
    <row r="707">
      <c r="B707" s="12"/>
      <c r="C707" s="137"/>
    </row>
    <row r="708">
      <c r="B708" s="12"/>
      <c r="C708" s="137"/>
    </row>
    <row r="709">
      <c r="B709" s="12"/>
      <c r="C709" s="137"/>
    </row>
    <row r="710">
      <c r="B710" s="12"/>
      <c r="C710" s="137"/>
    </row>
    <row r="711">
      <c r="B711" s="12"/>
      <c r="C711" s="137"/>
    </row>
    <row r="712">
      <c r="B712" s="12"/>
      <c r="C712" s="137"/>
    </row>
    <row r="713">
      <c r="B713" s="12"/>
      <c r="C713" s="137"/>
    </row>
    <row r="714">
      <c r="B714" s="12"/>
      <c r="C714" s="137"/>
    </row>
    <row r="715">
      <c r="B715" s="12"/>
      <c r="C715" s="137"/>
    </row>
    <row r="716">
      <c r="B716" s="12"/>
      <c r="C716" s="137"/>
    </row>
    <row r="717">
      <c r="B717" s="12"/>
      <c r="C717" s="137"/>
    </row>
    <row r="718">
      <c r="B718" s="12"/>
      <c r="C718" s="137"/>
    </row>
    <row r="719">
      <c r="B719" s="12"/>
      <c r="C719" s="137"/>
    </row>
    <row r="720">
      <c r="B720" s="12"/>
      <c r="C720" s="137"/>
    </row>
    <row r="721">
      <c r="B721" s="12"/>
      <c r="C721" s="137"/>
    </row>
    <row r="722">
      <c r="B722" s="12"/>
      <c r="C722" s="137"/>
    </row>
    <row r="723">
      <c r="B723" s="12"/>
      <c r="C723" s="137"/>
    </row>
    <row r="724">
      <c r="B724" s="12"/>
      <c r="C724" s="137"/>
    </row>
    <row r="725">
      <c r="B725" s="12"/>
      <c r="C725" s="137"/>
    </row>
    <row r="726">
      <c r="B726" s="12"/>
      <c r="C726" s="137"/>
    </row>
    <row r="727">
      <c r="B727" s="12"/>
      <c r="C727" s="137"/>
    </row>
    <row r="728">
      <c r="B728" s="12"/>
      <c r="C728" s="137"/>
    </row>
    <row r="729">
      <c r="B729" s="12"/>
      <c r="C729" s="137"/>
    </row>
    <row r="730">
      <c r="B730" s="12"/>
      <c r="C730" s="137"/>
    </row>
    <row r="731">
      <c r="B731" s="12"/>
      <c r="C731" s="137"/>
    </row>
    <row r="732">
      <c r="B732" s="12"/>
      <c r="C732" s="137"/>
    </row>
    <row r="733">
      <c r="B733" s="12"/>
      <c r="C733" s="137"/>
    </row>
    <row r="734">
      <c r="B734" s="12"/>
      <c r="C734" s="137"/>
    </row>
    <row r="735">
      <c r="B735" s="12"/>
      <c r="C735" s="137"/>
    </row>
    <row r="736">
      <c r="B736" s="12"/>
      <c r="C736" s="137"/>
    </row>
    <row r="737">
      <c r="B737" s="12"/>
      <c r="C737" s="137"/>
    </row>
    <row r="738">
      <c r="B738" s="12"/>
      <c r="C738" s="137"/>
    </row>
    <row r="739">
      <c r="B739" s="12"/>
      <c r="C739" s="137"/>
    </row>
    <row r="740">
      <c r="B740" s="12"/>
      <c r="C740" s="137"/>
    </row>
    <row r="741">
      <c r="B741" s="12"/>
      <c r="C741" s="137"/>
    </row>
    <row r="742">
      <c r="B742" s="12"/>
      <c r="C742" s="137"/>
    </row>
    <row r="743">
      <c r="B743" s="12"/>
      <c r="C743" s="137"/>
    </row>
    <row r="744">
      <c r="B744" s="12"/>
      <c r="C744" s="137"/>
    </row>
    <row r="745">
      <c r="B745" s="12"/>
      <c r="C745" s="137"/>
    </row>
    <row r="746">
      <c r="B746" s="12"/>
      <c r="C746" s="137"/>
    </row>
    <row r="747">
      <c r="B747" s="12"/>
      <c r="C747" s="137"/>
    </row>
    <row r="748">
      <c r="B748" s="12"/>
      <c r="C748" s="137"/>
    </row>
    <row r="749">
      <c r="B749" s="12"/>
      <c r="C749" s="137"/>
    </row>
    <row r="750">
      <c r="B750" s="12"/>
      <c r="C750" s="137"/>
    </row>
    <row r="751">
      <c r="B751" s="12"/>
      <c r="C751" s="137"/>
    </row>
    <row r="752">
      <c r="B752" s="12"/>
      <c r="C752" s="137"/>
    </row>
    <row r="753">
      <c r="B753" s="12"/>
      <c r="C753" s="137"/>
    </row>
    <row r="754">
      <c r="B754" s="12"/>
      <c r="C754" s="137"/>
    </row>
    <row r="755">
      <c r="B755" s="12"/>
      <c r="C755" s="137"/>
    </row>
    <row r="756">
      <c r="B756" s="12"/>
      <c r="C756" s="137"/>
    </row>
    <row r="757">
      <c r="B757" s="12"/>
      <c r="C757" s="137"/>
    </row>
    <row r="758">
      <c r="B758" s="12"/>
      <c r="C758" s="137"/>
    </row>
    <row r="759">
      <c r="B759" s="12"/>
      <c r="C759" s="137"/>
    </row>
    <row r="760">
      <c r="B760" s="12"/>
      <c r="C760" s="137"/>
    </row>
    <row r="761">
      <c r="B761" s="12"/>
      <c r="C761" s="137"/>
    </row>
    <row r="762">
      <c r="B762" s="12"/>
      <c r="C762" s="137"/>
    </row>
    <row r="763">
      <c r="B763" s="12"/>
      <c r="C763" s="137"/>
    </row>
    <row r="764">
      <c r="B764" s="12"/>
      <c r="C764" s="137"/>
    </row>
    <row r="765">
      <c r="B765" s="12"/>
      <c r="C765" s="137"/>
    </row>
    <row r="766">
      <c r="B766" s="12"/>
      <c r="C766" s="137"/>
    </row>
    <row r="767">
      <c r="B767" s="12"/>
      <c r="C767" s="137"/>
    </row>
    <row r="768">
      <c r="B768" s="12"/>
      <c r="C768" s="137"/>
    </row>
    <row r="769">
      <c r="B769" s="12"/>
      <c r="C769" s="137"/>
    </row>
    <row r="770">
      <c r="B770" s="12"/>
      <c r="C770" s="137"/>
    </row>
    <row r="771">
      <c r="B771" s="12"/>
      <c r="C771" s="137"/>
    </row>
    <row r="772">
      <c r="B772" s="12"/>
      <c r="C772" s="137"/>
    </row>
    <row r="773">
      <c r="B773" s="12"/>
      <c r="C773" s="137"/>
    </row>
    <row r="774">
      <c r="B774" s="12"/>
      <c r="C774" s="137"/>
    </row>
    <row r="775">
      <c r="B775" s="12"/>
      <c r="C775" s="137"/>
    </row>
    <row r="776">
      <c r="B776" s="12"/>
      <c r="C776" s="137"/>
    </row>
    <row r="777">
      <c r="B777" s="12"/>
      <c r="C777" s="137"/>
    </row>
    <row r="778">
      <c r="B778" s="12"/>
      <c r="C778" s="137"/>
    </row>
    <row r="779">
      <c r="B779" s="12"/>
      <c r="C779" s="137"/>
    </row>
    <row r="780">
      <c r="B780" s="12"/>
      <c r="C780" s="137"/>
    </row>
    <row r="781">
      <c r="B781" s="12"/>
      <c r="C781" s="137"/>
    </row>
    <row r="782">
      <c r="B782" s="12"/>
      <c r="C782" s="137"/>
    </row>
    <row r="783">
      <c r="B783" s="12"/>
      <c r="C783" s="137"/>
    </row>
    <row r="784">
      <c r="B784" s="12"/>
      <c r="C784" s="137"/>
    </row>
    <row r="785">
      <c r="B785" s="12"/>
      <c r="C785" s="137"/>
    </row>
    <row r="786">
      <c r="B786" s="12"/>
      <c r="C786" s="137"/>
    </row>
    <row r="787">
      <c r="B787" s="12"/>
      <c r="C787" s="137"/>
    </row>
    <row r="788">
      <c r="B788" s="12"/>
      <c r="C788" s="137"/>
    </row>
    <row r="789">
      <c r="B789" s="12"/>
      <c r="C789" s="137"/>
    </row>
    <row r="790">
      <c r="B790" s="12"/>
      <c r="C790" s="137"/>
    </row>
    <row r="791">
      <c r="B791" s="12"/>
      <c r="C791" s="137"/>
    </row>
    <row r="792">
      <c r="B792" s="12"/>
      <c r="C792" s="137"/>
    </row>
    <row r="793">
      <c r="B793" s="12"/>
      <c r="C793" s="137"/>
    </row>
    <row r="794">
      <c r="B794" s="12"/>
      <c r="C794" s="137"/>
    </row>
    <row r="795">
      <c r="B795" s="12"/>
      <c r="C795" s="137"/>
    </row>
    <row r="796">
      <c r="B796" s="12"/>
      <c r="C796" s="137"/>
    </row>
    <row r="797">
      <c r="B797" s="12"/>
      <c r="C797" s="137"/>
    </row>
    <row r="798">
      <c r="B798" s="12"/>
      <c r="C798" s="137"/>
    </row>
    <row r="799">
      <c r="B799" s="12"/>
      <c r="C799" s="137"/>
    </row>
    <row r="800">
      <c r="B800" s="12"/>
      <c r="C800" s="137"/>
    </row>
    <row r="801">
      <c r="B801" s="12"/>
      <c r="C801" s="137"/>
    </row>
    <row r="802">
      <c r="B802" s="12"/>
      <c r="C802" s="137"/>
    </row>
    <row r="803">
      <c r="B803" s="12"/>
      <c r="C803" s="137"/>
    </row>
    <row r="804">
      <c r="B804" s="12"/>
      <c r="C804" s="137"/>
    </row>
    <row r="805">
      <c r="B805" s="12"/>
      <c r="C805" s="137"/>
    </row>
    <row r="806">
      <c r="B806" s="12"/>
      <c r="C806" s="137"/>
    </row>
    <row r="807">
      <c r="B807" s="12"/>
      <c r="C807" s="137"/>
    </row>
    <row r="808">
      <c r="B808" s="12"/>
      <c r="C808" s="137"/>
    </row>
    <row r="809">
      <c r="B809" s="12"/>
      <c r="C809" s="137"/>
    </row>
    <row r="810">
      <c r="B810" s="12"/>
      <c r="C810" s="137"/>
    </row>
    <row r="811">
      <c r="B811" s="12"/>
      <c r="C811" s="137"/>
    </row>
    <row r="812">
      <c r="B812" s="12"/>
      <c r="C812" s="137"/>
    </row>
    <row r="813">
      <c r="B813" s="12"/>
      <c r="C813" s="137"/>
    </row>
    <row r="814">
      <c r="B814" s="12"/>
      <c r="C814" s="137"/>
    </row>
    <row r="815">
      <c r="B815" s="12"/>
      <c r="C815" s="137"/>
    </row>
    <row r="816">
      <c r="B816" s="12"/>
      <c r="C816" s="137"/>
    </row>
    <row r="817">
      <c r="B817" s="12"/>
      <c r="C817" s="137"/>
    </row>
    <row r="818">
      <c r="B818" s="12"/>
      <c r="C818" s="137"/>
    </row>
    <row r="819">
      <c r="B819" s="12"/>
      <c r="C819" s="137"/>
    </row>
    <row r="820">
      <c r="B820" s="12"/>
      <c r="C820" s="137"/>
    </row>
    <row r="821">
      <c r="B821" s="12"/>
      <c r="C821" s="137"/>
    </row>
    <row r="822">
      <c r="B822" s="12"/>
      <c r="C822" s="137"/>
    </row>
    <row r="823">
      <c r="B823" s="12"/>
      <c r="C823" s="137"/>
    </row>
    <row r="824">
      <c r="B824" s="12"/>
      <c r="C824" s="137"/>
    </row>
    <row r="825">
      <c r="B825" s="12"/>
      <c r="C825" s="137"/>
    </row>
    <row r="826">
      <c r="B826" s="12"/>
      <c r="C826" s="137"/>
    </row>
    <row r="827">
      <c r="B827" s="12"/>
      <c r="C827" s="137"/>
    </row>
    <row r="828">
      <c r="B828" s="12"/>
      <c r="C828" s="137"/>
    </row>
    <row r="829">
      <c r="B829" s="12"/>
      <c r="C829" s="137"/>
    </row>
    <row r="830">
      <c r="B830" s="12"/>
      <c r="C830" s="137"/>
    </row>
    <row r="831">
      <c r="B831" s="12"/>
      <c r="C831" s="137"/>
    </row>
    <row r="832">
      <c r="B832" s="12"/>
      <c r="C832" s="137"/>
    </row>
    <row r="833">
      <c r="B833" s="12"/>
      <c r="C833" s="137"/>
    </row>
    <row r="834">
      <c r="B834" s="12"/>
      <c r="C834" s="137"/>
    </row>
    <row r="835">
      <c r="B835" s="12"/>
      <c r="C835" s="137"/>
    </row>
    <row r="836">
      <c r="B836" s="12"/>
      <c r="C836" s="137"/>
    </row>
    <row r="837">
      <c r="B837" s="12"/>
      <c r="C837" s="137"/>
    </row>
    <row r="838">
      <c r="B838" s="12"/>
      <c r="C838" s="137"/>
    </row>
    <row r="839">
      <c r="B839" s="12"/>
      <c r="C839" s="137"/>
    </row>
    <row r="840">
      <c r="B840" s="12"/>
      <c r="C840" s="137"/>
    </row>
    <row r="841">
      <c r="B841" s="12"/>
      <c r="C841" s="137"/>
    </row>
    <row r="842">
      <c r="B842" s="12"/>
      <c r="C842" s="137"/>
    </row>
    <row r="843">
      <c r="B843" s="12"/>
      <c r="C843" s="137"/>
    </row>
    <row r="844">
      <c r="B844" s="12"/>
      <c r="C844" s="137"/>
    </row>
    <row r="845">
      <c r="B845" s="12"/>
      <c r="C845" s="137"/>
    </row>
    <row r="846">
      <c r="B846" s="12"/>
      <c r="C846" s="137"/>
    </row>
    <row r="847">
      <c r="B847" s="12"/>
      <c r="C847" s="137"/>
    </row>
    <row r="848">
      <c r="B848" s="12"/>
      <c r="C848" s="137"/>
    </row>
    <row r="849">
      <c r="B849" s="12"/>
      <c r="C849" s="137"/>
    </row>
    <row r="850">
      <c r="B850" s="12"/>
      <c r="C850" s="137"/>
    </row>
    <row r="851">
      <c r="B851" s="12"/>
      <c r="C851" s="137"/>
    </row>
    <row r="852">
      <c r="B852" s="12"/>
      <c r="C852" s="137"/>
    </row>
    <row r="853">
      <c r="B853" s="12"/>
      <c r="C853" s="137"/>
    </row>
    <row r="854">
      <c r="B854" s="12"/>
      <c r="C854" s="137"/>
    </row>
    <row r="855">
      <c r="B855" s="12"/>
      <c r="C855" s="137"/>
    </row>
    <row r="856">
      <c r="B856" s="12"/>
      <c r="C856" s="137"/>
    </row>
    <row r="857">
      <c r="B857" s="12"/>
      <c r="C857" s="137"/>
    </row>
    <row r="858">
      <c r="B858" s="12"/>
      <c r="C858" s="137"/>
    </row>
    <row r="859">
      <c r="B859" s="12"/>
      <c r="C859" s="137"/>
    </row>
    <row r="860">
      <c r="B860" s="12"/>
      <c r="C860" s="137"/>
    </row>
    <row r="861">
      <c r="B861" s="12"/>
      <c r="C861" s="137"/>
    </row>
    <row r="862">
      <c r="B862" s="12"/>
      <c r="C862" s="137"/>
    </row>
    <row r="863">
      <c r="B863" s="12"/>
      <c r="C863" s="137"/>
    </row>
    <row r="864">
      <c r="B864" s="12"/>
      <c r="C864" s="137"/>
    </row>
    <row r="865">
      <c r="B865" s="12"/>
      <c r="C865" s="137"/>
    </row>
    <row r="866">
      <c r="B866" s="12"/>
      <c r="C866" s="137"/>
    </row>
    <row r="867">
      <c r="B867" s="12"/>
      <c r="C867" s="137"/>
    </row>
    <row r="868">
      <c r="B868" s="12"/>
      <c r="C868" s="137"/>
    </row>
    <row r="869">
      <c r="B869" s="12"/>
      <c r="C869" s="137"/>
    </row>
    <row r="870">
      <c r="B870" s="12"/>
      <c r="C870" s="137"/>
    </row>
    <row r="871">
      <c r="B871" s="12"/>
      <c r="C871" s="137"/>
    </row>
    <row r="872">
      <c r="B872" s="12"/>
      <c r="C872" s="137"/>
    </row>
    <row r="873">
      <c r="B873" s="12"/>
      <c r="C873" s="137"/>
    </row>
    <row r="874">
      <c r="B874" s="12"/>
      <c r="C874" s="137"/>
    </row>
    <row r="875">
      <c r="B875" s="12"/>
      <c r="C875" s="137"/>
    </row>
    <row r="876">
      <c r="B876" s="12"/>
      <c r="C876" s="137"/>
    </row>
    <row r="877">
      <c r="B877" s="12"/>
      <c r="C877" s="137"/>
    </row>
    <row r="878">
      <c r="B878" s="12"/>
      <c r="C878" s="137"/>
    </row>
    <row r="879">
      <c r="B879" s="12"/>
      <c r="C879" s="137"/>
    </row>
    <row r="880">
      <c r="B880" s="12"/>
      <c r="C880" s="137"/>
    </row>
    <row r="881">
      <c r="B881" s="12"/>
      <c r="C881" s="137"/>
    </row>
    <row r="882">
      <c r="B882" s="12"/>
      <c r="C882" s="137"/>
    </row>
    <row r="883">
      <c r="B883" s="12"/>
      <c r="C883" s="137"/>
    </row>
    <row r="884">
      <c r="B884" s="12"/>
      <c r="C884" s="137"/>
    </row>
    <row r="885">
      <c r="B885" s="12"/>
      <c r="C885" s="137"/>
    </row>
    <row r="886">
      <c r="B886" s="12"/>
      <c r="C886" s="137"/>
    </row>
    <row r="887">
      <c r="B887" s="12"/>
      <c r="C887" s="137"/>
    </row>
    <row r="888">
      <c r="B888" s="12"/>
      <c r="C888" s="137"/>
    </row>
    <row r="889">
      <c r="B889" s="12"/>
      <c r="C889" s="137"/>
    </row>
    <row r="890">
      <c r="B890" s="12"/>
      <c r="C890" s="137"/>
    </row>
    <row r="891">
      <c r="B891" s="12"/>
      <c r="C891" s="137"/>
    </row>
    <row r="892">
      <c r="B892" s="12"/>
      <c r="C892" s="137"/>
    </row>
    <row r="893">
      <c r="B893" s="12"/>
      <c r="C893" s="137"/>
    </row>
    <row r="894">
      <c r="B894" s="12"/>
      <c r="C894" s="137"/>
    </row>
    <row r="895">
      <c r="B895" s="12"/>
      <c r="C895" s="137"/>
    </row>
    <row r="896">
      <c r="B896" s="12"/>
      <c r="C896" s="137"/>
    </row>
    <row r="897">
      <c r="B897" s="12"/>
      <c r="C897" s="137"/>
    </row>
    <row r="898">
      <c r="B898" s="12"/>
      <c r="C898" s="137"/>
    </row>
    <row r="899">
      <c r="B899" s="12"/>
      <c r="C899" s="137"/>
    </row>
    <row r="900">
      <c r="B900" s="12"/>
      <c r="C900" s="137"/>
    </row>
    <row r="901">
      <c r="B901" s="12"/>
      <c r="C901" s="137"/>
    </row>
    <row r="902">
      <c r="B902" s="12"/>
      <c r="C902" s="137"/>
    </row>
    <row r="903">
      <c r="B903" s="12"/>
      <c r="C903" s="137"/>
    </row>
    <row r="904">
      <c r="B904" s="12"/>
      <c r="C904" s="137"/>
    </row>
    <row r="905">
      <c r="B905" s="12"/>
      <c r="C905" s="137"/>
    </row>
    <row r="906">
      <c r="B906" s="12"/>
      <c r="C906" s="137"/>
    </row>
    <row r="907">
      <c r="B907" s="12"/>
      <c r="C907" s="137"/>
    </row>
    <row r="908">
      <c r="B908" s="12"/>
      <c r="C908" s="137"/>
    </row>
    <row r="909">
      <c r="B909" s="12"/>
      <c r="C909" s="137"/>
    </row>
    <row r="910">
      <c r="B910" s="12"/>
      <c r="C910" s="137"/>
    </row>
    <row r="911">
      <c r="B911" s="12"/>
      <c r="C911" s="137"/>
    </row>
    <row r="912">
      <c r="B912" s="12"/>
      <c r="C912" s="137"/>
    </row>
    <row r="913">
      <c r="B913" s="12"/>
      <c r="C913" s="137"/>
    </row>
    <row r="914">
      <c r="B914" s="12"/>
      <c r="C914" s="137"/>
    </row>
    <row r="915">
      <c r="B915" s="12"/>
      <c r="C915" s="137"/>
    </row>
    <row r="916">
      <c r="B916" s="12"/>
      <c r="C916" s="137"/>
    </row>
    <row r="917">
      <c r="B917" s="12"/>
      <c r="C917" s="137"/>
    </row>
    <row r="918">
      <c r="B918" s="12"/>
      <c r="C918" s="137"/>
    </row>
    <row r="919">
      <c r="B919" s="12"/>
      <c r="C919" s="137"/>
    </row>
    <row r="920">
      <c r="B920" s="12"/>
      <c r="C920" s="137"/>
    </row>
    <row r="921">
      <c r="B921" s="12"/>
      <c r="C921" s="137"/>
    </row>
    <row r="922">
      <c r="B922" s="12"/>
      <c r="C922" s="137"/>
    </row>
    <row r="923">
      <c r="B923" s="12"/>
      <c r="C923" s="137"/>
    </row>
    <row r="924">
      <c r="B924" s="12"/>
      <c r="C924" s="137"/>
    </row>
    <row r="925">
      <c r="B925" s="12"/>
      <c r="C925" s="137"/>
    </row>
    <row r="926">
      <c r="B926" s="12"/>
      <c r="C926" s="137"/>
    </row>
    <row r="927">
      <c r="B927" s="12"/>
      <c r="C927" s="137"/>
    </row>
    <row r="928">
      <c r="B928" s="12"/>
      <c r="C928" s="137"/>
    </row>
    <row r="929">
      <c r="B929" s="12"/>
      <c r="C929" s="137"/>
    </row>
    <row r="930">
      <c r="B930" s="12"/>
      <c r="C930" s="137"/>
    </row>
    <row r="931">
      <c r="B931" s="12"/>
      <c r="C931" s="137"/>
    </row>
    <row r="932">
      <c r="B932" s="12"/>
      <c r="C932" s="137"/>
    </row>
    <row r="933">
      <c r="B933" s="12"/>
      <c r="C933" s="137"/>
    </row>
    <row r="934">
      <c r="B934" s="12"/>
      <c r="C934" s="137"/>
    </row>
    <row r="935">
      <c r="B935" s="12"/>
      <c r="C935" s="137"/>
    </row>
    <row r="936">
      <c r="B936" s="12"/>
      <c r="C936" s="137"/>
    </row>
    <row r="937">
      <c r="B937" s="12"/>
      <c r="C937" s="137"/>
    </row>
    <row r="938">
      <c r="B938" s="12"/>
      <c r="C938" s="137"/>
    </row>
    <row r="939">
      <c r="B939" s="12"/>
      <c r="C939" s="137"/>
    </row>
    <row r="940">
      <c r="B940" s="12"/>
      <c r="C940" s="137"/>
    </row>
    <row r="941">
      <c r="B941" s="12"/>
      <c r="C941" s="137"/>
    </row>
    <row r="942">
      <c r="B942" s="12"/>
      <c r="C942" s="137"/>
    </row>
    <row r="943">
      <c r="B943" s="12"/>
      <c r="C943" s="137"/>
    </row>
    <row r="944">
      <c r="B944" s="12"/>
      <c r="C944" s="137"/>
    </row>
    <row r="945">
      <c r="B945" s="12"/>
      <c r="C945" s="137"/>
    </row>
    <row r="946">
      <c r="B946" s="12"/>
      <c r="C946" s="137"/>
    </row>
    <row r="947">
      <c r="B947" s="12"/>
      <c r="C947" s="137"/>
    </row>
    <row r="948">
      <c r="B948" s="12"/>
      <c r="C948" s="137"/>
    </row>
    <row r="949">
      <c r="B949" s="12"/>
      <c r="C949" s="137"/>
    </row>
    <row r="950">
      <c r="B950" s="12"/>
      <c r="C950" s="137"/>
    </row>
    <row r="951">
      <c r="B951" s="12"/>
      <c r="C951" s="137"/>
    </row>
    <row r="952">
      <c r="B952" s="12"/>
      <c r="C952" s="137"/>
    </row>
    <row r="953">
      <c r="B953" s="12"/>
      <c r="C953" s="137"/>
    </row>
    <row r="954">
      <c r="B954" s="12"/>
      <c r="C954" s="137"/>
    </row>
    <row r="955">
      <c r="B955" s="12"/>
      <c r="C955" s="137"/>
    </row>
    <row r="956">
      <c r="B956" s="12"/>
      <c r="C956" s="137"/>
    </row>
    <row r="957">
      <c r="B957" s="12"/>
      <c r="C957" s="137"/>
    </row>
    <row r="958">
      <c r="B958" s="12"/>
      <c r="C958" s="137"/>
    </row>
    <row r="959">
      <c r="B959" s="12"/>
      <c r="C959" s="137"/>
    </row>
    <row r="960">
      <c r="B960" s="12"/>
      <c r="C960" s="137"/>
    </row>
    <row r="961">
      <c r="B961" s="12"/>
      <c r="C961" s="137"/>
    </row>
    <row r="962">
      <c r="B962" s="12"/>
      <c r="C962" s="137"/>
    </row>
    <row r="963">
      <c r="B963" s="12"/>
      <c r="C963" s="137"/>
    </row>
    <row r="964">
      <c r="B964" s="12"/>
      <c r="C964" s="137"/>
    </row>
    <row r="965">
      <c r="B965" s="12"/>
      <c r="C965" s="137"/>
    </row>
    <row r="966">
      <c r="B966" s="12"/>
      <c r="C966" s="137"/>
    </row>
    <row r="967">
      <c r="B967" s="12"/>
      <c r="C967" s="137"/>
    </row>
    <row r="968">
      <c r="B968" s="12"/>
      <c r="C968" s="137"/>
    </row>
    <row r="969">
      <c r="B969" s="12"/>
      <c r="C969" s="137"/>
    </row>
    <row r="970">
      <c r="B970" s="12"/>
      <c r="C970" s="137"/>
    </row>
    <row r="971">
      <c r="B971" s="12"/>
      <c r="C971" s="137"/>
    </row>
    <row r="972">
      <c r="B972" s="12"/>
      <c r="C972" s="137"/>
    </row>
    <row r="973">
      <c r="B973" s="12"/>
      <c r="C973" s="137"/>
    </row>
    <row r="974">
      <c r="B974" s="12"/>
      <c r="C974" s="137"/>
    </row>
    <row r="975">
      <c r="B975" s="12"/>
      <c r="C975" s="137"/>
    </row>
    <row r="976">
      <c r="B976" s="12"/>
      <c r="C976" s="137"/>
    </row>
    <row r="977">
      <c r="B977" s="12"/>
      <c r="C977" s="137"/>
    </row>
    <row r="978">
      <c r="B978" s="12"/>
      <c r="C978" s="137"/>
    </row>
    <row r="979">
      <c r="B979" s="12"/>
      <c r="C979" s="137"/>
    </row>
    <row r="980">
      <c r="B980" s="12"/>
      <c r="C980" s="137"/>
    </row>
    <row r="981">
      <c r="B981" s="12"/>
      <c r="C981" s="137"/>
    </row>
    <row r="982">
      <c r="B982" s="12"/>
      <c r="C982" s="137"/>
    </row>
    <row r="983">
      <c r="B983" s="12"/>
      <c r="C983" s="137"/>
    </row>
    <row r="984">
      <c r="B984" s="12"/>
      <c r="C984" s="137"/>
    </row>
    <row r="985">
      <c r="B985" s="12"/>
      <c r="C985" s="137"/>
    </row>
    <row r="986">
      <c r="B986" s="12"/>
      <c r="C986" s="137"/>
    </row>
    <row r="987">
      <c r="B987" s="12"/>
      <c r="C987" s="137"/>
    </row>
    <row r="988">
      <c r="B988" s="12"/>
      <c r="C988" s="137"/>
    </row>
    <row r="989">
      <c r="B989" s="12"/>
      <c r="C989" s="137"/>
    </row>
    <row r="990">
      <c r="B990" s="12"/>
      <c r="C990" s="137"/>
    </row>
    <row r="991">
      <c r="B991" s="12"/>
      <c r="C991" s="137"/>
    </row>
    <row r="992">
      <c r="B992" s="12"/>
      <c r="C992" s="137"/>
    </row>
    <row r="993">
      <c r="B993" s="12"/>
      <c r="C993" s="137"/>
    </row>
    <row r="994">
      <c r="B994" s="12"/>
      <c r="C994" s="137"/>
    </row>
    <row r="995">
      <c r="B995" s="12"/>
      <c r="C995" s="137"/>
    </row>
    <row r="996">
      <c r="B996" s="12"/>
      <c r="C996" s="137"/>
    </row>
    <row r="997">
      <c r="B997" s="12"/>
      <c r="C997" s="137"/>
    </row>
    <row r="998">
      <c r="B998" s="12"/>
      <c r="C998" s="137"/>
    </row>
    <row r="999">
      <c r="B999" s="12"/>
      <c r="C999" s="137"/>
    </row>
    <row r="1000">
      <c r="B1000" s="12"/>
      <c r="C1000" s="137"/>
    </row>
    <row r="1001">
      <c r="B1001" s="12"/>
      <c r="C1001" s="137"/>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27">
        <v>45806.43592847222</v>
      </c>
      <c r="B1" s="32" t="s">
        <v>956</v>
      </c>
      <c r="C1" s="32" t="s">
        <v>957</v>
      </c>
    </row>
    <row r="2">
      <c r="A2" s="427">
        <v>45806.43603293982</v>
      </c>
      <c r="B2" s="32" t="s">
        <v>958</v>
      </c>
      <c r="C2" s="32"/>
    </row>
    <row r="3">
      <c r="A3" s="427">
        <v>45806.435972673615</v>
      </c>
      <c r="B3" s="32" t="s">
        <v>959</v>
      </c>
      <c r="C3" s="32" t="s">
        <v>960</v>
      </c>
    </row>
    <row r="4">
      <c r="A4" s="427">
        <v>45806.43595630787</v>
      </c>
      <c r="B4" s="32" t="s">
        <v>961</v>
      </c>
      <c r="C4" s="32" t="s">
        <v>962</v>
      </c>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21.38"/>
    <col customWidth="1" min="2" max="2" width="15.13"/>
    <col customWidth="1" min="3" max="3" width="68.75"/>
    <col customWidth="1" min="4" max="4" width="9.0"/>
    <col customWidth="1" min="10" max="10" width="11.0"/>
  </cols>
  <sheetData>
    <row r="1">
      <c r="A1" s="368" t="str">
        <f>IFERROR(__xludf.DUMMYFUNCTION("IMPORTRANGE(""https://docs.google.com/spreadsheets/d/1PPFix0KE5FV0_ekB8X93l4fBTTlhI3_4FnP7klgfg_Y/edit?gid=0#gid=0"", ""Uri-Kesh!a1:f100"")"),"URI-KESH")</f>
        <v>URI-KESH</v>
      </c>
      <c r="B1" s="369"/>
      <c r="C1" s="370" t="str">
        <f>IFERROR(__xludf.DUMMYFUNCTION("""COMPUTED_VALUE"""),"Urving (Bill Sabram)")</f>
        <v>Urving (Bill Sabram)</v>
      </c>
      <c r="D1" s="371"/>
      <c r="E1" s="371"/>
      <c r="F1" s="374"/>
      <c r="G1" s="374"/>
      <c r="H1" s="374"/>
      <c r="I1" s="374"/>
      <c r="J1" s="374"/>
      <c r="K1" s="371"/>
      <c r="L1" s="371"/>
      <c r="M1" s="371"/>
      <c r="N1" s="371"/>
      <c r="O1" s="371"/>
      <c r="P1" s="371"/>
      <c r="Q1" s="371"/>
      <c r="R1" s="371"/>
      <c r="S1" s="371"/>
      <c r="T1" s="371"/>
      <c r="U1" s="371"/>
      <c r="V1" s="371"/>
      <c r="W1" s="371"/>
      <c r="X1" s="371"/>
      <c r="Y1" s="371"/>
    </row>
    <row r="2">
      <c r="A2" s="214"/>
      <c r="B2" s="12"/>
      <c r="C2" s="137"/>
      <c r="D2" s="214"/>
      <c r="E2" s="260" t="str">
        <f>IFERROR(__xludf.DUMMYFUNCTION("""COMPUTED_VALUE"""),"Caster")</f>
        <v>Caster</v>
      </c>
      <c r="F2" s="214" t="str">
        <f>IFERROR(__xludf.DUMMYFUNCTION("""COMPUTED_VALUE"""),"Imogene")</f>
        <v>Imogene</v>
      </c>
    </row>
    <row r="3">
      <c r="A3" s="262" t="str">
        <f>IFERROR(__xludf.DUMMYFUNCTION("""COMPUTED_VALUE"""),"PARTY PATH")</f>
        <v>PARTY PATH</v>
      </c>
      <c r="B3" s="12"/>
      <c r="C3" s="137"/>
      <c r="D3" s="214"/>
      <c r="E3" s="260" t="str">
        <f>IFERROR(__xludf.DUMMYFUNCTION("""COMPUTED_VALUE"""),"Keeper")</f>
        <v>Keeper</v>
      </c>
      <c r="F3" s="214" t="str">
        <f>IFERROR(__xludf.DUMMYFUNCTION("""COMPUTED_VALUE"""),"Cody")</f>
        <v>Cody</v>
      </c>
    </row>
    <row r="4">
      <c r="A4" s="8" t="str">
        <f>IFERROR(__xludf.DUMMYFUNCTION("""COMPUTED_VALUE"""),"Character")</f>
        <v>Character</v>
      </c>
      <c r="B4" s="86" t="str">
        <f>IFERROR(__xludf.DUMMYFUNCTION("""COMPUTED_VALUE"""),"Gave Item/Info")</f>
        <v>Gave Item/Info</v>
      </c>
      <c r="C4" s="263" t="str">
        <f>IFERROR(__xludf.DUMMYFUNCTION("""COMPUTED_VALUE"""),"Notes")</f>
        <v>Notes</v>
      </c>
      <c r="D4" s="214"/>
      <c r="E4" s="260" t="str">
        <f>IFERROR(__xludf.DUMMYFUNCTION("""COMPUTED_VALUE"""),"Maker")</f>
        <v>Maker</v>
      </c>
      <c r="F4" s="214" t="str">
        <f>IFERROR(__xludf.DUMMYFUNCTION("""COMPUTED_VALUE"""),"Whimsy; black cloak red trim")</f>
        <v>Whimsy; black cloak red trim</v>
      </c>
    </row>
    <row r="5">
      <c r="A5" s="32" t="str">
        <f>IFERROR(__xludf.DUMMYFUNCTION("""COMPUTED_VALUE"""),"Bartleby Sprink")</f>
        <v>Bartleby Sprink</v>
      </c>
      <c r="B5" s="48" t="b">
        <f>IFERROR(__xludf.DUMMYFUNCTION("""COMPUTED_VALUE"""),TRUE)</f>
        <v>1</v>
      </c>
      <c r="C5" s="138" t="str">
        <f>IFERROR(__xludf.DUMMYFUNCTION("""COMPUTED_VALUE"""),"Delightful group, easy handoff")</f>
        <v>Delightful group, easy handoff</v>
      </c>
      <c r="D5" s="214"/>
      <c r="E5" s="260" t="str">
        <f>IFERROR(__xludf.DUMMYFUNCTION("""COMPUTED_VALUE"""),"Ranger")</f>
        <v>Ranger</v>
      </c>
      <c r="F5" s="214" t="str">
        <f>IFERROR(__xludf.DUMMYFUNCTION("""COMPUTED_VALUE"""),"Vinn; red sweater black cloak")</f>
        <v>Vinn; red sweater black cloak</v>
      </c>
    </row>
    <row r="6">
      <c r="A6" s="32" t="str">
        <f>IFERROR(__xludf.DUMMYFUNCTION("""COMPUTED_VALUE"""),"Umberto Dunn")</f>
        <v>Umberto Dunn</v>
      </c>
      <c r="B6" s="48" t="b">
        <f>IFERROR(__xludf.DUMMYFUNCTION("""COMPUTED_VALUE"""),TRUE)</f>
        <v>1</v>
      </c>
      <c r="C6" s="222" t="str">
        <f>IFERROR(__xludf.DUMMYFUNCTION("""COMPUTED_VALUE"""),"Very engaged, only describing a stolen lamp and not mentioning it is magical or a genie - BW")</f>
        <v>Very engaged, only describing a stolen lamp and not mentioning it is magical or a genie - BW</v>
      </c>
      <c r="D6" s="214"/>
      <c r="E6" s="260" t="str">
        <f>IFERROR(__xludf.DUMMYFUNCTION("""COMPUTED_VALUE"""),"Seeker")</f>
        <v>Seeker</v>
      </c>
      <c r="F6" s="214" t="str">
        <f>IFERROR(__xludf.DUMMYFUNCTION("""COMPUTED_VALUE"""),"Gibran; cloak w/ Uri Kesh crest")</f>
        <v>Gibran; cloak w/ Uri Kesh crest</v>
      </c>
    </row>
    <row r="7">
      <c r="A7" s="32" t="str">
        <f>IFERROR(__xludf.DUMMYFUNCTION("""COMPUTED_VALUE"""),"Tinker Bill")</f>
        <v>Tinker Bill</v>
      </c>
      <c r="B7" s="12" t="b">
        <f>IFERROR(__xludf.DUMMYFUNCTION("""COMPUTED_VALUE"""),TRUE)</f>
        <v>1</v>
      </c>
      <c r="C7" s="138" t="str">
        <f>IFERROR(__xludf.DUMMYFUNCTION("""COMPUTED_VALUE"""),"Very curious about last night and the burned theater. Engaged, excited, figuring out how to be a team. Also curious about what crimes may be tried at trial!")</f>
        <v>Very curious about last night and the burned theater. Engaged, excited, figuring out how to be a team. Also curious about what crimes may be tried at trial!</v>
      </c>
      <c r="D7" s="214"/>
      <c r="E7" s="260" t="str">
        <f>IFERROR(__xludf.DUMMYFUNCTION("""COMPUTED_VALUE"""),"Traveler")</f>
        <v>Traveler</v>
      </c>
      <c r="F7" s="214" t="str">
        <f>IFERROR(__xludf.DUMMYFUNCTION("""COMPUTED_VALUE"""),"Raja; red vest black hood")</f>
        <v>Raja; red vest black hood</v>
      </c>
    </row>
    <row r="8">
      <c r="A8" s="32" t="str">
        <f>IFERROR(__xludf.DUMMYFUNCTION("""COMPUTED_VALUE"""),"Esmerelda")</f>
        <v>Esmerelda</v>
      </c>
      <c r="B8" s="48" t="b">
        <f>IFERROR(__xludf.DUMMYFUNCTION("""COMPUTED_VALUE"""),TRUE)</f>
        <v>1</v>
      </c>
      <c r="C8" s="138" t="str">
        <f>IFERROR(__xludf.DUMMYFUNCTION("""COMPUTED_VALUE"""),"Party seemed very enthusiastic and immediately bought in, but Seeker did not participate in Grab-Bag storytelling - not sure if shy or just tired, seemed a little checked out watching fire - ESD")</f>
        <v>Party seemed very enthusiastic and immediately bought in, but Seeker did not participate in Grab-Bag storytelling - not sure if shy or just tired, seemed a little checked out watching fire - ESD</v>
      </c>
      <c r="D8" s="214" t="str">
        <f>IFERROR(__xludf.DUMMYFUNCTION("""COMPUTED_VALUE"""),"Note from Deb: Eleanor is a ROCK STAR.")</f>
        <v>Note from Deb: Eleanor is a ROCK STAR.</v>
      </c>
      <c r="E8" s="214"/>
      <c r="F8" s="214"/>
    </row>
    <row r="9">
      <c r="A9" s="32" t="str">
        <f>IFERROR(__xludf.DUMMYFUNCTION("""COMPUTED_VALUE"""),"Celeste Wilde")</f>
        <v>Celeste Wilde</v>
      </c>
      <c r="B9" s="48" t="b">
        <f>IFERROR(__xludf.DUMMYFUNCTION("""COMPUTED_VALUE"""),TRUE)</f>
        <v>1</v>
      </c>
      <c r="C9" s="222" t="str">
        <f>IFERROR(__xludf.DUMMYFUNCTION("""COMPUTED_VALUE"""),"Charmed, I'm sure challenge.  Gave the looking glass. All good! -EL")</f>
        <v>Charmed, I'm sure challenge.  Gave the looking glass. All good! -EL</v>
      </c>
      <c r="D9" s="214"/>
      <c r="E9" s="214"/>
      <c r="F9" s="214"/>
    </row>
    <row r="10">
      <c r="A10" s="32" t="str">
        <f>IFERROR(__xludf.DUMMYFUNCTION("""COMPUTED_VALUE"""),"Lenora Graves")</f>
        <v>Lenora Graves</v>
      </c>
      <c r="B10" s="48" t="b">
        <f>IFERROR(__xludf.DUMMYFUNCTION("""COMPUTED_VALUE"""),TRUE)</f>
        <v>1</v>
      </c>
      <c r="C10" s="138" t="str">
        <f>IFERROR(__xludf.DUMMYFUNCTION("""COMPUTED_VALUE"""),"Gave them the riddle. Sweet group.")</f>
        <v>Gave them the riddle. Sweet group.</v>
      </c>
      <c r="D10" s="214"/>
      <c r="E10" s="214"/>
      <c r="F10" s="214"/>
    </row>
    <row r="11">
      <c r="A11" s="32" t="str">
        <f>IFERROR(__xludf.DUMMYFUNCTION("""COMPUTED_VALUE"""),"Diesel (Don't give item)")</f>
        <v>Diesel (Don't give item)</v>
      </c>
      <c r="B11" s="48" t="b">
        <f>IFERROR(__xludf.DUMMYFUNCTION("""COMPUTED_VALUE"""),TRUE)</f>
        <v>1</v>
      </c>
      <c r="C11" s="138" t="str">
        <f>IFERROR(__xludf.DUMMYFUNCTION("""COMPUTED_VALUE"""),"Chatted with traveler; she asked about the rum, I told her I couldn't possibly give it up.  I think we're on track to have the right interaction tomorrow.  --LN, Friday night / Went perfect. -LN, sat noon")</f>
        <v>Chatted with traveler; she asked about the rum, I told her I couldn't possibly give it up.  I think we're on track to have the right interaction tomorrow.  --LN, Friday night / Went perfect. -LN, sat noon</v>
      </c>
      <c r="D11" s="214"/>
      <c r="E11" s="214"/>
      <c r="F11" s="214"/>
    </row>
    <row r="12">
      <c r="A12" s="214" t="str">
        <f>IFERROR(__xludf.DUMMYFUNCTION("""COMPUTED_VALUE"""),"Kullis Toolforger")</f>
        <v>Kullis Toolforger</v>
      </c>
      <c r="B12" s="48" t="b">
        <f>IFERROR(__xludf.DUMMYFUNCTION("""COMPUTED_VALUE"""),TRUE)</f>
        <v>1</v>
      </c>
      <c r="C12" s="138"/>
      <c r="D12" s="214"/>
      <c r="E12" s="214"/>
      <c r="F12" s="214"/>
    </row>
    <row r="13">
      <c r="A13" s="214" t="str">
        <f>IFERROR(__xludf.DUMMYFUNCTION("""COMPUTED_VALUE"""),"Phineas Smirch")</f>
        <v>Phineas Smirch</v>
      </c>
      <c r="B13" s="12" t="b">
        <f>IFERROR(__xludf.DUMMYFUNCTION("""COMPUTED_VALUE"""),TRUE)</f>
        <v>1</v>
      </c>
      <c r="C13" s="138" t="str">
        <f>IFERROR(__xludf.DUMMYFUNCTION("""COMPUTED_VALUE"""),"Did the jingle challenge")</f>
        <v>Did the jingle challenge</v>
      </c>
      <c r="D13" s="214"/>
      <c r="E13" s="214"/>
      <c r="F13" s="214"/>
    </row>
    <row r="14">
      <c r="A14" s="214" t="str">
        <f>IFERROR(__xludf.DUMMYFUNCTION("""COMPUTED_VALUE"""),"Milton Peacock")</f>
        <v>Milton Peacock</v>
      </c>
      <c r="B14" s="12" t="b">
        <f>IFERROR(__xludf.DUMMYFUNCTION("""COMPUTED_VALUE"""),TRUE)</f>
        <v>1</v>
      </c>
      <c r="C14" s="138" t="str">
        <f>IFERROR(__xludf.DUMMYFUNCTION("""COMPUTED_VALUE"""),"11am-ish.  Party seems pretty split between folks like Vinn always trying to lead, and the Seeker Gibran who really really really didn't want to lead and seemed unhappy when we isolated him to be one of the 2 people speaking in round two of the perfect sq"&amp;"uare challenge. JF")</f>
        <v>11am-ish.  Party seems pretty split between folks like Vinn always trying to lead, and the Seeker Gibran who really really really didn't want to lead and seemed unhappy when we isolated him to be one of the 2 people speaking in round two of the perfect square challenge. JF</v>
      </c>
      <c r="D14" s="214"/>
      <c r="E14" s="214"/>
      <c r="F14" s="214"/>
    </row>
    <row r="15">
      <c r="A15" s="32" t="str">
        <f>IFERROR(__xludf.DUMMYFUNCTION("""COMPUTED_VALUE"""),"Obsidian")</f>
        <v>Obsidian</v>
      </c>
      <c r="B15" s="12" t="b">
        <f>IFERROR(__xludf.DUMMYFUNCTION("""COMPUTED_VALUE"""),TRUE)</f>
        <v>1</v>
      </c>
      <c r="C15" s="138"/>
      <c r="D15" s="214"/>
      <c r="E15" s="214"/>
      <c r="F15" s="214"/>
    </row>
    <row r="16">
      <c r="A16" s="214" t="str">
        <f>IFERROR(__xludf.DUMMYFUNCTION("""COMPUTED_VALUE"""),"Katherine Carmichael")</f>
        <v>Katherine Carmichael</v>
      </c>
      <c r="B16" s="12" t="b">
        <f>IFERROR(__xludf.DUMMYFUNCTION("""COMPUTED_VALUE"""),TRUE)</f>
        <v>1</v>
      </c>
      <c r="C16" s="137" t="str">
        <f>IFERROR(__xludf.DUMMYFUNCTION("""COMPUTED_VALUE"""),"Gave the wine stopper -they played double mute charades together well")</f>
        <v>Gave the wine stopper -they played double mute charades together well</v>
      </c>
      <c r="D16" s="214"/>
      <c r="E16" s="214"/>
      <c r="F16" s="214"/>
    </row>
    <row r="17">
      <c r="A17" s="216" t="str">
        <f>IFERROR(__xludf.DUMMYFUNCTION("""COMPUTED_VALUE"""),"the Court of Mirrors")</f>
        <v>the Court of Mirrors</v>
      </c>
      <c r="B17" s="216" t="b">
        <f>IFERROR(__xludf.DUMMYFUNCTION("""COMPUTED_VALUE"""),TRUE)</f>
        <v>1</v>
      </c>
      <c r="C17" s="137" t="str">
        <f>IFERROR(__xludf.DUMMYFUNCTION("""COMPUTED_VALUE"""),"The first pair were super descriptive and communicative.  They were pretty quick and clear. jag")</f>
        <v>The first pair were super descriptive and communicative.  They were pretty quick and clear. jag</v>
      </c>
      <c r="D17" s="214"/>
      <c r="E17" s="214"/>
      <c r="F17" s="214"/>
    </row>
    <row r="18">
      <c r="A18" s="216" t="str">
        <f>IFERROR(__xludf.DUMMYFUNCTION("""COMPUTED_VALUE"""),"Diesel (Sunday)")</f>
        <v>Diesel (Sunday)</v>
      </c>
      <c r="B18" s="232" t="b">
        <f>IFERROR(__xludf.DUMMYFUNCTION("""COMPUTED_VALUE"""),FALSE)</f>
        <v>0</v>
      </c>
      <c r="C18" s="263"/>
      <c r="D18" s="86"/>
      <c r="E18" s="214"/>
      <c r="F18" s="214"/>
    </row>
    <row r="19">
      <c r="A19" s="32" t="str">
        <f>IFERROR(__xludf.DUMMYFUNCTION("""COMPUTED_VALUE"""),"Esmerelda (and Genie!)")</f>
        <v>Esmerelda (and Genie!)</v>
      </c>
      <c r="B19" s="48" t="b">
        <f>IFERROR(__xludf.DUMMYFUNCTION("""COMPUTED_VALUE"""),FALSE)</f>
        <v>0</v>
      </c>
      <c r="C19" s="138"/>
      <c r="D19" s="12"/>
      <c r="E19" s="214"/>
      <c r="F19" s="214"/>
    </row>
    <row r="20">
      <c r="A20" s="32"/>
      <c r="B20" s="48"/>
      <c r="C20" s="138"/>
      <c r="D20" s="12"/>
      <c r="E20" s="214"/>
      <c r="F20" s="214"/>
    </row>
    <row r="21">
      <c r="A21" s="32"/>
      <c r="B21" s="48"/>
      <c r="C21" s="222"/>
      <c r="D21" s="12"/>
      <c r="E21" s="214"/>
      <c r="F21" s="214"/>
    </row>
    <row r="22">
      <c r="A22" s="32" t="str">
        <f>IFERROR(__xludf.DUMMYFUNCTION("""COMPUTED_VALUE"""),"CHARGE INFO")</f>
        <v>CHARGE INFO</v>
      </c>
      <c r="B22" s="48" t="str">
        <f>IFERROR(__xludf.DUMMYFUNCTION("""COMPUTED_VALUE"""),"(Eugenie Bright)")</f>
        <v>(Eugenie Bright)</v>
      </c>
      <c r="C22" s="138"/>
      <c r="D22" s="12"/>
      <c r="E22" s="214"/>
      <c r="F22" s="214"/>
    </row>
    <row r="23">
      <c r="A23" s="32" t="str">
        <f>IFERROR(__xludf.DUMMYFUNCTION("""COMPUTED_VALUE"""),"Character")</f>
        <v>Character</v>
      </c>
      <c r="B23" s="48" t="str">
        <f>IFERROR(__xludf.DUMMYFUNCTION("""COMPUTED_VALUE"""),"Gave Info")</f>
        <v>Gave Info</v>
      </c>
      <c r="C23" s="222" t="str">
        <f>IFERROR(__xludf.DUMMYFUNCTION("""COMPUTED_VALUE"""),"Notes")</f>
        <v>Notes</v>
      </c>
      <c r="D23" s="12"/>
      <c r="E23" s="214"/>
      <c r="F23" s="214"/>
    </row>
    <row r="24">
      <c r="A24" s="32" t="str">
        <f>IFERROR(__xludf.DUMMYFUNCTION("""COMPUTED_VALUE"""),"Edwin Davies")</f>
        <v>Edwin Davies</v>
      </c>
      <c r="B24" s="48" t="b">
        <f>IFERROR(__xludf.DUMMYFUNCTION("""COMPUTED_VALUE"""),TRUE)</f>
        <v>1</v>
      </c>
      <c r="C24" s="138" t="str">
        <f>IFERROR(__xludf.DUMMYFUNCTION("""COMPUTED_VALUE"""),"Gave charge to 3 or 4 of the 5 party members; had a good connection (especially with the Seeker-Keeper) but made sure to also show my true complainy/self-centered nature.")</f>
        <v>Gave charge to 3 or 4 of the 5 party members; had a good connection (especially with the Seeker-Keeper) but made sure to also show my true complainy/self-centered nature.</v>
      </c>
      <c r="D24" s="12"/>
      <c r="E24" s="214"/>
      <c r="F24" s="214"/>
    </row>
    <row r="25">
      <c r="A25" s="32" t="str">
        <f>IFERROR(__xludf.DUMMYFUNCTION("""COMPUTED_VALUE"""),"Sylvie Valerius")</f>
        <v>Sylvie Valerius</v>
      </c>
      <c r="B25" s="48" t="b">
        <f>IFERROR(__xludf.DUMMYFUNCTION("""COMPUTED_VALUE"""),TRUE)</f>
        <v>1</v>
      </c>
      <c r="C25" s="138" t="str">
        <f>IFERROR(__xludf.DUMMYFUNCTION("""COMPUTED_VALUE"""),"spoke about Dora, gently disparaging Edwin, not a long enough chat - half check! fully complete midnight Sat - still resistant to interact w/ nobles!")</f>
        <v>spoke about Dora, gently disparaging Edwin, not a long enough chat - half check! fully complete midnight Sat - still resistant to interact w/ nobles!</v>
      </c>
      <c r="D25" s="12"/>
      <c r="E25" s="214"/>
      <c r="F25" s="214"/>
    </row>
    <row r="26">
      <c r="A26" s="32" t="str">
        <f>IFERROR(__xludf.DUMMYFUNCTION("""COMPUTED_VALUE"""),"Valentina")</f>
        <v>Valentina</v>
      </c>
      <c r="B26" s="48" t="b">
        <f>IFERROR(__xludf.DUMMYFUNCTION("""COMPUTED_VALUE"""),FALSE)</f>
        <v>0</v>
      </c>
      <c r="C26" s="138"/>
      <c r="D26" s="12"/>
      <c r="E26" s="214"/>
      <c r="F26" s="214"/>
    </row>
    <row r="27">
      <c r="A27" s="32" t="str">
        <f>IFERROR(__xludf.DUMMYFUNCTION("""COMPUTED_VALUE"""),"Phyllis Fieri")</f>
        <v>Phyllis Fieri</v>
      </c>
      <c r="B27" s="48" t="b">
        <f>IFERROR(__xludf.DUMMYFUNCTION("""COMPUTED_VALUE"""),TRUE)</f>
        <v>1</v>
      </c>
      <c r="C27" s="138" t="str">
        <f>IFERROR(__xludf.DUMMYFUNCTION("""COMPUTED_VALUE"""),"Mentioned Dora's expensive rose garden and uncharacteristic spending.  Only 4 present and they seemed busy and preoccupied. ")</f>
        <v>Mentioned Dora's expensive rose garden and uncharacteristic spending.  Only 4 present and they seemed busy and preoccupied. </v>
      </c>
      <c r="D27" s="12"/>
      <c r="E27" s="214"/>
      <c r="F27" s="214"/>
    </row>
    <row r="28">
      <c r="A28" s="32" t="str">
        <f>IFERROR(__xludf.DUMMYFUNCTION("""COMPUTED_VALUE"""),"Evelyn")</f>
        <v>Evelyn</v>
      </c>
      <c r="B28" s="48" t="b">
        <f>IFERROR(__xludf.DUMMYFUNCTION("""COMPUTED_VALUE"""),FALSE)</f>
        <v>0</v>
      </c>
      <c r="C28" s="222"/>
      <c r="D28" s="12"/>
      <c r="E28" s="214"/>
      <c r="F28" s="214"/>
    </row>
    <row r="29">
      <c r="A29" s="32" t="str">
        <f>IFERROR(__xludf.DUMMYFUNCTION("""COMPUTED_VALUE"""),"Pansy Golden")</f>
        <v>Pansy Golden</v>
      </c>
      <c r="B29" s="48" t="b">
        <f>IFERROR(__xludf.DUMMYFUNCTION("""COMPUTED_VALUE"""),FALSE)</f>
        <v>0</v>
      </c>
      <c r="C29" s="138"/>
      <c r="D29" s="12"/>
      <c r="E29" s="214"/>
      <c r="F29" s="214"/>
    </row>
    <row r="30">
      <c r="A30" s="32" t="str">
        <f>IFERROR(__xludf.DUMMYFUNCTION("""COMPUTED_VALUE"""),"Poppy Golden ")</f>
        <v>Poppy Golden </v>
      </c>
      <c r="B30" s="48" t="b">
        <f>IFERROR(__xludf.DUMMYFUNCTION("""COMPUTED_VALUE"""),FALSE)</f>
        <v>0</v>
      </c>
      <c r="C30" s="138"/>
      <c r="D30" s="12"/>
      <c r="E30" s="214"/>
      <c r="F30" s="214"/>
    </row>
    <row r="31">
      <c r="A31" s="32" t="str">
        <f>IFERROR(__xludf.DUMMYFUNCTION("""COMPUTED_VALUE"""),"Eugenie Bright")</f>
        <v>Eugenie Bright</v>
      </c>
      <c r="B31" s="48" t="b">
        <f>IFERROR(__xludf.DUMMYFUNCTION("""COMPUTED_VALUE"""),FALSE)</f>
        <v>0</v>
      </c>
      <c r="C31" s="138"/>
      <c r="D31" s="12"/>
      <c r="E31" s="214"/>
      <c r="F31" s="214"/>
    </row>
    <row r="32">
      <c r="A32" s="32" t="str">
        <f>IFERROR(__xludf.DUMMYFUNCTION("""COMPUTED_VALUE"""),"Floria")</f>
        <v>Floria</v>
      </c>
      <c r="B32" s="48" t="b">
        <f>IFERROR(__xludf.DUMMYFUNCTION("""COMPUTED_VALUE"""),TRUE)</f>
        <v>1</v>
      </c>
      <c r="C32" s="138" t="str">
        <f>IFERROR(__xludf.DUMMYFUNCTION("""COMPUTED_VALUE"""),"most of them listened intently, they asked if there was somewhere to ""buy the fertilizer"" but I said I don't want it anymore after Dora died - MFL")</f>
        <v>most of them listened intently, they asked if there was somewhere to "buy the fertilizer" but I said I don't want it anymore after Dora died - MFL</v>
      </c>
      <c r="D32" s="12"/>
      <c r="E32" s="214"/>
      <c r="F32" s="214"/>
    </row>
    <row r="33">
      <c r="A33" s="32" t="str">
        <f>IFERROR(__xludf.DUMMYFUNCTION("""COMPUTED_VALUE"""),"Nix Valerius")</f>
        <v>Nix Valerius</v>
      </c>
      <c r="B33" s="48" t="b">
        <f>IFERROR(__xludf.DUMMYFUNCTION("""COMPUTED_VALUE"""),FALSE)</f>
        <v>0</v>
      </c>
      <c r="C33" s="138"/>
      <c r="D33" s="12"/>
      <c r="E33" s="214"/>
      <c r="F33" s="214"/>
    </row>
    <row r="34">
      <c r="A34" s="32" t="str">
        <f>IFERROR(__xludf.DUMMYFUNCTION("""COMPUTED_VALUE"""),"Solomon Stillwater")</f>
        <v>Solomon Stillwater</v>
      </c>
      <c r="B34" s="48" t="b">
        <f>IFERROR(__xludf.DUMMYFUNCTION("""COMPUTED_VALUE"""),TRUE)</f>
        <v>1</v>
      </c>
      <c r="C34" s="138" t="str">
        <f>IFERROR(__xludf.DUMMYFUNCTION("""COMPUTED_VALUE"""),"Sat lunch, VERY indirectly, not even sure they heard it...")</f>
        <v>Sat lunch, VERY indirectly, not even sure they heard it...</v>
      </c>
      <c r="D34" s="12"/>
      <c r="E34" s="214"/>
      <c r="F34" s="214"/>
    </row>
    <row r="35">
      <c r="A35" s="32" t="str">
        <f>IFERROR(__xludf.DUMMYFUNCTION("""COMPUTED_VALUE"""),"Kiko Truthspeaker")</f>
        <v>Kiko Truthspeaker</v>
      </c>
      <c r="B35" s="48" t="b">
        <f>IFERROR(__xludf.DUMMYFUNCTION("""COMPUTED_VALUE"""),FALSE)</f>
        <v>0</v>
      </c>
      <c r="C35" s="138"/>
      <c r="D35" s="12"/>
      <c r="E35" s="214"/>
      <c r="F35" s="214"/>
    </row>
    <row r="36">
      <c r="A36" s="32" t="str">
        <f>IFERROR(__xludf.DUMMYFUNCTION("""COMPUTED_VALUE"""),"Shaun Peacock")</f>
        <v>Shaun Peacock</v>
      </c>
      <c r="B36" s="48" t="b">
        <f>IFERROR(__xludf.DUMMYFUNCTION("""COMPUTED_VALUE"""),FALSE)</f>
        <v>0</v>
      </c>
      <c r="C36" s="138"/>
      <c r="D36" s="12"/>
      <c r="E36" s="214"/>
      <c r="F36" s="214"/>
    </row>
    <row r="37">
      <c r="A37" s="32" t="str">
        <f>IFERROR(__xludf.DUMMYFUNCTION("""COMPUTED_VALUE"""),"Brimstone")</f>
        <v>Brimstone</v>
      </c>
      <c r="B37" s="48" t="b">
        <f>IFERROR(__xludf.DUMMYFUNCTION("""COMPUTED_VALUE"""),TRUE)</f>
        <v>1</v>
      </c>
      <c r="C37" s="138" t="str">
        <f>IFERROR(__xludf.DUMMYFUNCTION("""COMPUTED_VALUE"""),"Talked mainly to Cody, other party members listened as well, they seemed to register everything. - ZT")</f>
        <v>Talked mainly to Cody, other party members listened as well, they seemed to register everything. - ZT</v>
      </c>
      <c r="D37" s="12"/>
      <c r="E37" s="214"/>
      <c r="F37" s="214"/>
    </row>
    <row r="38">
      <c r="A38" s="32" t="str">
        <f>IFERROR(__xludf.DUMMYFUNCTION("""COMPUTED_VALUE"""),"Belle Bishop")</f>
        <v>Belle Bishop</v>
      </c>
      <c r="B38" s="48" t="b">
        <f>IFERROR(__xludf.DUMMYFUNCTION("""COMPUTED_VALUE"""),TRUE)</f>
        <v>1</v>
      </c>
      <c r="C38" s="138" t="str">
        <f>IFERROR(__xludf.DUMMYFUNCTION("""COMPUTED_VALUE"""),"Talked with them at lunch. They were interested in the story about the seance and wanted to know if it had anything to do with the Court of Mirrors")</f>
        <v>Talked with them at lunch. They were interested in the story about the seance and wanted to know if it had anything to do with the Court of Mirrors</v>
      </c>
      <c r="D38" s="12"/>
      <c r="E38" s="214"/>
      <c r="F38" s="214"/>
    </row>
    <row r="39">
      <c r="A39" s="32" t="str">
        <f>IFERROR(__xludf.DUMMYFUNCTION("""COMPUTED_VALUE"""),"Lenora Graves")</f>
        <v>Lenora Graves</v>
      </c>
      <c r="B39" s="48" t="b">
        <f>IFERROR(__xludf.DUMMYFUNCTION("""COMPUTED_VALUE"""),TRUE)</f>
        <v>1</v>
      </c>
      <c r="C39" s="138" t="str">
        <f>IFERROR(__xludf.DUMMYFUNCTION("""COMPUTED_VALUE"""),"They hadn't heard of Eugenie or Theodora. I told them about the seance and they asked how old Theadora was when she dies and if she had any kids. We told her Edwin and they knew he was the guy in black with the hat. They asked a lot about the portal and h"&amp;"ow to open it. ")</f>
        <v>They hadn't heard of Eugenie or Theodora. I told them about the seance and they asked how old Theadora was when she dies and if she had any kids. We told her Edwin and they knew he was the guy in black with the hat. They asked a lot about the portal and how to open it. </v>
      </c>
      <c r="D39" s="12"/>
      <c r="E39" s="214"/>
      <c r="F39" s="214"/>
    </row>
    <row r="40">
      <c r="A40" s="32" t="str">
        <f>IFERROR(__xludf.DUMMYFUNCTION("""COMPUTED_VALUE"""),"Natasha")</f>
        <v>Natasha</v>
      </c>
      <c r="B40" s="48" t="b">
        <f>IFERROR(__xludf.DUMMYFUNCTION("""COMPUTED_VALUE"""),FALSE)</f>
        <v>0</v>
      </c>
      <c r="C40" s="138"/>
      <c r="D40" s="12"/>
      <c r="E40" s="214"/>
      <c r="F40" s="214"/>
    </row>
    <row r="41">
      <c r="A41" s="32" t="str">
        <f>IFERROR(__xludf.DUMMYFUNCTION("""COMPUTED_VALUE"""),"Orion Wilde")</f>
        <v>Orion Wilde</v>
      </c>
      <c r="B41" s="48" t="b">
        <f>IFERROR(__xludf.DUMMYFUNCTION("""COMPUTED_VALUE"""),FALSE)</f>
        <v>0</v>
      </c>
      <c r="C41" s="138"/>
      <c r="D41" s="12"/>
      <c r="E41" s="214"/>
      <c r="F41" s="214"/>
    </row>
    <row r="42">
      <c r="A42" s="32" t="str">
        <f>IFERROR(__xludf.DUMMYFUNCTION("""COMPUTED_VALUE"""),"Honoré Valerius")</f>
        <v>Honoré Valerius</v>
      </c>
      <c r="B42" s="48" t="b">
        <f>IFERROR(__xludf.DUMMYFUNCTION("""COMPUTED_VALUE"""),FALSE)</f>
        <v>0</v>
      </c>
      <c r="C42" s="138"/>
      <c r="D42" s="12"/>
      <c r="E42" s="214"/>
      <c r="F42" s="214"/>
    </row>
    <row r="43">
      <c r="A43" s="32" t="str">
        <f>IFERROR(__xludf.DUMMYFUNCTION("""COMPUTED_VALUE"""),"Stevie Peacock")</f>
        <v>Stevie Peacock</v>
      </c>
      <c r="B43" s="48" t="b">
        <f>IFERROR(__xludf.DUMMYFUNCTION("""COMPUTED_VALUE"""),FALSE)</f>
        <v>0</v>
      </c>
      <c r="C43" s="138"/>
      <c r="D43" s="12"/>
      <c r="E43" s="214"/>
      <c r="F43" s="214"/>
    </row>
    <row r="44">
      <c r="A44" s="32" t="str">
        <f>IFERROR(__xludf.DUMMYFUNCTION("""COMPUTED_VALUE"""),"Koreos")</f>
        <v>Koreos</v>
      </c>
      <c r="B44" s="48" t="b">
        <f>IFERROR(__xludf.DUMMYFUNCTION("""COMPUTED_VALUE"""),TRUE)</f>
        <v>1</v>
      </c>
      <c r="C44" s="138" t="str">
        <f>IFERROR(__xludf.DUMMYFUNCTION("""COMPUTED_VALUE"""),"took info they are very much thinking its a sunday problem")</f>
        <v>took info they are very much thinking its a sunday problem</v>
      </c>
      <c r="D44" s="12"/>
      <c r="E44" s="214"/>
      <c r="F44" s="214"/>
    </row>
    <row r="45">
      <c r="A45" s="32" t="str">
        <f>IFERROR(__xludf.DUMMYFUNCTION("""COMPUTED_VALUE"""),"Al Bishop")</f>
        <v>Al Bishop</v>
      </c>
      <c r="B45" s="48" t="b">
        <f>IFERROR(__xludf.DUMMYFUNCTION("""COMPUTED_VALUE"""),FALSE)</f>
        <v>0</v>
      </c>
      <c r="C45" s="138" t="str">
        <f>IFERROR(__xludf.DUMMYFUNCTION("""COMPUTED_VALUE"""),"Never saw them all day!")</f>
        <v>Never saw them all day!</v>
      </c>
      <c r="D45" s="12"/>
      <c r="E45" s="214"/>
      <c r="F45" s="214"/>
    </row>
    <row r="46">
      <c r="A46" s="32" t="str">
        <f>IFERROR(__xludf.DUMMYFUNCTION("""COMPUTED_VALUE"""),"Electra")</f>
        <v>Electra</v>
      </c>
      <c r="B46" s="48" t="b">
        <f>IFERROR(__xludf.DUMMYFUNCTION("""COMPUTED_VALUE"""),TRUE)</f>
        <v>1</v>
      </c>
      <c r="C46" s="138" t="str">
        <f>IFERROR(__xludf.DUMMYFUNCTION("""COMPUTED_VALUE"""),"More concerned w alt timeline but heard story and Urving pumped up a couple key details")</f>
        <v>More concerned w alt timeline but heard story and Urving pumped up a couple key details</v>
      </c>
      <c r="D46" s="12"/>
      <c r="E46" s="214"/>
      <c r="F46" s="214"/>
    </row>
    <row r="47">
      <c r="A47" s="214" t="str">
        <f>IFERROR(__xludf.DUMMYFUNCTION("""COMPUTED_VALUE"""),"Kable Worldwatcher")</f>
        <v>Kable Worldwatcher</v>
      </c>
      <c r="B47" s="12" t="b">
        <f>IFERROR(__xludf.DUMMYFUNCTION("""COMPUTED_VALUE"""),TRUE)</f>
        <v>1</v>
      </c>
      <c r="C47" s="137" t="str">
        <f>IFERROR(__xludf.DUMMYFUNCTION("""COMPUTED_VALUE"""),"Delivered the bag at the start of Apple Crisp. Told them that Kira recommended I give it to them (I never met the party prior).They pulled the items out, laughed at the smoke bombs, and then saw the green face paint. Immediately started connecting the dot"&amp;"s on the items. ")</f>
        <v>Delivered the bag at the start of Apple Crisp. Told them that Kira recommended I give it to them (I never met the party prior).They pulled the items out, laughed at the smoke bombs, and then saw the green face paint. Immediately started connecting the dots on the items. </v>
      </c>
      <c r="D47" s="214"/>
      <c r="E47" s="214"/>
      <c r="F47" s="214"/>
    </row>
    <row r="48">
      <c r="A48" s="214" t="str">
        <f>IFERROR(__xludf.DUMMYFUNCTION("""COMPUTED_VALUE"""),"Revelations")</f>
        <v>Revelations</v>
      </c>
      <c r="B48" s="12"/>
      <c r="C48" s="137"/>
      <c r="D48" s="214"/>
      <c r="E48" s="214"/>
      <c r="F48" s="214"/>
    </row>
    <row r="49">
      <c r="A49" s="214" t="str">
        <f>IFERROR(__xludf.DUMMYFUNCTION("""COMPUTED_VALUE"""),"Eugenie Bright")</f>
        <v>Eugenie Bright</v>
      </c>
      <c r="B49" s="12" t="b">
        <f>IFERROR(__xludf.DUMMYFUNCTION("""COMPUTED_VALUE"""),FALSE)</f>
        <v>0</v>
      </c>
      <c r="C49" s="137"/>
      <c r="D49" s="214"/>
      <c r="E49" s="214"/>
      <c r="F49" s="214"/>
    </row>
    <row r="50">
      <c r="A50" s="214" t="str">
        <f>IFERROR(__xludf.DUMMYFUNCTION("""COMPUTED_VALUE"""),"Kovi Woundtender")</f>
        <v>Kovi Woundtender</v>
      </c>
      <c r="B50" s="12" t="b">
        <f>IFERROR(__xludf.DUMMYFUNCTION("""COMPUTED_VALUE"""),FALSE)</f>
        <v>0</v>
      </c>
      <c r="C50" s="137"/>
      <c r="D50" s="214"/>
      <c r="E50" s="214"/>
      <c r="F50" s="214"/>
    </row>
    <row r="51">
      <c r="A51" s="214"/>
      <c r="B51" s="12"/>
      <c r="C51" s="137"/>
      <c r="D51" s="214"/>
      <c r="E51" s="214"/>
      <c r="F51" s="214"/>
    </row>
    <row r="52">
      <c r="A52" s="214" t="str">
        <f>IFERROR(__xludf.DUMMYFUNCTION("""COMPUTED_VALUE"""),"GENERAL NOTES")</f>
        <v>GENERAL NOTES</v>
      </c>
      <c r="B52" s="12"/>
      <c r="C52" s="137"/>
      <c r="D52" s="214"/>
      <c r="E52" s="214"/>
      <c r="F52" s="214"/>
    </row>
    <row r="53">
      <c r="A53" s="214" t="str">
        <f>IFERROR(__xludf.DUMMYFUNCTION("""COMPUTED_VALUE"""),"Maker seemed minorly frustrated about not being able to open a lock; I assured her that not everyone knew every combo and that Tinker Bill or the Smirches could help.  --LN, Friday night")</f>
        <v>Maker seemed minorly frustrated about not being able to open a lock; I assured her that not everyone knew every combo and that Tinker Bill or the Smirches could help.  --LN, Friday night</v>
      </c>
      <c r="B53" s="12"/>
      <c r="C53" s="137"/>
      <c r="D53" s="214"/>
      <c r="E53" s="214"/>
      <c r="F53" s="214"/>
    </row>
    <row r="54">
      <c r="A54" s="214" t="str">
        <f>IFERROR(__xludf.DUMMYFUNCTION("""COMPUTED_VALUE"""),"Told Caster about Golden Page for Samuelson -Mike S.")</f>
        <v>Told Caster about Golden Page for Samuelson -Mike S.</v>
      </c>
      <c r="B54" s="12"/>
      <c r="C54" s="137"/>
      <c r="D54" s="214"/>
      <c r="E54" s="214"/>
      <c r="F54" s="214"/>
    </row>
    <row r="55">
      <c r="A55" s="214" t="str">
        <f>IFERROR(__xludf.DUMMYFUNCTION("""COMPUTED_VALUE"""),"Encountered chitters.  Ranger (Venn) did an amazing job soothing Katie.  Talked to her for a solid 5 minutes.  Two attacked me, but the rest of the party separated from Ranger and were trying to get by us,  Did fight eventually- Peggy Saturday 8-10")</f>
        <v>Encountered chitters.  Ranger (Venn) did an amazing job soothing Katie.  Talked to her for a solid 5 minutes.  Two attacked me, but the rest of the party separated from Ranger and were trying to get by us,  Did fight eventually- Peggy Saturday 8-10</v>
      </c>
      <c r="B55" s="12"/>
      <c r="C55" s="137"/>
      <c r="D55" s="214"/>
      <c r="E55" s="214"/>
      <c r="F55" s="214"/>
    </row>
    <row r="56">
      <c r="A56" s="214" t="str">
        <f>IFERROR(__xludf.DUMMYFUNCTION("""COMPUTED_VALUE"""),"party photo taken -Mirin")</f>
        <v>party photo taken -Mirin</v>
      </c>
      <c r="B56" s="12"/>
      <c r="C56" s="137"/>
      <c r="D56" s="214"/>
      <c r="E56" s="214"/>
      <c r="F56" s="214"/>
    </row>
    <row r="57">
      <c r="A57" s="214" t="str">
        <f>IFERROR(__xludf.DUMMYFUNCTION("""COMPUTED_VALUE"""),"Argued briefly with Clairia about splitting treasure from shared Chitter battle. They resolved it reasonably quickly. -HA")</f>
        <v>Argued briefly with Clairia about splitting treasure from shared Chitter battle. They resolved it reasonably quickly. -HA</v>
      </c>
      <c r="B57" s="12"/>
      <c r="C57" s="137"/>
      <c r="D57" s="214"/>
      <c r="E57" s="214"/>
      <c r="F57" s="214"/>
    </row>
    <row r="58">
      <c r="A58" s="214"/>
      <c r="B58" s="12"/>
      <c r="C58" s="137"/>
      <c r="D58" s="214"/>
      <c r="E58" s="214"/>
      <c r="F58" s="214"/>
    </row>
    <row r="59">
      <c r="A59" s="214" t="str">
        <f>IFERROR(__xludf.DUMMYFUNCTION("""COMPUTED_VALUE"""),"Mistook Pansy for Poppy(score). Told them Poppy is lazy and barely does anything to keep the portal closed. -HA")</f>
        <v>Mistook Pansy for Poppy(score). Told them Poppy is lazy and barely does anything to keep the portal closed. -HA</v>
      </c>
      <c r="B59" s="12"/>
      <c r="C59" s="137"/>
      <c r="D59" s="214"/>
      <c r="E59" s="214"/>
      <c r="F59" s="214"/>
    </row>
    <row r="60">
      <c r="A60" s="214" t="str">
        <f>IFERROR(__xludf.DUMMYFUNCTION("""COMPUTED_VALUE"""),"At the Roamer Camp they Seemed in good spirits and very fun group.")</f>
        <v>At the Roamer Camp they Seemed in good spirits and very fun group.</v>
      </c>
      <c r="B60" s="12"/>
      <c r="C60" s="137"/>
      <c r="D60" s="214"/>
      <c r="E60" s="214"/>
      <c r="F60" s="214"/>
    </row>
    <row r="61">
      <c r="A61" s="214" t="str">
        <f>IFERROR(__xludf.DUMMYFUNCTION("""COMPUTED_VALUE"""),"Questioning of Poppy Golden about the court of mirrors went so far that she finally had to say that the court of mirrors would open over her dead body. Later they discussed hypothetically assassinating her. -LH")</f>
        <v>Questioning of Poppy Golden about the court of mirrors went so far that she finally had to say that the court of mirrors would open over her dead body. Later they discussed hypothetically assassinating her. -LH</v>
      </c>
      <c r="B61" s="12"/>
      <c r="C61" s="137"/>
      <c r="D61" s="214"/>
      <c r="E61" s="214"/>
      <c r="F61" s="214"/>
    </row>
    <row r="62">
      <c r="A62" s="214" t="str">
        <f>IFERROR(__xludf.DUMMYFUNCTION("""COMPUTED_VALUE"""),"2 members of the party split off and didn't not join the rest of their party in combat training at Valerius House.  Caster was clearly contemplating killing Poppy Golden to try to get the Court of Mirrors open.  -- Neal, 1pm Sat")</f>
        <v>2 members of the party split off and didn't not join the rest of their party in combat training at Valerius House.  Caster was clearly contemplating killing Poppy Golden to try to get the Court of Mirrors open.  -- Neal, 1pm Sat</v>
      </c>
      <c r="B62" s="12"/>
      <c r="C62" s="137"/>
      <c r="D62" s="214"/>
      <c r="E62" s="214"/>
      <c r="F62" s="214"/>
    </row>
    <row r="63">
      <c r="A63" s="214" t="str">
        <f>IFERROR(__xludf.DUMMYFUNCTION("""COMPUTED_VALUE"""),"Sold Alora's Medal to Buzzkill")</f>
        <v>Sold Alora's Medal to Buzzkill</v>
      </c>
      <c r="B63" s="12"/>
      <c r="C63" s="137"/>
      <c r="D63" s="214"/>
      <c r="E63" s="214"/>
      <c r="F63" s="214"/>
    </row>
    <row r="64">
      <c r="A64" s="214" t="str">
        <f>IFERROR(__xludf.DUMMYFUNCTION("""COMPUTED_VALUE"""),"Encountered party at marble maze. Down to 5. Tall man with hair bun was acting exasperated and frustrated - ""it's just basic trig"" with eye roll. Continued making subtle remarks and thanked me for ending. Tried to encourage the whole party regarding the"&amp;"ir attemps at changing tactics both in the puzzle and communication - MD")</f>
        <v>Encountered party at marble maze. Down to 5. Tall man with hair bun was acting exasperated and frustrated - "it's just basic trig" with eye roll. Continued making subtle remarks and thanked me for ending. Tried to encourage the whole party regarding their attemps at changing tactics both in the puzzle and communication - MD</v>
      </c>
      <c r="B64" s="12"/>
      <c r="C64" s="137"/>
      <c r="D64" s="214"/>
      <c r="E64" s="214"/>
      <c r="F64" s="214"/>
    </row>
    <row r="65">
      <c r="A65" s="214" t="str">
        <f>IFERROR(__xludf.DUMMYFUNCTION("""COMPUTED_VALUE"""),"Tried to force their way into the Court of Mirrors. Poppy gave them a piece of her mind. Once they came in properly, did well at the Gauntlet")</f>
        <v>Tried to force their way into the Court of Mirrors. Poppy gave them a piece of her mind. Once they came in properly, did well at the Gauntlet</v>
      </c>
      <c r="B65" s="12"/>
      <c r="C65" s="137"/>
      <c r="D65" s="214"/>
      <c r="E65" s="214"/>
      <c r="F65" s="214"/>
    </row>
    <row r="66">
      <c r="A66" s="214"/>
      <c r="B66" s="12"/>
      <c r="C66" s="137"/>
      <c r="D66" s="214"/>
      <c r="E66" s="214"/>
      <c r="F66" s="214"/>
    </row>
    <row r="67">
      <c r="A67" s="214"/>
      <c r="B67" s="12"/>
      <c r="C67" s="137"/>
      <c r="D67" s="214"/>
      <c r="E67" s="214"/>
      <c r="F67" s="214"/>
    </row>
    <row r="68">
      <c r="A68" s="214"/>
      <c r="B68" s="12"/>
      <c r="C68" s="137"/>
      <c r="D68" s="214"/>
      <c r="E68" s="214"/>
      <c r="F68" s="214"/>
    </row>
    <row r="69">
      <c r="A69" s="214"/>
      <c r="B69" s="12"/>
      <c r="C69" s="137"/>
      <c r="D69" s="214"/>
      <c r="E69" s="214"/>
      <c r="F69" s="214"/>
    </row>
    <row r="70">
      <c r="A70" s="214"/>
      <c r="B70" s="12"/>
      <c r="C70" s="137"/>
      <c r="D70" s="214"/>
      <c r="E70" s="214"/>
      <c r="F70" s="214"/>
    </row>
    <row r="71">
      <c r="A71" s="214"/>
      <c r="B71" s="12"/>
      <c r="C71" s="137"/>
      <c r="D71" s="214"/>
      <c r="E71" s="214"/>
      <c r="F71" s="214"/>
    </row>
    <row r="72">
      <c r="A72" s="214"/>
      <c r="B72" s="12"/>
      <c r="C72" s="137"/>
      <c r="D72" s="214"/>
      <c r="E72" s="214"/>
      <c r="F72" s="214"/>
    </row>
    <row r="73">
      <c r="A73" s="214"/>
      <c r="B73" s="12"/>
      <c r="C73" s="137"/>
      <c r="D73" s="214"/>
      <c r="E73" s="214"/>
      <c r="F73" s="214"/>
    </row>
    <row r="74">
      <c r="A74" s="214"/>
      <c r="B74" s="12"/>
      <c r="C74" s="137"/>
      <c r="D74" s="214"/>
      <c r="E74" s="214"/>
      <c r="F74" s="214"/>
    </row>
    <row r="75">
      <c r="A75" s="214"/>
      <c r="B75" s="12"/>
      <c r="C75" s="137"/>
      <c r="D75" s="214"/>
      <c r="E75" s="214"/>
      <c r="F75" s="214"/>
    </row>
    <row r="76">
      <c r="A76" s="214"/>
      <c r="B76" s="12"/>
      <c r="C76" s="137"/>
      <c r="D76" s="214"/>
      <c r="E76" s="214"/>
      <c r="F76" s="214"/>
    </row>
    <row r="77">
      <c r="A77" s="214"/>
      <c r="B77" s="12"/>
      <c r="C77" s="137"/>
      <c r="D77" s="214"/>
      <c r="E77" s="214"/>
      <c r="F77" s="214"/>
    </row>
    <row r="78">
      <c r="B78" s="12"/>
      <c r="C78" s="137"/>
    </row>
    <row r="79">
      <c r="B79" s="12"/>
      <c r="C79" s="137"/>
    </row>
    <row r="80">
      <c r="B80" s="12"/>
      <c r="C80" s="137"/>
    </row>
    <row r="81">
      <c r="B81" s="12"/>
      <c r="C81" s="137"/>
    </row>
    <row r="82">
      <c r="B82" s="12"/>
      <c r="C82" s="137"/>
    </row>
    <row r="83">
      <c r="B83" s="12"/>
      <c r="C83" s="137"/>
    </row>
    <row r="84">
      <c r="B84" s="12"/>
      <c r="C84" s="137"/>
    </row>
    <row r="85">
      <c r="B85" s="12"/>
      <c r="C85" s="137"/>
    </row>
    <row r="86">
      <c r="B86" s="12"/>
      <c r="C86" s="137"/>
    </row>
    <row r="87">
      <c r="B87" s="12"/>
      <c r="C87" s="137"/>
    </row>
    <row r="88">
      <c r="B88" s="12"/>
      <c r="C88" s="137"/>
    </row>
    <row r="89">
      <c r="B89" s="12"/>
      <c r="C89" s="137"/>
    </row>
    <row r="90">
      <c r="B90" s="12"/>
      <c r="C90" s="137"/>
    </row>
    <row r="91">
      <c r="B91" s="12"/>
      <c r="C91" s="137"/>
    </row>
    <row r="92">
      <c r="B92" s="12"/>
      <c r="C92" s="137"/>
    </row>
    <row r="93">
      <c r="B93" s="12"/>
      <c r="C93" s="137"/>
    </row>
    <row r="94">
      <c r="B94" s="12"/>
      <c r="C94" s="137"/>
    </row>
    <row r="95">
      <c r="B95" s="12"/>
      <c r="C95" s="137"/>
    </row>
    <row r="96">
      <c r="B96" s="12"/>
      <c r="C96" s="137"/>
    </row>
    <row r="97">
      <c r="B97" s="12"/>
      <c r="C97" s="137"/>
    </row>
    <row r="98">
      <c r="B98" s="12"/>
      <c r="C98" s="137"/>
    </row>
    <row r="99">
      <c r="B99" s="12"/>
      <c r="C99" s="137"/>
    </row>
    <row r="100">
      <c r="B100" s="12"/>
      <c r="C100" s="137"/>
    </row>
    <row r="101">
      <c r="B101" s="12"/>
      <c r="C101" s="137"/>
    </row>
    <row r="102">
      <c r="B102" s="12"/>
      <c r="C102" s="137"/>
    </row>
    <row r="103">
      <c r="B103" s="12"/>
      <c r="C103" s="137"/>
    </row>
    <row r="104">
      <c r="B104" s="12"/>
      <c r="C104" s="137"/>
    </row>
    <row r="105">
      <c r="B105" s="12"/>
      <c r="C105" s="137"/>
    </row>
    <row r="106">
      <c r="B106" s="12"/>
      <c r="C106" s="137"/>
    </row>
    <row r="107">
      <c r="B107" s="12"/>
      <c r="C107" s="137"/>
    </row>
    <row r="108">
      <c r="B108" s="12"/>
      <c r="C108" s="137"/>
    </row>
    <row r="109">
      <c r="B109" s="12"/>
      <c r="C109" s="137"/>
    </row>
    <row r="110">
      <c r="B110" s="12"/>
      <c r="C110" s="137"/>
    </row>
    <row r="111">
      <c r="B111" s="12"/>
      <c r="C111" s="137"/>
    </row>
    <row r="112">
      <c r="B112" s="12"/>
      <c r="C112" s="137"/>
    </row>
    <row r="113">
      <c r="B113" s="12"/>
      <c r="C113" s="137"/>
    </row>
    <row r="114">
      <c r="B114" s="12"/>
      <c r="C114" s="137"/>
    </row>
    <row r="115">
      <c r="B115" s="12"/>
      <c r="C115" s="137"/>
    </row>
    <row r="116">
      <c r="B116" s="12"/>
      <c r="C116" s="137"/>
    </row>
    <row r="117">
      <c r="B117" s="12"/>
      <c r="C117" s="137"/>
    </row>
    <row r="118">
      <c r="B118" s="12"/>
      <c r="C118" s="137"/>
    </row>
    <row r="119">
      <c r="B119" s="12"/>
      <c r="C119" s="137"/>
    </row>
    <row r="120">
      <c r="B120" s="12"/>
      <c r="C120" s="137"/>
    </row>
    <row r="121">
      <c r="B121" s="12"/>
      <c r="C121" s="137"/>
    </row>
    <row r="122">
      <c r="B122" s="12"/>
      <c r="C122" s="137"/>
    </row>
    <row r="123">
      <c r="B123" s="12"/>
      <c r="C123" s="137"/>
    </row>
    <row r="124">
      <c r="B124" s="12"/>
      <c r="C124" s="137"/>
    </row>
    <row r="125">
      <c r="B125" s="12"/>
      <c r="C125" s="137"/>
    </row>
    <row r="126">
      <c r="B126" s="12"/>
      <c r="C126" s="137"/>
    </row>
    <row r="127">
      <c r="B127" s="12"/>
      <c r="C127" s="137"/>
    </row>
    <row r="128">
      <c r="B128" s="12"/>
      <c r="C128" s="137"/>
    </row>
    <row r="129">
      <c r="B129" s="12"/>
      <c r="C129" s="137"/>
    </row>
    <row r="130">
      <c r="B130" s="12"/>
      <c r="C130" s="137"/>
    </row>
    <row r="131">
      <c r="B131" s="12"/>
      <c r="C131" s="137"/>
    </row>
    <row r="132">
      <c r="B132" s="12"/>
      <c r="C132" s="137"/>
    </row>
    <row r="133">
      <c r="B133" s="12"/>
      <c r="C133" s="137"/>
    </row>
    <row r="134">
      <c r="B134" s="12"/>
      <c r="C134" s="137"/>
    </row>
    <row r="135">
      <c r="B135" s="12"/>
      <c r="C135" s="137"/>
    </row>
    <row r="136">
      <c r="B136" s="12"/>
      <c r="C136" s="137"/>
    </row>
    <row r="137">
      <c r="B137" s="12"/>
      <c r="C137" s="137"/>
    </row>
    <row r="138">
      <c r="B138" s="12"/>
      <c r="C138" s="137"/>
    </row>
    <row r="139">
      <c r="B139" s="12"/>
      <c r="C139" s="137"/>
    </row>
    <row r="140">
      <c r="B140" s="12"/>
      <c r="C140" s="137"/>
    </row>
    <row r="141">
      <c r="B141" s="12"/>
      <c r="C141" s="137"/>
    </row>
    <row r="142">
      <c r="B142" s="12"/>
      <c r="C142" s="137"/>
    </row>
    <row r="143">
      <c r="B143" s="12"/>
      <c r="C143" s="137"/>
    </row>
    <row r="144">
      <c r="B144" s="12"/>
      <c r="C144" s="137"/>
    </row>
    <row r="145">
      <c r="B145" s="12"/>
      <c r="C145" s="137"/>
    </row>
    <row r="146">
      <c r="B146" s="12"/>
      <c r="C146" s="137"/>
    </row>
    <row r="147">
      <c r="B147" s="12"/>
      <c r="C147" s="137"/>
    </row>
    <row r="148">
      <c r="B148" s="12"/>
      <c r="C148" s="137"/>
    </row>
    <row r="149">
      <c r="B149" s="12"/>
      <c r="C149" s="137"/>
    </row>
    <row r="150">
      <c r="B150" s="12"/>
      <c r="C150" s="137"/>
    </row>
    <row r="151">
      <c r="B151" s="12"/>
      <c r="C151" s="137"/>
    </row>
    <row r="152">
      <c r="B152" s="12"/>
      <c r="C152" s="137"/>
    </row>
    <row r="153">
      <c r="B153" s="12"/>
      <c r="C153" s="137"/>
    </row>
    <row r="154">
      <c r="B154" s="12"/>
      <c r="C154" s="137"/>
    </row>
    <row r="155">
      <c r="B155" s="12"/>
      <c r="C155" s="137"/>
    </row>
    <row r="156">
      <c r="B156" s="12"/>
      <c r="C156" s="137"/>
    </row>
    <row r="157">
      <c r="B157" s="12"/>
      <c r="C157" s="137"/>
    </row>
    <row r="158">
      <c r="B158" s="12"/>
      <c r="C158" s="137"/>
    </row>
    <row r="159">
      <c r="B159" s="12"/>
      <c r="C159" s="137"/>
    </row>
    <row r="160">
      <c r="B160" s="12"/>
      <c r="C160" s="137"/>
    </row>
    <row r="161">
      <c r="B161" s="12"/>
      <c r="C161" s="137"/>
    </row>
    <row r="162">
      <c r="B162" s="12"/>
      <c r="C162" s="137"/>
    </row>
    <row r="163">
      <c r="B163" s="12"/>
      <c r="C163" s="137"/>
    </row>
    <row r="164">
      <c r="B164" s="12"/>
      <c r="C164" s="137"/>
    </row>
    <row r="165">
      <c r="B165" s="12"/>
      <c r="C165" s="137"/>
    </row>
    <row r="166">
      <c r="B166" s="12"/>
      <c r="C166" s="137"/>
    </row>
    <row r="167">
      <c r="B167" s="12"/>
      <c r="C167" s="137"/>
    </row>
    <row r="168">
      <c r="B168" s="12"/>
      <c r="C168" s="137"/>
    </row>
    <row r="169">
      <c r="B169" s="12"/>
      <c r="C169" s="137"/>
    </row>
    <row r="170">
      <c r="B170" s="12"/>
      <c r="C170" s="137"/>
    </row>
    <row r="171">
      <c r="B171" s="12"/>
      <c r="C171" s="137"/>
    </row>
    <row r="172">
      <c r="B172" s="12"/>
      <c r="C172" s="137"/>
    </row>
    <row r="173">
      <c r="B173" s="12"/>
      <c r="C173" s="137"/>
    </row>
    <row r="174">
      <c r="B174" s="12"/>
      <c r="C174" s="137"/>
    </row>
    <row r="175">
      <c r="B175" s="12"/>
      <c r="C175" s="137"/>
    </row>
    <row r="176">
      <c r="B176" s="12"/>
      <c r="C176" s="137"/>
    </row>
    <row r="177">
      <c r="B177" s="12"/>
      <c r="C177" s="137"/>
    </row>
    <row r="178">
      <c r="B178" s="12"/>
      <c r="C178" s="137"/>
    </row>
    <row r="179">
      <c r="B179" s="12"/>
      <c r="C179" s="137"/>
    </row>
    <row r="180">
      <c r="B180" s="12"/>
      <c r="C180" s="137"/>
    </row>
    <row r="181">
      <c r="B181" s="12"/>
      <c r="C181" s="137"/>
    </row>
    <row r="182">
      <c r="B182" s="12"/>
      <c r="C182" s="137"/>
    </row>
    <row r="183">
      <c r="B183" s="12"/>
      <c r="C183" s="137"/>
    </row>
    <row r="184">
      <c r="B184" s="12"/>
      <c r="C184" s="137"/>
    </row>
    <row r="185">
      <c r="B185" s="12"/>
      <c r="C185" s="137"/>
    </row>
    <row r="186">
      <c r="B186" s="12"/>
      <c r="C186" s="137"/>
    </row>
    <row r="187">
      <c r="B187" s="12"/>
      <c r="C187" s="137"/>
    </row>
    <row r="188">
      <c r="B188" s="12"/>
      <c r="C188" s="137"/>
    </row>
    <row r="189">
      <c r="B189" s="12"/>
      <c r="C189" s="137"/>
    </row>
    <row r="190">
      <c r="B190" s="12"/>
      <c r="C190" s="137"/>
    </row>
    <row r="191">
      <c r="B191" s="12"/>
      <c r="C191" s="137"/>
    </row>
    <row r="192">
      <c r="B192" s="12"/>
      <c r="C192" s="137"/>
    </row>
    <row r="193">
      <c r="B193" s="12"/>
      <c r="C193" s="137"/>
    </row>
    <row r="194">
      <c r="B194" s="12"/>
      <c r="C194" s="137"/>
    </row>
    <row r="195">
      <c r="B195" s="12"/>
      <c r="C195" s="137"/>
    </row>
    <row r="196">
      <c r="B196" s="12"/>
      <c r="C196" s="137"/>
    </row>
    <row r="197">
      <c r="B197" s="12"/>
      <c r="C197" s="137"/>
    </row>
    <row r="198">
      <c r="B198" s="12"/>
      <c r="C198" s="137"/>
    </row>
    <row r="199">
      <c r="B199" s="12"/>
      <c r="C199" s="137"/>
    </row>
    <row r="200">
      <c r="B200" s="12"/>
      <c r="C200" s="137"/>
    </row>
    <row r="201">
      <c r="B201" s="12"/>
      <c r="C201" s="137"/>
    </row>
    <row r="202">
      <c r="B202" s="12"/>
      <c r="C202" s="137"/>
    </row>
    <row r="203">
      <c r="B203" s="12"/>
      <c r="C203" s="137"/>
    </row>
    <row r="204">
      <c r="B204" s="12"/>
      <c r="C204" s="137"/>
    </row>
    <row r="205">
      <c r="B205" s="12"/>
      <c r="C205" s="137"/>
    </row>
    <row r="206">
      <c r="B206" s="12"/>
      <c r="C206" s="137"/>
    </row>
    <row r="207">
      <c r="B207" s="12"/>
      <c r="C207" s="137"/>
    </row>
    <row r="208">
      <c r="B208" s="12"/>
      <c r="C208" s="137"/>
    </row>
    <row r="209">
      <c r="B209" s="12"/>
      <c r="C209" s="137"/>
    </row>
    <row r="210">
      <c r="B210" s="12"/>
      <c r="C210" s="137"/>
    </row>
    <row r="211">
      <c r="B211" s="12"/>
      <c r="C211" s="137"/>
    </row>
    <row r="212">
      <c r="B212" s="12"/>
      <c r="C212" s="137"/>
    </row>
    <row r="213">
      <c r="B213" s="12"/>
      <c r="C213" s="137"/>
    </row>
    <row r="214">
      <c r="B214" s="12"/>
      <c r="C214" s="137"/>
    </row>
    <row r="215">
      <c r="B215" s="12"/>
      <c r="C215" s="137"/>
    </row>
    <row r="216">
      <c r="B216" s="12"/>
      <c r="C216" s="137"/>
    </row>
    <row r="217">
      <c r="B217" s="12"/>
      <c r="C217" s="137"/>
    </row>
    <row r="218">
      <c r="B218" s="12"/>
      <c r="C218" s="137"/>
    </row>
    <row r="219">
      <c r="B219" s="12"/>
      <c r="C219" s="137"/>
    </row>
    <row r="220">
      <c r="B220" s="12"/>
      <c r="C220" s="137"/>
    </row>
    <row r="221">
      <c r="B221" s="12"/>
      <c r="C221" s="137"/>
    </row>
    <row r="222">
      <c r="B222" s="12"/>
      <c r="C222" s="137"/>
    </row>
    <row r="223">
      <c r="B223" s="12"/>
      <c r="C223" s="137"/>
    </row>
    <row r="224">
      <c r="B224" s="12"/>
      <c r="C224" s="137"/>
    </row>
    <row r="225">
      <c r="B225" s="12"/>
      <c r="C225" s="137"/>
    </row>
    <row r="226">
      <c r="B226" s="12"/>
      <c r="C226" s="137"/>
    </row>
    <row r="227">
      <c r="B227" s="12"/>
      <c r="C227" s="137"/>
    </row>
    <row r="228">
      <c r="B228" s="12"/>
      <c r="C228" s="137"/>
    </row>
    <row r="229">
      <c r="B229" s="12"/>
      <c r="C229" s="137"/>
    </row>
    <row r="230">
      <c r="B230" s="12"/>
      <c r="C230" s="137"/>
    </row>
    <row r="231">
      <c r="B231" s="12"/>
      <c r="C231" s="137"/>
    </row>
    <row r="232">
      <c r="B232" s="12"/>
      <c r="C232" s="137"/>
    </row>
    <row r="233">
      <c r="B233" s="12"/>
      <c r="C233" s="137"/>
    </row>
    <row r="234">
      <c r="B234" s="12"/>
      <c r="C234" s="137"/>
    </row>
    <row r="235">
      <c r="B235" s="12"/>
      <c r="C235" s="137"/>
    </row>
    <row r="236">
      <c r="B236" s="12"/>
      <c r="C236" s="137"/>
    </row>
    <row r="237">
      <c r="B237" s="12"/>
      <c r="C237" s="137"/>
    </row>
    <row r="238">
      <c r="B238" s="12"/>
      <c r="C238" s="137"/>
    </row>
    <row r="239">
      <c r="B239" s="12"/>
      <c r="C239" s="137"/>
    </row>
    <row r="240">
      <c r="B240" s="12"/>
      <c r="C240" s="137"/>
    </row>
    <row r="241">
      <c r="B241" s="12"/>
      <c r="C241" s="137"/>
    </row>
    <row r="242">
      <c r="B242" s="12"/>
      <c r="C242" s="137"/>
    </row>
    <row r="243">
      <c r="B243" s="12"/>
      <c r="C243" s="137"/>
    </row>
    <row r="244">
      <c r="B244" s="12"/>
      <c r="C244" s="137"/>
    </row>
    <row r="245">
      <c r="B245" s="12"/>
      <c r="C245" s="137"/>
    </row>
    <row r="246">
      <c r="B246" s="12"/>
      <c r="C246" s="137"/>
    </row>
    <row r="247">
      <c r="B247" s="12"/>
      <c r="C247" s="137"/>
    </row>
    <row r="248">
      <c r="B248" s="12"/>
      <c r="C248" s="137"/>
    </row>
    <row r="249">
      <c r="B249" s="12"/>
      <c r="C249" s="137"/>
    </row>
    <row r="250">
      <c r="B250" s="12"/>
      <c r="C250" s="137"/>
    </row>
    <row r="251">
      <c r="B251" s="12"/>
      <c r="C251" s="137"/>
    </row>
    <row r="252">
      <c r="B252" s="12"/>
      <c r="C252" s="137"/>
    </row>
    <row r="253">
      <c r="B253" s="12"/>
      <c r="C253" s="137"/>
    </row>
    <row r="254">
      <c r="B254" s="12"/>
      <c r="C254" s="137"/>
    </row>
    <row r="255">
      <c r="B255" s="12"/>
      <c r="C255" s="137"/>
    </row>
    <row r="256">
      <c r="B256" s="12"/>
      <c r="C256" s="137"/>
    </row>
    <row r="257">
      <c r="B257" s="12"/>
      <c r="C257" s="137"/>
    </row>
    <row r="258">
      <c r="B258" s="12"/>
      <c r="C258" s="137"/>
    </row>
    <row r="259">
      <c r="B259" s="12"/>
      <c r="C259" s="137"/>
    </row>
    <row r="260">
      <c r="B260" s="12"/>
      <c r="C260" s="137"/>
    </row>
    <row r="261">
      <c r="B261" s="12"/>
      <c r="C261" s="137"/>
    </row>
    <row r="262">
      <c r="B262" s="12"/>
      <c r="C262" s="137"/>
    </row>
    <row r="263">
      <c r="B263" s="12"/>
      <c r="C263" s="137"/>
    </row>
    <row r="264">
      <c r="B264" s="12"/>
      <c r="C264" s="137"/>
    </row>
    <row r="265">
      <c r="B265" s="12"/>
      <c r="C265" s="137"/>
    </row>
    <row r="266">
      <c r="B266" s="12"/>
      <c r="C266" s="137"/>
    </row>
    <row r="267">
      <c r="B267" s="12"/>
      <c r="C267" s="137"/>
    </row>
    <row r="268">
      <c r="B268" s="12"/>
      <c r="C268" s="137"/>
    </row>
    <row r="269">
      <c r="B269" s="12"/>
      <c r="C269" s="137"/>
    </row>
    <row r="270">
      <c r="B270" s="12"/>
      <c r="C270" s="137"/>
    </row>
    <row r="271">
      <c r="B271" s="12"/>
      <c r="C271" s="137"/>
    </row>
    <row r="272">
      <c r="B272" s="12"/>
      <c r="C272" s="137"/>
    </row>
    <row r="273">
      <c r="B273" s="12"/>
      <c r="C273" s="137"/>
    </row>
    <row r="274">
      <c r="B274" s="12"/>
      <c r="C274" s="137"/>
    </row>
    <row r="275">
      <c r="B275" s="12"/>
      <c r="C275" s="137"/>
    </row>
    <row r="276">
      <c r="B276" s="12"/>
      <c r="C276" s="137"/>
    </row>
    <row r="277">
      <c r="B277" s="12"/>
      <c r="C277" s="137"/>
    </row>
    <row r="278">
      <c r="B278" s="12"/>
      <c r="C278" s="137"/>
    </row>
    <row r="279">
      <c r="B279" s="12"/>
      <c r="C279" s="137"/>
    </row>
    <row r="280">
      <c r="B280" s="12"/>
      <c r="C280" s="137"/>
    </row>
    <row r="281">
      <c r="B281" s="12"/>
      <c r="C281" s="137"/>
    </row>
    <row r="282">
      <c r="B282" s="12"/>
      <c r="C282" s="137"/>
    </row>
    <row r="283">
      <c r="B283" s="12"/>
      <c r="C283" s="137"/>
    </row>
    <row r="284">
      <c r="B284" s="12"/>
      <c r="C284" s="137"/>
    </row>
    <row r="285">
      <c r="B285" s="12"/>
      <c r="C285" s="137"/>
    </row>
    <row r="286">
      <c r="B286" s="12"/>
      <c r="C286" s="137"/>
    </row>
    <row r="287">
      <c r="B287" s="12"/>
      <c r="C287" s="137"/>
    </row>
    <row r="288">
      <c r="B288" s="12"/>
      <c r="C288" s="137"/>
    </row>
    <row r="289">
      <c r="B289" s="12"/>
      <c r="C289" s="137"/>
    </row>
    <row r="290">
      <c r="B290" s="12"/>
      <c r="C290" s="137"/>
    </row>
    <row r="291">
      <c r="B291" s="12"/>
      <c r="C291" s="137"/>
    </row>
    <row r="292">
      <c r="B292" s="12"/>
      <c r="C292" s="137"/>
    </row>
    <row r="293">
      <c r="B293" s="12"/>
      <c r="C293" s="137"/>
    </row>
    <row r="294">
      <c r="B294" s="12"/>
      <c r="C294" s="137"/>
    </row>
    <row r="295">
      <c r="B295" s="12"/>
      <c r="C295" s="137"/>
    </row>
    <row r="296">
      <c r="B296" s="12"/>
      <c r="C296" s="137"/>
    </row>
    <row r="297">
      <c r="B297" s="12"/>
      <c r="C297" s="137"/>
    </row>
    <row r="298">
      <c r="B298" s="12"/>
      <c r="C298" s="137"/>
    </row>
    <row r="299">
      <c r="B299" s="12"/>
      <c r="C299" s="137"/>
    </row>
    <row r="300">
      <c r="B300" s="12"/>
      <c r="C300" s="137"/>
    </row>
    <row r="301">
      <c r="B301" s="12"/>
      <c r="C301" s="137"/>
    </row>
    <row r="302">
      <c r="B302" s="12"/>
      <c r="C302" s="137"/>
    </row>
    <row r="303">
      <c r="B303" s="12"/>
      <c r="C303" s="137"/>
    </row>
    <row r="304">
      <c r="B304" s="12"/>
      <c r="C304" s="137"/>
    </row>
    <row r="305">
      <c r="B305" s="12"/>
      <c r="C305" s="137"/>
    </row>
    <row r="306">
      <c r="B306" s="12"/>
      <c r="C306" s="137"/>
    </row>
    <row r="307">
      <c r="B307" s="12"/>
      <c r="C307" s="137"/>
    </row>
    <row r="308">
      <c r="B308" s="12"/>
      <c r="C308" s="137"/>
    </row>
    <row r="309">
      <c r="B309" s="12"/>
      <c r="C309" s="137"/>
    </row>
    <row r="310">
      <c r="B310" s="12"/>
      <c r="C310" s="137"/>
    </row>
    <row r="311">
      <c r="B311" s="12"/>
      <c r="C311" s="137"/>
    </row>
    <row r="312">
      <c r="B312" s="12"/>
      <c r="C312" s="137"/>
    </row>
    <row r="313">
      <c r="B313" s="12"/>
      <c r="C313" s="137"/>
    </row>
    <row r="314">
      <c r="B314" s="12"/>
      <c r="C314" s="137"/>
    </row>
    <row r="315">
      <c r="B315" s="12"/>
      <c r="C315" s="137"/>
    </row>
    <row r="316">
      <c r="B316" s="12"/>
      <c r="C316" s="137"/>
    </row>
    <row r="317">
      <c r="B317" s="12"/>
      <c r="C317" s="137"/>
    </row>
    <row r="318">
      <c r="B318" s="12"/>
      <c r="C318" s="137"/>
    </row>
    <row r="319">
      <c r="B319" s="12"/>
      <c r="C319" s="137"/>
    </row>
    <row r="320">
      <c r="B320" s="12"/>
      <c r="C320" s="137"/>
    </row>
    <row r="321">
      <c r="B321" s="12"/>
      <c r="C321" s="137"/>
    </row>
    <row r="322">
      <c r="B322" s="12"/>
      <c r="C322" s="137"/>
    </row>
    <row r="323">
      <c r="B323" s="12"/>
      <c r="C323" s="137"/>
    </row>
    <row r="324">
      <c r="B324" s="12"/>
      <c r="C324" s="137"/>
    </row>
    <row r="325">
      <c r="B325" s="12"/>
      <c r="C325" s="137"/>
    </row>
    <row r="326">
      <c r="B326" s="12"/>
      <c r="C326" s="137"/>
    </row>
    <row r="327">
      <c r="B327" s="12"/>
      <c r="C327" s="137"/>
    </row>
    <row r="328">
      <c r="B328" s="12"/>
      <c r="C328" s="137"/>
    </row>
    <row r="329">
      <c r="B329" s="12"/>
      <c r="C329" s="137"/>
    </row>
    <row r="330">
      <c r="B330" s="12"/>
      <c r="C330" s="137"/>
    </row>
    <row r="331">
      <c r="B331" s="12"/>
      <c r="C331" s="137"/>
    </row>
    <row r="332">
      <c r="B332" s="12"/>
      <c r="C332" s="137"/>
    </row>
    <row r="333">
      <c r="B333" s="12"/>
      <c r="C333" s="137"/>
    </row>
    <row r="334">
      <c r="B334" s="12"/>
      <c r="C334" s="137"/>
    </row>
    <row r="335">
      <c r="B335" s="12"/>
      <c r="C335" s="137"/>
    </row>
    <row r="336">
      <c r="B336" s="12"/>
      <c r="C336" s="137"/>
    </row>
    <row r="337">
      <c r="B337" s="12"/>
      <c r="C337" s="137"/>
    </row>
    <row r="338">
      <c r="B338" s="12"/>
      <c r="C338" s="137"/>
    </row>
    <row r="339">
      <c r="B339" s="12"/>
      <c r="C339" s="137"/>
    </row>
    <row r="340">
      <c r="B340" s="12"/>
      <c r="C340" s="137"/>
    </row>
    <row r="341">
      <c r="B341" s="12"/>
      <c r="C341" s="137"/>
    </row>
    <row r="342">
      <c r="B342" s="12"/>
      <c r="C342" s="137"/>
    </row>
    <row r="343">
      <c r="B343" s="12"/>
      <c r="C343" s="137"/>
    </row>
    <row r="344">
      <c r="B344" s="12"/>
      <c r="C344" s="137"/>
    </row>
    <row r="345">
      <c r="B345" s="12"/>
      <c r="C345" s="137"/>
    </row>
    <row r="346">
      <c r="B346" s="12"/>
      <c r="C346" s="137"/>
    </row>
    <row r="347">
      <c r="B347" s="12"/>
      <c r="C347" s="137"/>
    </row>
    <row r="348">
      <c r="B348" s="12"/>
      <c r="C348" s="137"/>
    </row>
    <row r="349">
      <c r="B349" s="12"/>
      <c r="C349" s="137"/>
    </row>
    <row r="350">
      <c r="B350" s="12"/>
      <c r="C350" s="137"/>
    </row>
    <row r="351">
      <c r="B351" s="12"/>
      <c r="C351" s="137"/>
    </row>
    <row r="352">
      <c r="B352" s="12"/>
      <c r="C352" s="137"/>
    </row>
    <row r="353">
      <c r="B353" s="12"/>
      <c r="C353" s="137"/>
    </row>
    <row r="354">
      <c r="B354" s="12"/>
      <c r="C354" s="137"/>
    </row>
    <row r="355">
      <c r="B355" s="12"/>
      <c r="C355" s="137"/>
    </row>
    <row r="356">
      <c r="B356" s="12"/>
      <c r="C356" s="137"/>
    </row>
    <row r="357">
      <c r="B357" s="12"/>
      <c r="C357" s="137"/>
    </row>
    <row r="358">
      <c r="B358" s="12"/>
      <c r="C358" s="137"/>
    </row>
    <row r="359">
      <c r="B359" s="12"/>
      <c r="C359" s="137"/>
    </row>
    <row r="360">
      <c r="B360" s="12"/>
      <c r="C360" s="137"/>
    </row>
    <row r="361">
      <c r="B361" s="12"/>
      <c r="C361" s="137"/>
    </row>
    <row r="362">
      <c r="B362" s="12"/>
      <c r="C362" s="137"/>
    </row>
    <row r="363">
      <c r="B363" s="12"/>
      <c r="C363" s="137"/>
    </row>
    <row r="364">
      <c r="B364" s="12"/>
      <c r="C364" s="137"/>
    </row>
    <row r="365">
      <c r="B365" s="12"/>
      <c r="C365" s="137"/>
    </row>
    <row r="366">
      <c r="B366" s="12"/>
      <c r="C366" s="137"/>
    </row>
    <row r="367">
      <c r="B367" s="12"/>
      <c r="C367" s="137"/>
    </row>
    <row r="368">
      <c r="B368" s="12"/>
      <c r="C368" s="137"/>
    </row>
    <row r="369">
      <c r="B369" s="12"/>
      <c r="C369" s="137"/>
    </row>
    <row r="370">
      <c r="B370" s="12"/>
      <c r="C370" s="137"/>
    </row>
    <row r="371">
      <c r="B371" s="12"/>
      <c r="C371" s="137"/>
    </row>
    <row r="372">
      <c r="B372" s="12"/>
      <c r="C372" s="137"/>
    </row>
    <row r="373">
      <c r="B373" s="12"/>
      <c r="C373" s="137"/>
    </row>
    <row r="374">
      <c r="B374" s="12"/>
      <c r="C374" s="137"/>
    </row>
    <row r="375">
      <c r="B375" s="12"/>
      <c r="C375" s="137"/>
    </row>
    <row r="376">
      <c r="B376" s="12"/>
      <c r="C376" s="137"/>
    </row>
    <row r="377">
      <c r="B377" s="12"/>
      <c r="C377" s="137"/>
    </row>
    <row r="378">
      <c r="B378" s="12"/>
      <c r="C378" s="137"/>
    </row>
    <row r="379">
      <c r="B379" s="12"/>
      <c r="C379" s="137"/>
    </row>
    <row r="380">
      <c r="B380" s="12"/>
      <c r="C380" s="137"/>
    </row>
    <row r="381">
      <c r="B381" s="12"/>
      <c r="C381" s="137"/>
    </row>
    <row r="382">
      <c r="B382" s="12"/>
      <c r="C382" s="137"/>
    </row>
    <row r="383">
      <c r="B383" s="12"/>
      <c r="C383" s="137"/>
    </row>
    <row r="384">
      <c r="B384" s="12"/>
      <c r="C384" s="137"/>
    </row>
    <row r="385">
      <c r="B385" s="12"/>
      <c r="C385" s="137"/>
    </row>
    <row r="386">
      <c r="B386" s="12"/>
      <c r="C386" s="137"/>
    </row>
    <row r="387">
      <c r="B387" s="12"/>
      <c r="C387" s="137"/>
    </row>
    <row r="388">
      <c r="B388" s="12"/>
      <c r="C388" s="137"/>
    </row>
    <row r="389">
      <c r="B389" s="12"/>
      <c r="C389" s="137"/>
    </row>
    <row r="390">
      <c r="B390" s="12"/>
      <c r="C390" s="137"/>
    </row>
    <row r="391">
      <c r="B391" s="12"/>
      <c r="C391" s="137"/>
    </row>
    <row r="392">
      <c r="B392" s="12"/>
      <c r="C392" s="137"/>
    </row>
    <row r="393">
      <c r="B393" s="12"/>
      <c r="C393" s="137"/>
    </row>
    <row r="394">
      <c r="B394" s="12"/>
      <c r="C394" s="137"/>
    </row>
    <row r="395">
      <c r="B395" s="12"/>
      <c r="C395" s="137"/>
    </row>
    <row r="396">
      <c r="B396" s="12"/>
      <c r="C396" s="137"/>
    </row>
    <row r="397">
      <c r="B397" s="12"/>
      <c r="C397" s="137"/>
    </row>
    <row r="398">
      <c r="B398" s="12"/>
      <c r="C398" s="137"/>
    </row>
    <row r="399">
      <c r="B399" s="12"/>
      <c r="C399" s="137"/>
    </row>
    <row r="400">
      <c r="B400" s="12"/>
      <c r="C400" s="137"/>
    </row>
    <row r="401">
      <c r="B401" s="12"/>
      <c r="C401" s="137"/>
    </row>
    <row r="402">
      <c r="B402" s="12"/>
      <c r="C402" s="137"/>
    </row>
    <row r="403">
      <c r="B403" s="12"/>
      <c r="C403" s="137"/>
    </row>
    <row r="404">
      <c r="B404" s="12"/>
      <c r="C404" s="137"/>
    </row>
    <row r="405">
      <c r="B405" s="12"/>
      <c r="C405" s="137"/>
    </row>
    <row r="406">
      <c r="B406" s="12"/>
      <c r="C406" s="137"/>
    </row>
    <row r="407">
      <c r="B407" s="12"/>
      <c r="C407" s="137"/>
    </row>
    <row r="408">
      <c r="B408" s="12"/>
      <c r="C408" s="137"/>
    </row>
    <row r="409">
      <c r="B409" s="12"/>
      <c r="C409" s="137"/>
    </row>
    <row r="410">
      <c r="B410" s="12"/>
      <c r="C410" s="137"/>
    </row>
    <row r="411">
      <c r="B411" s="12"/>
      <c r="C411" s="137"/>
    </row>
    <row r="412">
      <c r="B412" s="12"/>
      <c r="C412" s="137"/>
    </row>
    <row r="413">
      <c r="B413" s="12"/>
      <c r="C413" s="137"/>
    </row>
    <row r="414">
      <c r="B414" s="12"/>
      <c r="C414" s="137"/>
    </row>
    <row r="415">
      <c r="B415" s="12"/>
      <c r="C415" s="137"/>
    </row>
    <row r="416">
      <c r="B416" s="12"/>
      <c r="C416" s="137"/>
    </row>
    <row r="417">
      <c r="B417" s="12"/>
      <c r="C417" s="137"/>
    </row>
    <row r="418">
      <c r="B418" s="12"/>
      <c r="C418" s="137"/>
    </row>
    <row r="419">
      <c r="B419" s="12"/>
      <c r="C419" s="137"/>
    </row>
    <row r="420">
      <c r="B420" s="12"/>
      <c r="C420" s="137"/>
    </row>
    <row r="421">
      <c r="B421" s="12"/>
      <c r="C421" s="137"/>
    </row>
    <row r="422">
      <c r="B422" s="12"/>
      <c r="C422" s="137"/>
    </row>
    <row r="423">
      <c r="B423" s="12"/>
      <c r="C423" s="137"/>
    </row>
    <row r="424">
      <c r="B424" s="12"/>
      <c r="C424" s="137"/>
    </row>
    <row r="425">
      <c r="B425" s="12"/>
      <c r="C425" s="137"/>
    </row>
    <row r="426">
      <c r="B426" s="12"/>
      <c r="C426" s="137"/>
    </row>
    <row r="427">
      <c r="B427" s="12"/>
      <c r="C427" s="137"/>
    </row>
    <row r="428">
      <c r="B428" s="12"/>
      <c r="C428" s="137"/>
    </row>
    <row r="429">
      <c r="B429" s="12"/>
      <c r="C429" s="137"/>
    </row>
    <row r="430">
      <c r="B430" s="12"/>
      <c r="C430" s="137"/>
    </row>
    <row r="431">
      <c r="B431" s="12"/>
      <c r="C431" s="137"/>
    </row>
    <row r="432">
      <c r="B432" s="12"/>
      <c r="C432" s="137"/>
    </row>
    <row r="433">
      <c r="B433" s="12"/>
      <c r="C433" s="137"/>
    </row>
    <row r="434">
      <c r="B434" s="12"/>
      <c r="C434" s="137"/>
    </row>
    <row r="435">
      <c r="B435" s="12"/>
      <c r="C435" s="137"/>
    </row>
    <row r="436">
      <c r="B436" s="12"/>
      <c r="C436" s="137"/>
    </row>
    <row r="437">
      <c r="B437" s="12"/>
      <c r="C437" s="137"/>
    </row>
    <row r="438">
      <c r="B438" s="12"/>
      <c r="C438" s="137"/>
    </row>
    <row r="439">
      <c r="B439" s="12"/>
      <c r="C439" s="137"/>
    </row>
    <row r="440">
      <c r="B440" s="12"/>
      <c r="C440" s="137"/>
    </row>
    <row r="441">
      <c r="B441" s="12"/>
      <c r="C441" s="137"/>
    </row>
    <row r="442">
      <c r="B442" s="12"/>
      <c r="C442" s="137"/>
    </row>
    <row r="443">
      <c r="B443" s="12"/>
      <c r="C443" s="137"/>
    </row>
    <row r="444">
      <c r="B444" s="12"/>
      <c r="C444" s="137"/>
    </row>
    <row r="445">
      <c r="B445" s="12"/>
      <c r="C445" s="137"/>
    </row>
    <row r="446">
      <c r="B446" s="12"/>
      <c r="C446" s="137"/>
    </row>
    <row r="447">
      <c r="B447" s="12"/>
      <c r="C447" s="137"/>
    </row>
    <row r="448">
      <c r="B448" s="12"/>
      <c r="C448" s="137"/>
    </row>
    <row r="449">
      <c r="B449" s="12"/>
      <c r="C449" s="137"/>
    </row>
    <row r="450">
      <c r="B450" s="12"/>
      <c r="C450" s="137"/>
    </row>
    <row r="451">
      <c r="B451" s="12"/>
      <c r="C451" s="137"/>
    </row>
    <row r="452">
      <c r="B452" s="12"/>
      <c r="C452" s="137"/>
    </row>
    <row r="453">
      <c r="B453" s="12"/>
      <c r="C453" s="137"/>
    </row>
    <row r="454">
      <c r="B454" s="12"/>
      <c r="C454" s="137"/>
    </row>
    <row r="455">
      <c r="B455" s="12"/>
      <c r="C455" s="137"/>
    </row>
    <row r="456">
      <c r="B456" s="12"/>
      <c r="C456" s="137"/>
    </row>
    <row r="457">
      <c r="B457" s="12"/>
      <c r="C457" s="137"/>
    </row>
    <row r="458">
      <c r="B458" s="12"/>
      <c r="C458" s="137"/>
    </row>
    <row r="459">
      <c r="B459" s="12"/>
      <c r="C459" s="137"/>
    </row>
    <row r="460">
      <c r="B460" s="12"/>
      <c r="C460" s="137"/>
    </row>
    <row r="461">
      <c r="B461" s="12"/>
      <c r="C461" s="137"/>
    </row>
    <row r="462">
      <c r="B462" s="12"/>
      <c r="C462" s="137"/>
    </row>
    <row r="463">
      <c r="B463" s="12"/>
      <c r="C463" s="137"/>
    </row>
    <row r="464">
      <c r="B464" s="12"/>
      <c r="C464" s="137"/>
    </row>
    <row r="465">
      <c r="B465" s="12"/>
      <c r="C465" s="137"/>
    </row>
    <row r="466">
      <c r="B466" s="12"/>
      <c r="C466" s="137"/>
    </row>
    <row r="467">
      <c r="B467" s="12"/>
      <c r="C467" s="137"/>
    </row>
    <row r="468">
      <c r="B468" s="12"/>
      <c r="C468" s="137"/>
    </row>
    <row r="469">
      <c r="B469" s="12"/>
      <c r="C469" s="137"/>
    </row>
    <row r="470">
      <c r="B470" s="12"/>
      <c r="C470" s="137"/>
    </row>
    <row r="471">
      <c r="B471" s="12"/>
      <c r="C471" s="137"/>
    </row>
    <row r="472">
      <c r="B472" s="12"/>
      <c r="C472" s="137"/>
    </row>
    <row r="473">
      <c r="B473" s="12"/>
      <c r="C473" s="137"/>
    </row>
    <row r="474">
      <c r="B474" s="12"/>
      <c r="C474" s="137"/>
    </row>
    <row r="475">
      <c r="B475" s="12"/>
      <c r="C475" s="137"/>
    </row>
    <row r="476">
      <c r="B476" s="12"/>
      <c r="C476" s="137"/>
    </row>
    <row r="477">
      <c r="B477" s="12"/>
      <c r="C477" s="137"/>
    </row>
    <row r="478">
      <c r="B478" s="12"/>
      <c r="C478" s="137"/>
    </row>
    <row r="479">
      <c r="B479" s="12"/>
      <c r="C479" s="137"/>
    </row>
    <row r="480">
      <c r="B480" s="12"/>
      <c r="C480" s="137"/>
    </row>
    <row r="481">
      <c r="B481" s="12"/>
      <c r="C481" s="137"/>
    </row>
    <row r="482">
      <c r="B482" s="12"/>
      <c r="C482" s="137"/>
    </row>
    <row r="483">
      <c r="B483" s="12"/>
      <c r="C483" s="137"/>
    </row>
    <row r="484">
      <c r="B484" s="12"/>
      <c r="C484" s="137"/>
    </row>
    <row r="485">
      <c r="B485" s="12"/>
      <c r="C485" s="137"/>
    </row>
    <row r="486">
      <c r="B486" s="12"/>
      <c r="C486" s="137"/>
    </row>
    <row r="487">
      <c r="B487" s="12"/>
      <c r="C487" s="137"/>
    </row>
    <row r="488">
      <c r="B488" s="12"/>
      <c r="C488" s="137"/>
    </row>
    <row r="489">
      <c r="B489" s="12"/>
      <c r="C489" s="137"/>
    </row>
    <row r="490">
      <c r="B490" s="12"/>
      <c r="C490" s="137"/>
    </row>
    <row r="491">
      <c r="B491" s="12"/>
      <c r="C491" s="137"/>
    </row>
    <row r="492">
      <c r="B492" s="12"/>
      <c r="C492" s="137"/>
    </row>
    <row r="493">
      <c r="B493" s="12"/>
      <c r="C493" s="137"/>
    </row>
    <row r="494">
      <c r="B494" s="12"/>
      <c r="C494" s="137"/>
    </row>
    <row r="495">
      <c r="B495" s="12"/>
      <c r="C495" s="137"/>
    </row>
    <row r="496">
      <c r="B496" s="12"/>
      <c r="C496" s="137"/>
    </row>
    <row r="497">
      <c r="B497" s="12"/>
      <c r="C497" s="137"/>
    </row>
    <row r="498">
      <c r="B498" s="12"/>
      <c r="C498" s="137"/>
    </row>
    <row r="499">
      <c r="B499" s="12"/>
      <c r="C499" s="137"/>
    </row>
    <row r="500">
      <c r="B500" s="12"/>
      <c r="C500" s="137"/>
    </row>
    <row r="501">
      <c r="B501" s="12"/>
      <c r="C501" s="137"/>
    </row>
    <row r="502">
      <c r="B502" s="12"/>
      <c r="C502" s="137"/>
    </row>
    <row r="503">
      <c r="B503" s="12"/>
      <c r="C503" s="137"/>
    </row>
    <row r="504">
      <c r="B504" s="12"/>
      <c r="C504" s="137"/>
    </row>
    <row r="505">
      <c r="B505" s="12"/>
      <c r="C505" s="137"/>
    </row>
    <row r="506">
      <c r="B506" s="12"/>
      <c r="C506" s="137"/>
    </row>
    <row r="507">
      <c r="B507" s="12"/>
      <c r="C507" s="137"/>
    </row>
    <row r="508">
      <c r="B508" s="12"/>
      <c r="C508" s="137"/>
    </row>
    <row r="509">
      <c r="B509" s="12"/>
      <c r="C509" s="137"/>
    </row>
    <row r="510">
      <c r="B510" s="12"/>
      <c r="C510" s="137"/>
    </row>
    <row r="511">
      <c r="B511" s="12"/>
      <c r="C511" s="137"/>
    </row>
    <row r="512">
      <c r="B512" s="12"/>
      <c r="C512" s="137"/>
    </row>
    <row r="513">
      <c r="B513" s="12"/>
      <c r="C513" s="137"/>
    </row>
    <row r="514">
      <c r="B514" s="12"/>
      <c r="C514" s="137"/>
    </row>
    <row r="515">
      <c r="B515" s="12"/>
      <c r="C515" s="137"/>
    </row>
    <row r="516">
      <c r="B516" s="12"/>
      <c r="C516" s="137"/>
    </row>
    <row r="517">
      <c r="B517" s="12"/>
      <c r="C517" s="137"/>
    </row>
    <row r="518">
      <c r="B518" s="12"/>
      <c r="C518" s="137"/>
    </row>
    <row r="519">
      <c r="B519" s="12"/>
      <c r="C519" s="137"/>
    </row>
    <row r="520">
      <c r="B520" s="12"/>
      <c r="C520" s="137"/>
    </row>
    <row r="521">
      <c r="B521" s="12"/>
      <c r="C521" s="137"/>
    </row>
    <row r="522">
      <c r="B522" s="12"/>
      <c r="C522" s="137"/>
    </row>
    <row r="523">
      <c r="B523" s="12"/>
      <c r="C523" s="137"/>
    </row>
    <row r="524">
      <c r="B524" s="12"/>
      <c r="C524" s="137"/>
    </row>
    <row r="525">
      <c r="B525" s="12"/>
      <c r="C525" s="137"/>
    </row>
    <row r="526">
      <c r="B526" s="12"/>
      <c r="C526" s="137"/>
    </row>
    <row r="527">
      <c r="B527" s="12"/>
      <c r="C527" s="137"/>
    </row>
    <row r="528">
      <c r="B528" s="12"/>
      <c r="C528" s="137"/>
    </row>
    <row r="529">
      <c r="B529" s="12"/>
      <c r="C529" s="137"/>
    </row>
    <row r="530">
      <c r="B530" s="12"/>
      <c r="C530" s="137"/>
    </row>
    <row r="531">
      <c r="B531" s="12"/>
      <c r="C531" s="137"/>
    </row>
    <row r="532">
      <c r="B532" s="12"/>
      <c r="C532" s="137"/>
    </row>
    <row r="533">
      <c r="B533" s="12"/>
      <c r="C533" s="137"/>
    </row>
    <row r="534">
      <c r="B534" s="12"/>
      <c r="C534" s="137"/>
    </row>
    <row r="535">
      <c r="B535" s="12"/>
      <c r="C535" s="137"/>
    </row>
    <row r="536">
      <c r="B536" s="12"/>
      <c r="C536" s="137"/>
    </row>
    <row r="537">
      <c r="B537" s="12"/>
      <c r="C537" s="137"/>
    </row>
    <row r="538">
      <c r="B538" s="12"/>
      <c r="C538" s="137"/>
    </row>
    <row r="539">
      <c r="B539" s="12"/>
      <c r="C539" s="137"/>
    </row>
    <row r="540">
      <c r="B540" s="12"/>
      <c r="C540" s="137"/>
    </row>
    <row r="541">
      <c r="B541" s="12"/>
      <c r="C541" s="137"/>
    </row>
    <row r="542">
      <c r="B542" s="12"/>
      <c r="C542" s="137"/>
    </row>
    <row r="543">
      <c r="B543" s="12"/>
      <c r="C543" s="137"/>
    </row>
    <row r="544">
      <c r="B544" s="12"/>
      <c r="C544" s="137"/>
    </row>
    <row r="545">
      <c r="B545" s="12"/>
      <c r="C545" s="137"/>
    </row>
    <row r="546">
      <c r="B546" s="12"/>
      <c r="C546" s="137"/>
    </row>
    <row r="547">
      <c r="B547" s="12"/>
      <c r="C547" s="137"/>
    </row>
    <row r="548">
      <c r="B548" s="12"/>
      <c r="C548" s="137"/>
    </row>
    <row r="549">
      <c r="B549" s="12"/>
      <c r="C549" s="137"/>
    </row>
    <row r="550">
      <c r="B550" s="12"/>
      <c r="C550" s="137"/>
    </row>
    <row r="551">
      <c r="B551" s="12"/>
      <c r="C551" s="137"/>
    </row>
    <row r="552">
      <c r="B552" s="12"/>
      <c r="C552" s="137"/>
    </row>
    <row r="553">
      <c r="B553" s="12"/>
      <c r="C553" s="137"/>
    </row>
    <row r="554">
      <c r="B554" s="12"/>
      <c r="C554" s="137"/>
    </row>
    <row r="555">
      <c r="B555" s="12"/>
      <c r="C555" s="137"/>
    </row>
    <row r="556">
      <c r="B556" s="12"/>
      <c r="C556" s="137"/>
    </row>
    <row r="557">
      <c r="B557" s="12"/>
      <c r="C557" s="137"/>
    </row>
    <row r="558">
      <c r="B558" s="12"/>
      <c r="C558" s="137"/>
    </row>
    <row r="559">
      <c r="B559" s="12"/>
      <c r="C559" s="137"/>
    </row>
    <row r="560">
      <c r="B560" s="12"/>
      <c r="C560" s="137"/>
    </row>
    <row r="561">
      <c r="B561" s="12"/>
      <c r="C561" s="137"/>
    </row>
    <row r="562">
      <c r="B562" s="12"/>
      <c r="C562" s="137"/>
    </row>
    <row r="563">
      <c r="B563" s="12"/>
      <c r="C563" s="137"/>
    </row>
    <row r="564">
      <c r="B564" s="12"/>
      <c r="C564" s="137"/>
    </row>
    <row r="565">
      <c r="B565" s="12"/>
      <c r="C565" s="137"/>
    </row>
    <row r="566">
      <c r="B566" s="12"/>
      <c r="C566" s="137"/>
    </row>
    <row r="567">
      <c r="B567" s="12"/>
      <c r="C567" s="137"/>
    </row>
    <row r="568">
      <c r="B568" s="12"/>
      <c r="C568" s="137"/>
    </row>
    <row r="569">
      <c r="B569" s="12"/>
      <c r="C569" s="137"/>
    </row>
    <row r="570">
      <c r="B570" s="12"/>
      <c r="C570" s="137"/>
    </row>
    <row r="571">
      <c r="B571" s="12"/>
      <c r="C571" s="137"/>
    </row>
    <row r="572">
      <c r="B572" s="12"/>
      <c r="C572" s="137"/>
    </row>
    <row r="573">
      <c r="B573" s="12"/>
      <c r="C573" s="137"/>
    </row>
    <row r="574">
      <c r="B574" s="12"/>
      <c r="C574" s="137"/>
    </row>
    <row r="575">
      <c r="B575" s="12"/>
      <c r="C575" s="137"/>
    </row>
    <row r="576">
      <c r="B576" s="12"/>
      <c r="C576" s="137"/>
    </row>
    <row r="577">
      <c r="B577" s="12"/>
      <c r="C577" s="137"/>
    </row>
    <row r="578">
      <c r="B578" s="12"/>
      <c r="C578" s="137"/>
    </row>
    <row r="579">
      <c r="B579" s="12"/>
      <c r="C579" s="137"/>
    </row>
    <row r="580">
      <c r="B580" s="12"/>
      <c r="C580" s="137"/>
    </row>
    <row r="581">
      <c r="B581" s="12"/>
      <c r="C581" s="137"/>
    </row>
    <row r="582">
      <c r="B582" s="12"/>
      <c r="C582" s="137"/>
    </row>
    <row r="583">
      <c r="B583" s="12"/>
      <c r="C583" s="137"/>
    </row>
    <row r="584">
      <c r="B584" s="12"/>
      <c r="C584" s="137"/>
    </row>
    <row r="585">
      <c r="B585" s="12"/>
      <c r="C585" s="137"/>
    </row>
    <row r="586">
      <c r="B586" s="12"/>
      <c r="C586" s="137"/>
    </row>
    <row r="587">
      <c r="B587" s="12"/>
      <c r="C587" s="137"/>
    </row>
    <row r="588">
      <c r="B588" s="12"/>
      <c r="C588" s="137"/>
    </row>
    <row r="589">
      <c r="B589" s="12"/>
      <c r="C589" s="137"/>
    </row>
    <row r="590">
      <c r="B590" s="12"/>
      <c r="C590" s="137"/>
    </row>
    <row r="591">
      <c r="B591" s="12"/>
      <c r="C591" s="137"/>
    </row>
    <row r="592">
      <c r="B592" s="12"/>
      <c r="C592" s="137"/>
    </row>
    <row r="593">
      <c r="B593" s="12"/>
      <c r="C593" s="137"/>
    </row>
    <row r="594">
      <c r="B594" s="12"/>
      <c r="C594" s="137"/>
    </row>
    <row r="595">
      <c r="B595" s="12"/>
      <c r="C595" s="137"/>
    </row>
    <row r="596">
      <c r="B596" s="12"/>
      <c r="C596" s="137"/>
    </row>
    <row r="597">
      <c r="B597" s="12"/>
      <c r="C597" s="137"/>
    </row>
    <row r="598">
      <c r="B598" s="12"/>
      <c r="C598" s="137"/>
    </row>
    <row r="599">
      <c r="B599" s="12"/>
      <c r="C599" s="137"/>
    </row>
    <row r="600">
      <c r="B600" s="12"/>
      <c r="C600" s="137"/>
    </row>
    <row r="601">
      <c r="B601" s="12"/>
      <c r="C601" s="137"/>
    </row>
    <row r="602">
      <c r="B602" s="12"/>
      <c r="C602" s="137"/>
    </row>
    <row r="603">
      <c r="B603" s="12"/>
      <c r="C603" s="137"/>
    </row>
    <row r="604">
      <c r="B604" s="12"/>
      <c r="C604" s="137"/>
    </row>
    <row r="605">
      <c r="B605" s="12"/>
      <c r="C605" s="137"/>
    </row>
    <row r="606">
      <c r="B606" s="12"/>
      <c r="C606" s="137"/>
    </row>
    <row r="607">
      <c r="B607" s="12"/>
      <c r="C607" s="137"/>
    </row>
    <row r="608">
      <c r="B608" s="12"/>
      <c r="C608" s="137"/>
    </row>
    <row r="609">
      <c r="B609" s="12"/>
      <c r="C609" s="137"/>
    </row>
    <row r="610">
      <c r="B610" s="12"/>
      <c r="C610" s="137"/>
    </row>
    <row r="611">
      <c r="B611" s="12"/>
      <c r="C611" s="137"/>
    </row>
    <row r="612">
      <c r="B612" s="12"/>
      <c r="C612" s="137"/>
    </row>
    <row r="613">
      <c r="B613" s="12"/>
      <c r="C613" s="137"/>
    </row>
    <row r="614">
      <c r="B614" s="12"/>
      <c r="C614" s="137"/>
    </row>
    <row r="615">
      <c r="B615" s="12"/>
      <c r="C615" s="137"/>
    </row>
    <row r="616">
      <c r="B616" s="12"/>
      <c r="C616" s="137"/>
    </row>
    <row r="617">
      <c r="B617" s="12"/>
      <c r="C617" s="137"/>
    </row>
    <row r="618">
      <c r="B618" s="12"/>
      <c r="C618" s="137"/>
    </row>
    <row r="619">
      <c r="B619" s="12"/>
      <c r="C619" s="137"/>
    </row>
    <row r="620">
      <c r="B620" s="12"/>
      <c r="C620" s="137"/>
    </row>
    <row r="621">
      <c r="B621" s="12"/>
      <c r="C621" s="137"/>
    </row>
    <row r="622">
      <c r="B622" s="12"/>
      <c r="C622" s="137"/>
    </row>
    <row r="623">
      <c r="B623" s="12"/>
      <c r="C623" s="137"/>
    </row>
    <row r="624">
      <c r="B624" s="12"/>
      <c r="C624" s="137"/>
    </row>
    <row r="625">
      <c r="B625" s="12"/>
      <c r="C625" s="137"/>
    </row>
    <row r="626">
      <c r="B626" s="12"/>
      <c r="C626" s="137"/>
    </row>
    <row r="627">
      <c r="B627" s="12"/>
      <c r="C627" s="137"/>
    </row>
    <row r="628">
      <c r="B628" s="12"/>
      <c r="C628" s="137"/>
    </row>
    <row r="629">
      <c r="B629" s="12"/>
      <c r="C629" s="137"/>
    </row>
    <row r="630">
      <c r="B630" s="12"/>
      <c r="C630" s="137"/>
    </row>
    <row r="631">
      <c r="B631" s="12"/>
      <c r="C631" s="137"/>
    </row>
    <row r="632">
      <c r="B632" s="12"/>
      <c r="C632" s="137"/>
    </row>
    <row r="633">
      <c r="B633" s="12"/>
      <c r="C633" s="137"/>
    </row>
    <row r="634">
      <c r="B634" s="12"/>
      <c r="C634" s="137"/>
    </row>
    <row r="635">
      <c r="B635" s="12"/>
      <c r="C635" s="137"/>
    </row>
    <row r="636">
      <c r="B636" s="12"/>
      <c r="C636" s="137"/>
    </row>
    <row r="637">
      <c r="B637" s="12"/>
      <c r="C637" s="137"/>
    </row>
    <row r="638">
      <c r="B638" s="12"/>
      <c r="C638" s="137"/>
    </row>
    <row r="639">
      <c r="B639" s="12"/>
      <c r="C639" s="137"/>
    </row>
    <row r="640">
      <c r="B640" s="12"/>
      <c r="C640" s="137"/>
    </row>
    <row r="641">
      <c r="B641" s="12"/>
      <c r="C641" s="137"/>
    </row>
    <row r="642">
      <c r="B642" s="12"/>
      <c r="C642" s="137"/>
    </row>
    <row r="643">
      <c r="B643" s="12"/>
      <c r="C643" s="137"/>
    </row>
    <row r="644">
      <c r="B644" s="12"/>
      <c r="C644" s="137"/>
    </row>
    <row r="645">
      <c r="B645" s="12"/>
      <c r="C645" s="137"/>
    </row>
    <row r="646">
      <c r="B646" s="12"/>
      <c r="C646" s="137"/>
    </row>
    <row r="647">
      <c r="B647" s="12"/>
      <c r="C647" s="137"/>
    </row>
    <row r="648">
      <c r="B648" s="12"/>
      <c r="C648" s="137"/>
    </row>
    <row r="649">
      <c r="B649" s="12"/>
      <c r="C649" s="137"/>
    </row>
    <row r="650">
      <c r="B650" s="12"/>
      <c r="C650" s="137"/>
    </row>
    <row r="651">
      <c r="B651" s="12"/>
      <c r="C651" s="137"/>
    </row>
    <row r="652">
      <c r="B652" s="12"/>
      <c r="C652" s="137"/>
    </row>
    <row r="653">
      <c r="B653" s="12"/>
      <c r="C653" s="137"/>
    </row>
    <row r="654">
      <c r="B654" s="12"/>
      <c r="C654" s="137"/>
    </row>
    <row r="655">
      <c r="B655" s="12"/>
      <c r="C655" s="137"/>
    </row>
    <row r="656">
      <c r="B656" s="12"/>
      <c r="C656" s="137"/>
    </row>
    <row r="657">
      <c r="B657" s="12"/>
      <c r="C657" s="137"/>
    </row>
    <row r="658">
      <c r="B658" s="12"/>
      <c r="C658" s="137"/>
    </row>
    <row r="659">
      <c r="B659" s="12"/>
      <c r="C659" s="137"/>
    </row>
    <row r="660">
      <c r="B660" s="12"/>
      <c r="C660" s="137"/>
    </row>
    <row r="661">
      <c r="B661" s="12"/>
      <c r="C661" s="137"/>
    </row>
    <row r="662">
      <c r="B662" s="12"/>
      <c r="C662" s="137"/>
    </row>
    <row r="663">
      <c r="B663" s="12"/>
      <c r="C663" s="137"/>
    </row>
    <row r="664">
      <c r="B664" s="12"/>
      <c r="C664" s="137"/>
    </row>
    <row r="665">
      <c r="B665" s="12"/>
      <c r="C665" s="137"/>
    </row>
    <row r="666">
      <c r="B666" s="12"/>
      <c r="C666" s="137"/>
    </row>
    <row r="667">
      <c r="B667" s="12"/>
      <c r="C667" s="137"/>
    </row>
    <row r="668">
      <c r="B668" s="12"/>
      <c r="C668" s="137"/>
    </row>
    <row r="669">
      <c r="B669" s="12"/>
      <c r="C669" s="137"/>
    </row>
    <row r="670">
      <c r="B670" s="12"/>
      <c r="C670" s="137"/>
    </row>
    <row r="671">
      <c r="B671" s="12"/>
      <c r="C671" s="137"/>
    </row>
    <row r="672">
      <c r="B672" s="12"/>
      <c r="C672" s="137"/>
    </row>
    <row r="673">
      <c r="B673" s="12"/>
      <c r="C673" s="137"/>
    </row>
    <row r="674">
      <c r="B674" s="12"/>
      <c r="C674" s="137"/>
    </row>
    <row r="675">
      <c r="B675" s="12"/>
      <c r="C675" s="137"/>
    </row>
    <row r="676">
      <c r="B676" s="12"/>
      <c r="C676" s="137"/>
    </row>
    <row r="677">
      <c r="B677" s="12"/>
      <c r="C677" s="137"/>
    </row>
    <row r="678">
      <c r="B678" s="12"/>
      <c r="C678" s="137"/>
    </row>
    <row r="679">
      <c r="B679" s="12"/>
      <c r="C679" s="137"/>
    </row>
    <row r="680">
      <c r="B680" s="12"/>
      <c r="C680" s="137"/>
    </row>
    <row r="681">
      <c r="B681" s="12"/>
      <c r="C681" s="137"/>
    </row>
    <row r="682">
      <c r="B682" s="12"/>
      <c r="C682" s="137"/>
    </row>
    <row r="683">
      <c r="B683" s="12"/>
      <c r="C683" s="137"/>
    </row>
    <row r="684">
      <c r="B684" s="12"/>
      <c r="C684" s="137"/>
    </row>
    <row r="685">
      <c r="B685" s="12"/>
      <c r="C685" s="137"/>
    </row>
    <row r="686">
      <c r="B686" s="12"/>
      <c r="C686" s="137"/>
    </row>
    <row r="687">
      <c r="B687" s="12"/>
      <c r="C687" s="137"/>
    </row>
    <row r="688">
      <c r="B688" s="12"/>
      <c r="C688" s="137"/>
    </row>
    <row r="689">
      <c r="B689" s="12"/>
      <c r="C689" s="137"/>
    </row>
    <row r="690">
      <c r="B690" s="12"/>
      <c r="C690" s="137"/>
    </row>
    <row r="691">
      <c r="B691" s="12"/>
      <c r="C691" s="137"/>
    </row>
    <row r="692">
      <c r="B692" s="12"/>
      <c r="C692" s="137"/>
    </row>
    <row r="693">
      <c r="B693" s="12"/>
      <c r="C693" s="137"/>
    </row>
    <row r="694">
      <c r="B694" s="12"/>
      <c r="C694" s="137"/>
    </row>
    <row r="695">
      <c r="B695" s="12"/>
      <c r="C695" s="137"/>
    </row>
    <row r="696">
      <c r="B696" s="12"/>
      <c r="C696" s="137"/>
    </row>
    <row r="697">
      <c r="B697" s="12"/>
      <c r="C697" s="137"/>
    </row>
    <row r="698">
      <c r="B698" s="12"/>
      <c r="C698" s="137"/>
    </row>
    <row r="699">
      <c r="B699" s="12"/>
      <c r="C699" s="137"/>
    </row>
    <row r="700">
      <c r="B700" s="12"/>
      <c r="C700" s="137"/>
    </row>
    <row r="701">
      <c r="B701" s="12"/>
      <c r="C701" s="137"/>
    </row>
    <row r="702">
      <c r="B702" s="12"/>
      <c r="C702" s="137"/>
    </row>
    <row r="703">
      <c r="B703" s="12"/>
      <c r="C703" s="137"/>
    </row>
    <row r="704">
      <c r="B704" s="12"/>
      <c r="C704" s="137"/>
    </row>
    <row r="705">
      <c r="B705" s="12"/>
      <c r="C705" s="137"/>
    </row>
    <row r="706">
      <c r="B706" s="12"/>
      <c r="C706" s="137"/>
    </row>
    <row r="707">
      <c r="B707" s="12"/>
      <c r="C707" s="137"/>
    </row>
    <row r="708">
      <c r="B708" s="12"/>
      <c r="C708" s="137"/>
    </row>
    <row r="709">
      <c r="B709" s="12"/>
      <c r="C709" s="137"/>
    </row>
    <row r="710">
      <c r="B710" s="12"/>
      <c r="C710" s="137"/>
    </row>
    <row r="711">
      <c r="B711" s="12"/>
      <c r="C711" s="137"/>
    </row>
    <row r="712">
      <c r="B712" s="12"/>
      <c r="C712" s="137"/>
    </row>
    <row r="713">
      <c r="B713" s="12"/>
      <c r="C713" s="137"/>
    </row>
    <row r="714">
      <c r="B714" s="12"/>
      <c r="C714" s="137"/>
    </row>
    <row r="715">
      <c r="B715" s="12"/>
      <c r="C715" s="137"/>
    </row>
    <row r="716">
      <c r="B716" s="12"/>
      <c r="C716" s="137"/>
    </row>
    <row r="717">
      <c r="B717" s="12"/>
      <c r="C717" s="137"/>
    </row>
    <row r="718">
      <c r="B718" s="12"/>
      <c r="C718" s="137"/>
    </row>
    <row r="719">
      <c r="B719" s="12"/>
      <c r="C719" s="137"/>
    </row>
    <row r="720">
      <c r="B720" s="12"/>
      <c r="C720" s="137"/>
    </row>
    <row r="721">
      <c r="B721" s="12"/>
      <c r="C721" s="137"/>
    </row>
    <row r="722">
      <c r="B722" s="12"/>
      <c r="C722" s="137"/>
    </row>
    <row r="723">
      <c r="B723" s="12"/>
      <c r="C723" s="137"/>
    </row>
    <row r="724">
      <c r="B724" s="12"/>
      <c r="C724" s="137"/>
    </row>
    <row r="725">
      <c r="B725" s="12"/>
      <c r="C725" s="137"/>
    </row>
    <row r="726">
      <c r="B726" s="12"/>
      <c r="C726" s="137"/>
    </row>
    <row r="727">
      <c r="B727" s="12"/>
      <c r="C727" s="137"/>
    </row>
    <row r="728">
      <c r="B728" s="12"/>
      <c r="C728" s="137"/>
    </row>
    <row r="729">
      <c r="B729" s="12"/>
      <c r="C729" s="137"/>
    </row>
    <row r="730">
      <c r="B730" s="12"/>
      <c r="C730" s="137"/>
    </row>
    <row r="731">
      <c r="B731" s="12"/>
      <c r="C731" s="137"/>
    </row>
    <row r="732">
      <c r="B732" s="12"/>
      <c r="C732" s="137"/>
    </row>
    <row r="733">
      <c r="B733" s="12"/>
      <c r="C733" s="137"/>
    </row>
    <row r="734">
      <c r="B734" s="12"/>
      <c r="C734" s="137"/>
    </row>
    <row r="735">
      <c r="B735" s="12"/>
      <c r="C735" s="137"/>
    </row>
    <row r="736">
      <c r="B736" s="12"/>
      <c r="C736" s="137"/>
    </row>
    <row r="737">
      <c r="B737" s="12"/>
      <c r="C737" s="137"/>
    </row>
    <row r="738">
      <c r="B738" s="12"/>
      <c r="C738" s="137"/>
    </row>
    <row r="739">
      <c r="B739" s="12"/>
      <c r="C739" s="137"/>
    </row>
    <row r="740">
      <c r="B740" s="12"/>
      <c r="C740" s="137"/>
    </row>
    <row r="741">
      <c r="B741" s="12"/>
      <c r="C741" s="137"/>
    </row>
    <row r="742">
      <c r="B742" s="12"/>
      <c r="C742" s="137"/>
    </row>
    <row r="743">
      <c r="B743" s="12"/>
      <c r="C743" s="137"/>
    </row>
    <row r="744">
      <c r="B744" s="12"/>
      <c r="C744" s="137"/>
    </row>
    <row r="745">
      <c r="B745" s="12"/>
      <c r="C745" s="137"/>
    </row>
    <row r="746">
      <c r="B746" s="12"/>
      <c r="C746" s="137"/>
    </row>
    <row r="747">
      <c r="B747" s="12"/>
      <c r="C747" s="137"/>
    </row>
    <row r="748">
      <c r="B748" s="12"/>
      <c r="C748" s="137"/>
    </row>
    <row r="749">
      <c r="B749" s="12"/>
      <c r="C749" s="137"/>
    </row>
    <row r="750">
      <c r="B750" s="12"/>
      <c r="C750" s="137"/>
    </row>
    <row r="751">
      <c r="B751" s="12"/>
      <c r="C751" s="137"/>
    </row>
    <row r="752">
      <c r="B752" s="12"/>
      <c r="C752" s="137"/>
    </row>
    <row r="753">
      <c r="B753" s="12"/>
      <c r="C753" s="137"/>
    </row>
    <row r="754">
      <c r="B754" s="12"/>
      <c r="C754" s="137"/>
    </row>
    <row r="755">
      <c r="B755" s="12"/>
      <c r="C755" s="137"/>
    </row>
    <row r="756">
      <c r="B756" s="12"/>
      <c r="C756" s="137"/>
    </row>
    <row r="757">
      <c r="B757" s="12"/>
      <c r="C757" s="137"/>
    </row>
    <row r="758">
      <c r="B758" s="12"/>
      <c r="C758" s="137"/>
    </row>
    <row r="759">
      <c r="B759" s="12"/>
      <c r="C759" s="137"/>
    </row>
    <row r="760">
      <c r="B760" s="12"/>
      <c r="C760" s="137"/>
    </row>
    <row r="761">
      <c r="B761" s="12"/>
      <c r="C761" s="137"/>
    </row>
    <row r="762">
      <c r="B762" s="12"/>
      <c r="C762" s="137"/>
    </row>
    <row r="763">
      <c r="B763" s="12"/>
      <c r="C763" s="137"/>
    </row>
    <row r="764">
      <c r="B764" s="12"/>
      <c r="C764" s="137"/>
    </row>
    <row r="765">
      <c r="B765" s="12"/>
      <c r="C765" s="137"/>
    </row>
    <row r="766">
      <c r="B766" s="12"/>
      <c r="C766" s="137"/>
    </row>
    <row r="767">
      <c r="B767" s="12"/>
      <c r="C767" s="137"/>
    </row>
    <row r="768">
      <c r="B768" s="12"/>
      <c r="C768" s="137"/>
    </row>
    <row r="769">
      <c r="B769" s="12"/>
      <c r="C769" s="137"/>
    </row>
    <row r="770">
      <c r="B770" s="12"/>
      <c r="C770" s="137"/>
    </row>
    <row r="771">
      <c r="B771" s="12"/>
      <c r="C771" s="137"/>
    </row>
    <row r="772">
      <c r="B772" s="12"/>
      <c r="C772" s="137"/>
    </row>
    <row r="773">
      <c r="B773" s="12"/>
      <c r="C773" s="137"/>
    </row>
    <row r="774">
      <c r="B774" s="12"/>
      <c r="C774" s="137"/>
    </row>
    <row r="775">
      <c r="B775" s="12"/>
      <c r="C775" s="137"/>
    </row>
    <row r="776">
      <c r="B776" s="12"/>
      <c r="C776" s="137"/>
    </row>
    <row r="777">
      <c r="B777" s="12"/>
      <c r="C777" s="137"/>
    </row>
    <row r="778">
      <c r="B778" s="12"/>
      <c r="C778" s="137"/>
    </row>
    <row r="779">
      <c r="B779" s="12"/>
      <c r="C779" s="137"/>
    </row>
    <row r="780">
      <c r="B780" s="12"/>
      <c r="C780" s="137"/>
    </row>
    <row r="781">
      <c r="B781" s="12"/>
      <c r="C781" s="137"/>
    </row>
    <row r="782">
      <c r="B782" s="12"/>
      <c r="C782" s="137"/>
    </row>
    <row r="783">
      <c r="B783" s="12"/>
      <c r="C783" s="137"/>
    </row>
    <row r="784">
      <c r="B784" s="12"/>
      <c r="C784" s="137"/>
    </row>
    <row r="785">
      <c r="B785" s="12"/>
      <c r="C785" s="137"/>
    </row>
    <row r="786">
      <c r="B786" s="12"/>
      <c r="C786" s="137"/>
    </row>
    <row r="787">
      <c r="B787" s="12"/>
      <c r="C787" s="137"/>
    </row>
    <row r="788">
      <c r="B788" s="12"/>
      <c r="C788" s="137"/>
    </row>
    <row r="789">
      <c r="B789" s="12"/>
      <c r="C789" s="137"/>
    </row>
    <row r="790">
      <c r="B790" s="12"/>
      <c r="C790" s="137"/>
    </row>
    <row r="791">
      <c r="B791" s="12"/>
      <c r="C791" s="137"/>
    </row>
    <row r="792">
      <c r="B792" s="12"/>
      <c r="C792" s="137"/>
    </row>
    <row r="793">
      <c r="B793" s="12"/>
      <c r="C793" s="137"/>
    </row>
    <row r="794">
      <c r="B794" s="12"/>
      <c r="C794" s="137"/>
    </row>
    <row r="795">
      <c r="B795" s="12"/>
      <c r="C795" s="137"/>
    </row>
    <row r="796">
      <c r="B796" s="12"/>
      <c r="C796" s="137"/>
    </row>
    <row r="797">
      <c r="B797" s="12"/>
      <c r="C797" s="137"/>
    </row>
    <row r="798">
      <c r="B798" s="12"/>
      <c r="C798" s="137"/>
    </row>
    <row r="799">
      <c r="B799" s="12"/>
      <c r="C799" s="137"/>
    </row>
    <row r="800">
      <c r="B800" s="12"/>
      <c r="C800" s="137"/>
    </row>
    <row r="801">
      <c r="B801" s="12"/>
      <c r="C801" s="137"/>
    </row>
    <row r="802">
      <c r="B802" s="12"/>
      <c r="C802" s="137"/>
    </row>
    <row r="803">
      <c r="B803" s="12"/>
      <c r="C803" s="137"/>
    </row>
    <row r="804">
      <c r="B804" s="12"/>
      <c r="C804" s="137"/>
    </row>
    <row r="805">
      <c r="B805" s="12"/>
      <c r="C805" s="137"/>
    </row>
    <row r="806">
      <c r="B806" s="12"/>
      <c r="C806" s="137"/>
    </row>
    <row r="807">
      <c r="B807" s="12"/>
      <c r="C807" s="137"/>
    </row>
    <row r="808">
      <c r="B808" s="12"/>
      <c r="C808" s="137"/>
    </row>
    <row r="809">
      <c r="B809" s="12"/>
      <c r="C809" s="137"/>
    </row>
    <row r="810">
      <c r="B810" s="12"/>
      <c r="C810" s="137"/>
    </row>
    <row r="811">
      <c r="B811" s="12"/>
      <c r="C811" s="137"/>
    </row>
    <row r="812">
      <c r="B812" s="12"/>
      <c r="C812" s="137"/>
    </row>
    <row r="813">
      <c r="B813" s="12"/>
      <c r="C813" s="137"/>
    </row>
    <row r="814">
      <c r="B814" s="12"/>
      <c r="C814" s="137"/>
    </row>
    <row r="815">
      <c r="B815" s="12"/>
      <c r="C815" s="137"/>
    </row>
    <row r="816">
      <c r="B816" s="12"/>
      <c r="C816" s="137"/>
    </row>
    <row r="817">
      <c r="B817" s="12"/>
      <c r="C817" s="137"/>
    </row>
    <row r="818">
      <c r="B818" s="12"/>
      <c r="C818" s="137"/>
    </row>
    <row r="819">
      <c r="B819" s="12"/>
      <c r="C819" s="137"/>
    </row>
    <row r="820">
      <c r="B820" s="12"/>
      <c r="C820" s="137"/>
    </row>
    <row r="821">
      <c r="B821" s="12"/>
      <c r="C821" s="137"/>
    </row>
    <row r="822">
      <c r="B822" s="12"/>
      <c r="C822" s="137"/>
    </row>
    <row r="823">
      <c r="B823" s="12"/>
      <c r="C823" s="137"/>
    </row>
    <row r="824">
      <c r="B824" s="12"/>
      <c r="C824" s="137"/>
    </row>
    <row r="825">
      <c r="B825" s="12"/>
      <c r="C825" s="137"/>
    </row>
    <row r="826">
      <c r="B826" s="12"/>
      <c r="C826" s="137"/>
    </row>
    <row r="827">
      <c r="B827" s="12"/>
      <c r="C827" s="137"/>
    </row>
    <row r="828">
      <c r="B828" s="12"/>
      <c r="C828" s="137"/>
    </row>
    <row r="829">
      <c r="B829" s="12"/>
      <c r="C829" s="137"/>
    </row>
    <row r="830">
      <c r="B830" s="12"/>
      <c r="C830" s="137"/>
    </row>
    <row r="831">
      <c r="B831" s="12"/>
      <c r="C831" s="137"/>
    </row>
    <row r="832">
      <c r="B832" s="12"/>
      <c r="C832" s="137"/>
    </row>
    <row r="833">
      <c r="B833" s="12"/>
      <c r="C833" s="137"/>
    </row>
    <row r="834">
      <c r="B834" s="12"/>
      <c r="C834" s="137"/>
    </row>
    <row r="835">
      <c r="B835" s="12"/>
      <c r="C835" s="137"/>
    </row>
    <row r="836">
      <c r="B836" s="12"/>
      <c r="C836" s="137"/>
    </row>
    <row r="837">
      <c r="B837" s="12"/>
      <c r="C837" s="137"/>
    </row>
    <row r="838">
      <c r="B838" s="12"/>
      <c r="C838" s="137"/>
    </row>
    <row r="839">
      <c r="B839" s="12"/>
      <c r="C839" s="137"/>
    </row>
    <row r="840">
      <c r="B840" s="12"/>
      <c r="C840" s="137"/>
    </row>
    <row r="841">
      <c r="B841" s="12"/>
      <c r="C841" s="137"/>
    </row>
    <row r="842">
      <c r="B842" s="12"/>
      <c r="C842" s="137"/>
    </row>
    <row r="843">
      <c r="B843" s="12"/>
      <c r="C843" s="137"/>
    </row>
    <row r="844">
      <c r="B844" s="12"/>
      <c r="C844" s="137"/>
    </row>
    <row r="845">
      <c r="B845" s="12"/>
      <c r="C845" s="137"/>
    </row>
    <row r="846">
      <c r="B846" s="12"/>
      <c r="C846" s="137"/>
    </row>
    <row r="847">
      <c r="B847" s="12"/>
      <c r="C847" s="137"/>
    </row>
    <row r="848">
      <c r="B848" s="12"/>
      <c r="C848" s="137"/>
    </row>
    <row r="849">
      <c r="B849" s="12"/>
      <c r="C849" s="137"/>
    </row>
    <row r="850">
      <c r="B850" s="12"/>
      <c r="C850" s="137"/>
    </row>
    <row r="851">
      <c r="B851" s="12"/>
      <c r="C851" s="137"/>
    </row>
    <row r="852">
      <c r="B852" s="12"/>
      <c r="C852" s="137"/>
    </row>
    <row r="853">
      <c r="B853" s="12"/>
      <c r="C853" s="137"/>
    </row>
    <row r="854">
      <c r="B854" s="12"/>
      <c r="C854" s="137"/>
    </row>
    <row r="855">
      <c r="B855" s="12"/>
      <c r="C855" s="137"/>
    </row>
    <row r="856">
      <c r="B856" s="12"/>
      <c r="C856" s="137"/>
    </row>
    <row r="857">
      <c r="B857" s="12"/>
      <c r="C857" s="137"/>
    </row>
    <row r="858">
      <c r="B858" s="12"/>
      <c r="C858" s="137"/>
    </row>
    <row r="859">
      <c r="B859" s="12"/>
      <c r="C859" s="137"/>
    </row>
    <row r="860">
      <c r="B860" s="12"/>
      <c r="C860" s="137"/>
    </row>
    <row r="861">
      <c r="B861" s="12"/>
      <c r="C861" s="137"/>
    </row>
    <row r="862">
      <c r="B862" s="12"/>
      <c r="C862" s="137"/>
    </row>
    <row r="863">
      <c r="B863" s="12"/>
      <c r="C863" s="137"/>
    </row>
    <row r="864">
      <c r="B864" s="12"/>
      <c r="C864" s="137"/>
    </row>
    <row r="865">
      <c r="B865" s="12"/>
      <c r="C865" s="137"/>
    </row>
    <row r="866">
      <c r="B866" s="12"/>
      <c r="C866" s="137"/>
    </row>
    <row r="867">
      <c r="B867" s="12"/>
      <c r="C867" s="137"/>
    </row>
    <row r="868">
      <c r="B868" s="12"/>
      <c r="C868" s="137"/>
    </row>
    <row r="869">
      <c r="B869" s="12"/>
      <c r="C869" s="137"/>
    </row>
    <row r="870">
      <c r="B870" s="12"/>
      <c r="C870" s="137"/>
    </row>
    <row r="871">
      <c r="B871" s="12"/>
      <c r="C871" s="137"/>
    </row>
    <row r="872">
      <c r="B872" s="12"/>
      <c r="C872" s="137"/>
    </row>
    <row r="873">
      <c r="B873" s="12"/>
      <c r="C873" s="137"/>
    </row>
    <row r="874">
      <c r="B874" s="12"/>
      <c r="C874" s="137"/>
    </row>
    <row r="875">
      <c r="B875" s="12"/>
      <c r="C875" s="137"/>
    </row>
    <row r="876">
      <c r="B876" s="12"/>
      <c r="C876" s="137"/>
    </row>
    <row r="877">
      <c r="B877" s="12"/>
      <c r="C877" s="137"/>
    </row>
    <row r="878">
      <c r="B878" s="12"/>
      <c r="C878" s="137"/>
    </row>
    <row r="879">
      <c r="B879" s="12"/>
      <c r="C879" s="137"/>
    </row>
    <row r="880">
      <c r="B880" s="12"/>
      <c r="C880" s="137"/>
    </row>
    <row r="881">
      <c r="B881" s="12"/>
      <c r="C881" s="137"/>
    </row>
    <row r="882">
      <c r="B882" s="12"/>
      <c r="C882" s="137"/>
    </row>
    <row r="883">
      <c r="B883" s="12"/>
      <c r="C883" s="137"/>
    </row>
    <row r="884">
      <c r="B884" s="12"/>
      <c r="C884" s="137"/>
    </row>
    <row r="885">
      <c r="B885" s="12"/>
      <c r="C885" s="137"/>
    </row>
    <row r="886">
      <c r="B886" s="12"/>
      <c r="C886" s="137"/>
    </row>
    <row r="887">
      <c r="B887" s="12"/>
      <c r="C887" s="137"/>
    </row>
    <row r="888">
      <c r="B888" s="12"/>
      <c r="C888" s="137"/>
    </row>
    <row r="889">
      <c r="B889" s="12"/>
      <c r="C889" s="137"/>
    </row>
    <row r="890">
      <c r="B890" s="12"/>
      <c r="C890" s="137"/>
    </row>
    <row r="891">
      <c r="B891" s="12"/>
      <c r="C891" s="137"/>
    </row>
    <row r="892">
      <c r="B892" s="12"/>
      <c r="C892" s="137"/>
    </row>
    <row r="893">
      <c r="B893" s="12"/>
      <c r="C893" s="137"/>
    </row>
    <row r="894">
      <c r="B894" s="12"/>
      <c r="C894" s="137"/>
    </row>
    <row r="895">
      <c r="B895" s="12"/>
      <c r="C895" s="137"/>
    </row>
    <row r="896">
      <c r="B896" s="12"/>
      <c r="C896" s="137"/>
    </row>
    <row r="897">
      <c r="B897" s="12"/>
      <c r="C897" s="137"/>
    </row>
    <row r="898">
      <c r="B898" s="12"/>
      <c r="C898" s="137"/>
    </row>
    <row r="899">
      <c r="B899" s="12"/>
      <c r="C899" s="137"/>
    </row>
    <row r="900">
      <c r="B900" s="12"/>
      <c r="C900" s="137"/>
    </row>
    <row r="901">
      <c r="B901" s="12"/>
      <c r="C901" s="137"/>
    </row>
    <row r="902">
      <c r="B902" s="12"/>
      <c r="C902" s="137"/>
    </row>
    <row r="903">
      <c r="B903" s="12"/>
      <c r="C903" s="137"/>
    </row>
    <row r="904">
      <c r="B904" s="12"/>
      <c r="C904" s="137"/>
    </row>
    <row r="905">
      <c r="B905" s="12"/>
      <c r="C905" s="137"/>
    </row>
    <row r="906">
      <c r="B906" s="12"/>
      <c r="C906" s="137"/>
    </row>
    <row r="907">
      <c r="B907" s="12"/>
      <c r="C907" s="137"/>
    </row>
    <row r="908">
      <c r="B908" s="12"/>
      <c r="C908" s="137"/>
    </row>
    <row r="909">
      <c r="B909" s="12"/>
      <c r="C909" s="137"/>
    </row>
    <row r="910">
      <c r="B910" s="12"/>
      <c r="C910" s="137"/>
    </row>
    <row r="911">
      <c r="B911" s="12"/>
      <c r="C911" s="137"/>
    </row>
    <row r="912">
      <c r="B912" s="12"/>
      <c r="C912" s="137"/>
    </row>
    <row r="913">
      <c r="B913" s="12"/>
      <c r="C913" s="137"/>
    </row>
    <row r="914">
      <c r="B914" s="12"/>
      <c r="C914" s="137"/>
    </row>
    <row r="915">
      <c r="B915" s="12"/>
      <c r="C915" s="137"/>
    </row>
    <row r="916">
      <c r="B916" s="12"/>
      <c r="C916" s="137"/>
    </row>
    <row r="917">
      <c r="B917" s="12"/>
      <c r="C917" s="137"/>
    </row>
    <row r="918">
      <c r="B918" s="12"/>
      <c r="C918" s="137"/>
    </row>
    <row r="919">
      <c r="B919" s="12"/>
      <c r="C919" s="137"/>
    </row>
    <row r="920">
      <c r="B920" s="12"/>
      <c r="C920" s="137"/>
    </row>
    <row r="921">
      <c r="B921" s="12"/>
      <c r="C921" s="137"/>
    </row>
    <row r="922">
      <c r="B922" s="12"/>
      <c r="C922" s="137"/>
    </row>
    <row r="923">
      <c r="B923" s="12"/>
      <c r="C923" s="137"/>
    </row>
    <row r="924">
      <c r="B924" s="12"/>
      <c r="C924" s="137"/>
    </row>
    <row r="925">
      <c r="B925" s="12"/>
      <c r="C925" s="137"/>
    </row>
    <row r="926">
      <c r="B926" s="12"/>
      <c r="C926" s="137"/>
    </row>
    <row r="927">
      <c r="B927" s="12"/>
      <c r="C927" s="137"/>
    </row>
    <row r="928">
      <c r="B928" s="12"/>
      <c r="C928" s="137"/>
    </row>
    <row r="929">
      <c r="B929" s="12"/>
      <c r="C929" s="137"/>
    </row>
    <row r="930">
      <c r="B930" s="12"/>
      <c r="C930" s="137"/>
    </row>
    <row r="931">
      <c r="B931" s="12"/>
      <c r="C931" s="137"/>
    </row>
    <row r="932">
      <c r="B932" s="12"/>
      <c r="C932" s="137"/>
    </row>
    <row r="933">
      <c r="B933" s="12"/>
      <c r="C933" s="137"/>
    </row>
    <row r="934">
      <c r="B934" s="12"/>
      <c r="C934" s="137"/>
    </row>
    <row r="935">
      <c r="B935" s="12"/>
      <c r="C935" s="137"/>
    </row>
    <row r="936">
      <c r="B936" s="12"/>
      <c r="C936" s="137"/>
    </row>
    <row r="937">
      <c r="B937" s="12"/>
      <c r="C937" s="137"/>
    </row>
    <row r="938">
      <c r="B938" s="12"/>
      <c r="C938" s="137"/>
    </row>
    <row r="939">
      <c r="B939" s="12"/>
      <c r="C939" s="137"/>
    </row>
    <row r="940">
      <c r="B940" s="12"/>
      <c r="C940" s="137"/>
    </row>
    <row r="941">
      <c r="B941" s="12"/>
      <c r="C941" s="137"/>
    </row>
    <row r="942">
      <c r="B942" s="12"/>
      <c r="C942" s="137"/>
    </row>
    <row r="943">
      <c r="B943" s="12"/>
      <c r="C943" s="137"/>
    </row>
    <row r="944">
      <c r="B944" s="12"/>
      <c r="C944" s="137"/>
    </row>
    <row r="945">
      <c r="B945" s="12"/>
      <c r="C945" s="137"/>
    </row>
    <row r="946">
      <c r="B946" s="12"/>
      <c r="C946" s="137"/>
    </row>
    <row r="947">
      <c r="B947" s="12"/>
      <c r="C947" s="137"/>
    </row>
    <row r="948">
      <c r="B948" s="12"/>
      <c r="C948" s="137"/>
    </row>
    <row r="949">
      <c r="B949" s="12"/>
      <c r="C949" s="137"/>
    </row>
    <row r="950">
      <c r="B950" s="12"/>
      <c r="C950" s="137"/>
    </row>
    <row r="951">
      <c r="B951" s="12"/>
      <c r="C951" s="137"/>
    </row>
    <row r="952">
      <c r="B952" s="12"/>
      <c r="C952" s="137"/>
    </row>
    <row r="953">
      <c r="B953" s="12"/>
      <c r="C953" s="137"/>
    </row>
    <row r="954">
      <c r="B954" s="12"/>
      <c r="C954" s="137"/>
    </row>
    <row r="955">
      <c r="B955" s="12"/>
      <c r="C955" s="137"/>
    </row>
    <row r="956">
      <c r="B956" s="12"/>
      <c r="C956" s="137"/>
    </row>
    <row r="957">
      <c r="B957" s="12"/>
      <c r="C957" s="137"/>
    </row>
    <row r="958">
      <c r="B958" s="12"/>
      <c r="C958" s="137"/>
    </row>
    <row r="959">
      <c r="B959" s="12"/>
      <c r="C959" s="137"/>
    </row>
    <row r="960">
      <c r="B960" s="12"/>
      <c r="C960" s="137"/>
    </row>
    <row r="961">
      <c r="B961" s="12"/>
      <c r="C961" s="137"/>
    </row>
    <row r="962">
      <c r="B962" s="12"/>
      <c r="C962" s="137"/>
    </row>
    <row r="963">
      <c r="B963" s="12"/>
      <c r="C963" s="137"/>
    </row>
    <row r="964">
      <c r="B964" s="12"/>
      <c r="C964" s="137"/>
    </row>
    <row r="965">
      <c r="B965" s="12"/>
      <c r="C965" s="137"/>
    </row>
    <row r="966">
      <c r="B966" s="12"/>
      <c r="C966" s="137"/>
    </row>
    <row r="967">
      <c r="B967" s="12"/>
      <c r="C967" s="137"/>
    </row>
    <row r="968">
      <c r="B968" s="12"/>
      <c r="C968" s="137"/>
    </row>
    <row r="969">
      <c r="B969" s="12"/>
      <c r="C969" s="137"/>
    </row>
    <row r="970">
      <c r="B970" s="12"/>
      <c r="C970" s="137"/>
    </row>
    <row r="971">
      <c r="B971" s="12"/>
      <c r="C971" s="137"/>
    </row>
    <row r="972">
      <c r="B972" s="12"/>
      <c r="C972" s="137"/>
    </row>
    <row r="973">
      <c r="B973" s="12"/>
      <c r="C973" s="137"/>
    </row>
    <row r="974">
      <c r="B974" s="12"/>
      <c r="C974" s="137"/>
    </row>
    <row r="975">
      <c r="B975" s="12"/>
      <c r="C975" s="137"/>
    </row>
    <row r="976">
      <c r="B976" s="12"/>
      <c r="C976" s="137"/>
    </row>
    <row r="977">
      <c r="B977" s="12"/>
      <c r="C977" s="137"/>
    </row>
    <row r="978">
      <c r="B978" s="12"/>
      <c r="C978" s="137"/>
    </row>
    <row r="979">
      <c r="B979" s="12"/>
      <c r="C979" s="137"/>
    </row>
    <row r="980">
      <c r="B980" s="12"/>
      <c r="C980" s="137"/>
    </row>
    <row r="981">
      <c r="B981" s="12"/>
      <c r="C981" s="137"/>
    </row>
    <row r="982">
      <c r="B982" s="12"/>
      <c r="C982" s="137"/>
    </row>
    <row r="983">
      <c r="B983" s="12"/>
      <c r="C983" s="137"/>
    </row>
    <row r="984">
      <c r="B984" s="12"/>
      <c r="C984" s="137"/>
    </row>
    <row r="985">
      <c r="B985" s="12"/>
      <c r="C985" s="137"/>
    </row>
    <row r="986">
      <c r="B986" s="12"/>
      <c r="C986" s="137"/>
    </row>
    <row r="987">
      <c r="B987" s="12"/>
      <c r="C987" s="137"/>
    </row>
    <row r="988">
      <c r="B988" s="12"/>
      <c r="C988" s="137"/>
    </row>
    <row r="989">
      <c r="B989" s="12"/>
      <c r="C989" s="137"/>
    </row>
    <row r="990">
      <c r="B990" s="12"/>
      <c r="C990" s="137"/>
    </row>
    <row r="991">
      <c r="B991" s="12"/>
      <c r="C991" s="137"/>
    </row>
    <row r="992">
      <c r="B992" s="12"/>
      <c r="C992" s="137"/>
    </row>
    <row r="993">
      <c r="B993" s="12"/>
      <c r="C993" s="137"/>
    </row>
    <row r="994">
      <c r="B994" s="12"/>
      <c r="C994" s="137"/>
    </row>
    <row r="995">
      <c r="B995" s="12"/>
      <c r="C995" s="137"/>
    </row>
    <row r="996">
      <c r="B996" s="12"/>
      <c r="C996" s="137"/>
    </row>
    <row r="997">
      <c r="B997" s="12"/>
      <c r="C997" s="137"/>
    </row>
    <row r="998">
      <c r="B998" s="12"/>
      <c r="C998" s="137"/>
    </row>
    <row r="999">
      <c r="B999" s="12"/>
      <c r="C999" s="137"/>
    </row>
    <row r="1000">
      <c r="B1000" s="12"/>
      <c r="C1000" s="137"/>
    </row>
    <row r="1001">
      <c r="B1001" s="12"/>
      <c r="C1001" s="137"/>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1" width="21.38"/>
    <col customWidth="1" min="2" max="2" width="15.13"/>
    <col customWidth="1" min="3" max="3" width="68.75"/>
    <col customWidth="1" min="4" max="4" width="9.0"/>
    <col customWidth="1" min="10" max="10" width="11.0"/>
  </cols>
  <sheetData>
    <row r="1">
      <c r="A1" s="382" t="str">
        <f>IFERROR(__xludf.DUMMYFUNCTION("IMPORTRANGE(""https://docs.google.com/spreadsheets/d/1PPFix0KE5FV0_ekB8X93l4fBTTlhI3_4FnP7klgfg_Y/edit?gid=0#gid=0"", ""Waylon!a1:f100"")"),"WAYLON")</f>
        <v>WAYLON</v>
      </c>
      <c r="B1" s="383"/>
      <c r="C1" s="384" t="str">
        <f>IFERROR(__xludf.DUMMYFUNCTION("""COMPUTED_VALUE"""),"Wade (James Surano)")</f>
        <v>Wade (James Surano)</v>
      </c>
      <c r="D1" s="386"/>
      <c r="E1" s="386"/>
      <c r="F1" s="391"/>
      <c r="G1" s="391"/>
      <c r="H1" s="391"/>
      <c r="I1" s="391"/>
      <c r="J1" s="391"/>
      <c r="K1" s="386"/>
      <c r="L1" s="386"/>
      <c r="M1" s="386"/>
      <c r="N1" s="386"/>
      <c r="O1" s="386"/>
      <c r="P1" s="386"/>
      <c r="Q1" s="386"/>
      <c r="R1" s="386"/>
      <c r="S1" s="386"/>
      <c r="T1" s="386"/>
      <c r="U1" s="386"/>
      <c r="V1" s="386"/>
      <c r="W1" s="386"/>
      <c r="X1" s="386"/>
      <c r="Y1" s="386"/>
    </row>
    <row r="2">
      <c r="A2" s="214"/>
      <c r="B2" s="12"/>
      <c r="C2" s="137"/>
      <c r="D2" s="214"/>
      <c r="E2" s="260" t="str">
        <f>IFERROR(__xludf.DUMMYFUNCTION("""COMPUTED_VALUE"""),"Caster")</f>
        <v>Caster</v>
      </c>
      <c r="F2" s="214" t="str">
        <f>IFERROR(__xludf.DUMMYFUNCTION("""COMPUTED_VALUE"""),"Oak; black fleece cape, waylon tabard")</f>
        <v>Oak; black fleece cape, waylon tabard</v>
      </c>
    </row>
    <row r="3">
      <c r="A3" s="262" t="str">
        <f>IFERROR(__xludf.DUMMYFUNCTION("""COMPUTED_VALUE"""),"PARTY PATH")</f>
        <v>PARTY PATH</v>
      </c>
      <c r="B3" s="12"/>
      <c r="C3" s="137"/>
      <c r="D3" s="214"/>
      <c r="E3" s="260" t="str">
        <f>IFERROR(__xludf.DUMMYFUNCTION("""COMPUTED_VALUE"""),"Keeper")</f>
        <v>Keeper</v>
      </c>
      <c r="F3" s="214" t="str">
        <f>IFERROR(__xludf.DUMMYFUNCTION("""COMPUTED_VALUE"""),"Nutmeg; orange vest, blue bucket hat")</f>
        <v>Nutmeg; orange vest, blue bucket hat</v>
      </c>
    </row>
    <row r="4">
      <c r="A4" s="8" t="str">
        <f>IFERROR(__xludf.DUMMYFUNCTION("""COMPUTED_VALUE"""),"Character")</f>
        <v>Character</v>
      </c>
      <c r="B4" s="86" t="str">
        <f>IFERROR(__xludf.DUMMYFUNCTION("""COMPUTED_VALUE"""),"Gave Item/Info")</f>
        <v>Gave Item/Info</v>
      </c>
      <c r="C4" s="263" t="str">
        <f>IFERROR(__xludf.DUMMYFUNCTION("""COMPUTED_VALUE"""),"Notes")</f>
        <v>Notes</v>
      </c>
      <c r="D4" s="214"/>
      <c r="E4" s="260" t="str">
        <f>IFERROR(__xludf.DUMMYFUNCTION("""COMPUTED_VALUE"""),"Maker")</f>
        <v>Maker</v>
      </c>
      <c r="F4" s="214" t="str">
        <f>IFERROR(__xludf.DUMMYFUNCTION("""COMPUTED_VALUE"""),"Tariq; gray pants, yellow hoodie")</f>
        <v>Tariq; gray pants, yellow hoodie</v>
      </c>
    </row>
    <row r="5">
      <c r="A5" s="32" t="str">
        <f>IFERROR(__xludf.DUMMYFUNCTION("""COMPUTED_VALUE"""),"Santiago West Valerius")</f>
        <v>Santiago West Valerius</v>
      </c>
      <c r="B5" s="48" t="b">
        <f>IFERROR(__xludf.DUMMYFUNCTION("""COMPUTED_VALUE"""),TRUE)</f>
        <v>1</v>
      </c>
      <c r="C5" s="138" t="str">
        <f>IFERROR(__xludf.DUMMYFUNCTION("""COMPUTED_VALUE"""),"Got engagement from every member of the party and seemed to be starting to work together well.  Sledge and one other party member (name I can't remember) proactively decided to approach Ursula.  Weren't shy about mild deception with Ursula and planned out"&amp;" the approach to her together.  One party member expressed a bit of concern about going after Ursula because she had been tried and found innocent earlier in Waylon.  Were interested in Crabtree &amp; Evelyn's.  ")</f>
        <v>Got engagement from every member of the party and seemed to be starting to work together well.  Sledge and one other party member (name I can't remember) proactively decided to approach Ursula.  Weren't shy about mild deception with Ursula and planned out the approach to her together.  One party member expressed a bit of concern about going after Ursula because she had been tried and found innocent earlier in Waylon.  Were interested in Crabtree &amp; Evelyn's.  </v>
      </c>
      <c r="D5" s="214"/>
      <c r="E5" s="260" t="str">
        <f>IFERROR(__xludf.DUMMYFUNCTION("""COMPUTED_VALUE"""),"Ranger")</f>
        <v>Ranger</v>
      </c>
      <c r="F5" s="214" t="str">
        <f>IFERROR(__xludf.DUMMYFUNCTION("""COMPUTED_VALUE"""),"Jebe; white shirt orange netting")</f>
        <v>Jebe; white shirt orange netting</v>
      </c>
    </row>
    <row r="6">
      <c r="A6" s="32" t="str">
        <f>IFERROR(__xludf.DUMMYFUNCTION("""COMPUTED_VALUE"""),"Fenwick Michaels")</f>
        <v>Fenwick Michaels</v>
      </c>
      <c r="B6" s="48" t="b">
        <f>IFERROR(__xludf.DUMMYFUNCTION("""COMPUTED_VALUE"""),TRUE)</f>
        <v>1</v>
      </c>
      <c r="C6" s="222" t="str">
        <f>IFERROR(__xludf.DUMMYFUNCTION("""COMPUTED_VALUE"""),"Sledge, Tureek drove the conversation.  Others engaged at the other end of the table with other staff.")</f>
        <v>Sledge, Tureek drove the conversation.  Others engaged at the other end of the table with other staff.</v>
      </c>
      <c r="D6" s="214"/>
      <c r="E6" s="260" t="str">
        <f>IFERROR(__xludf.DUMMYFUNCTION("""COMPUTED_VALUE"""),"Seeker")</f>
        <v>Seeker</v>
      </c>
      <c r="F6" s="214" t="str">
        <f>IFERROR(__xludf.DUMMYFUNCTION("""COMPUTED_VALUE"""),"Sledge; Chain mail; orange lined cloak")</f>
        <v>Sledge; Chain mail; orange lined cloak</v>
      </c>
    </row>
    <row r="7">
      <c r="A7" s="32" t="str">
        <f>IFERROR(__xludf.DUMMYFUNCTION("""COMPUTED_VALUE"""),"Bailey")</f>
        <v>Bailey</v>
      </c>
      <c r="B7" s="12" t="b">
        <f>IFERROR(__xludf.DUMMYFUNCTION("""COMPUTED_VALUE"""),TRUE)</f>
        <v>1</v>
      </c>
      <c r="C7" s="138" t="str">
        <f>IFERROR(__xludf.DUMMYFUNCTION("""COMPUTED_VALUE"""),"Took them over to Evelyn, they were hesitant to engage the skeevers on the way, initally snuck around them before deciding to go back and fight")</f>
        <v>Took them over to Evelyn, they were hesitant to engage the skeevers on the way, initally snuck around them before deciding to go back and fight</v>
      </c>
      <c r="D7" s="214"/>
      <c r="E7" s="260" t="str">
        <f>IFERROR(__xludf.DUMMYFUNCTION("""COMPUTED_VALUE"""),"Traveler")</f>
        <v>Traveler</v>
      </c>
      <c r="F7" s="214" t="str">
        <f>IFERROR(__xludf.DUMMYFUNCTION("""COMPUTED_VALUE"""),"Sir Ender; Green pants, green hat")</f>
        <v>Sir Ender; Green pants, green hat</v>
      </c>
    </row>
    <row r="8">
      <c r="A8" s="32" t="str">
        <f>IFERROR(__xludf.DUMMYFUNCTION("""COMPUTED_VALUE"""),"Evelyn")</f>
        <v>Evelyn</v>
      </c>
      <c r="B8" s="48" t="b">
        <f>IFERROR(__xludf.DUMMYFUNCTION("""COMPUTED_VALUE"""),TRUE)</f>
        <v>1</v>
      </c>
      <c r="C8" s="138" t="str">
        <f>IFERROR(__xludf.DUMMYFUNCTION("""COMPUTED_VALUE"""),"4th Friday, gave list and people, they guessed skull cup with cult, everyone seemed engaged, they were sometimes laser focused on the mission but also seemed to enjoy our story")</f>
        <v>4th Friday, gave list and people, they guessed skull cup with cult, everyone seemed engaged, they were sometimes laser focused on the mission but also seemed to enjoy our story</v>
      </c>
      <c r="D8" s="214"/>
      <c r="E8" s="214"/>
      <c r="F8" s="214" t="str">
        <f>IFERROR(__xludf.DUMMYFUNCTION("""COMPUTED_VALUE"""),"Tureek")</f>
        <v>Tureek</v>
      </c>
    </row>
    <row r="9">
      <c r="A9" s="32" t="str">
        <f>IFERROR(__xludf.DUMMYFUNCTION("""COMPUTED_VALUE"""),"Cameron Light-Astor")</f>
        <v>Cameron Light-Astor</v>
      </c>
      <c r="B9" s="48" t="b">
        <f>IFERROR(__xludf.DUMMYFUNCTION("""COMPUTED_VALUE"""),TRUE)</f>
        <v>1</v>
      </c>
      <c r="C9" s="222" t="str">
        <f>IFERROR(__xludf.DUMMYFUNCTION("""COMPUTED_VALUE"""),"1st Saturday. The whole group crushed the What Tree challenge. They gave very thoughtful answers and each member ""accepted"" the final choice. Seems like they are firing on all cylinders - RP")</f>
        <v>1st Saturday. The whole group crushed the What Tree challenge. They gave very thoughtful answers and each member "accepted" the final choice. Seems like they are firing on all cylinders - RP</v>
      </c>
      <c r="D9" s="214"/>
      <c r="E9" s="214"/>
      <c r="F9" s="214" t="str">
        <f>IFERROR(__xludf.DUMMYFUNCTION("""COMPUTED_VALUE"""),"Nutmeg")</f>
        <v>Nutmeg</v>
      </c>
    </row>
    <row r="10">
      <c r="A10" s="32" t="str">
        <f>IFERROR(__xludf.DUMMYFUNCTION("""COMPUTED_VALUE"""),"Carmina Bordeaux")</f>
        <v>Carmina Bordeaux</v>
      </c>
      <c r="B10" s="48" t="b">
        <f>IFERROR(__xludf.DUMMYFUNCTION("""COMPUTED_VALUE"""),TRUE)</f>
        <v>1</v>
      </c>
      <c r="C10" s="138" t="str">
        <f>IFERROR(__xludf.DUMMYFUNCTION("""COMPUTED_VALUE"""),"after lunch out side tavern. made them flatter me and they did a great job")</f>
        <v>after lunch out side tavern. made them flatter me and they did a great job</v>
      </c>
      <c r="D10" s="214"/>
      <c r="E10" s="214"/>
      <c r="F10" s="214" t="str">
        <f>IFERROR(__xludf.DUMMYFUNCTION("""COMPUTED_VALUE"""),"Sledge")</f>
        <v>Sledge</v>
      </c>
    </row>
    <row r="11">
      <c r="A11" s="32" t="str">
        <f>IFERROR(__xludf.DUMMYFUNCTION("""COMPUTED_VALUE"""),"Dimitri (Don't Give Item!)")</f>
        <v>Dimitri (Don't Give Item!)</v>
      </c>
      <c r="B11" s="48" t="b">
        <f>IFERROR(__xludf.DUMMYFUNCTION("""COMPUTED_VALUE"""),TRUE)</f>
        <v>1</v>
      </c>
      <c r="C11" s="138" t="str">
        <f>IFERROR(__xludf.DUMMYFUNCTION("""COMPUTED_VALUE"""),"Done with flying colors. Scheduled to meet at 930A Sunday in front of tavern. ")</f>
        <v>Done with flying colors. Scheduled to meet at 930A Sunday in front of tavern. </v>
      </c>
      <c r="D11" s="214"/>
      <c r="E11" s="214"/>
      <c r="F11" s="214" t="str">
        <f>IFERROR(__xludf.DUMMYFUNCTION("""COMPUTED_VALUE"""),"Oak")</f>
        <v>Oak</v>
      </c>
    </row>
    <row r="12">
      <c r="A12" s="214" t="str">
        <f>IFERROR(__xludf.DUMMYFUNCTION("""COMPUTED_VALUE"""),"Kable Worldwatcher")</f>
        <v>Kable Worldwatcher</v>
      </c>
      <c r="B12" s="48" t="b">
        <f>IFERROR(__xludf.DUMMYFUNCTION("""COMPUTED_VALUE"""),TRUE)</f>
        <v>1</v>
      </c>
      <c r="C12" s="138" t="str">
        <f>IFERROR(__xludf.DUMMYFUNCTION("""COMPUTED_VALUE"""),"Just before lunch. They spoke of needing it for a potion they were brewing, but seemed to not want to talk in depth about what the potion was for. May have just been thinking that Makai don't do magic.")</f>
        <v>Just before lunch. They spoke of needing it for a potion they were brewing, but seemed to not want to talk in depth about what the potion was for. May have just been thinking that Makai don't do magic.</v>
      </c>
      <c r="D12" s="214"/>
      <c r="E12" s="214"/>
      <c r="F12" s="214" t="str">
        <f>IFERROR(__xludf.DUMMYFUNCTION("""COMPUTED_VALUE"""),"Sir Ender")</f>
        <v>Sir Ender</v>
      </c>
    </row>
    <row r="13">
      <c r="A13" s="214" t="str">
        <f>IFERROR(__xludf.DUMMYFUNCTION("""COMPUTED_VALUE"""),"Solomon Stillwater")</f>
        <v>Solomon Stillwater</v>
      </c>
      <c r="B13" s="12" t="b">
        <f>IFERROR(__xludf.DUMMYFUNCTION("""COMPUTED_VALUE"""),TRUE)</f>
        <v>1</v>
      </c>
      <c r="C13" s="138" t="str">
        <f>IFERROR(__xludf.DUMMYFUNCTION("""COMPUTED_VALUE"""),"Saturday lunch: the party did tghe Memorial challenge. The way they walted to be remembered is through love, joy and songs. They didn't have a specific song in mind, so I got them talking about the people they met so far, and who they loved -- which was q"&amp;"uite a few (Miscelenia, Light and others). Then I asked them to think if those people also loved them, and after some thought they said they think they did -- so in practice their memorial is already created :-)")</f>
        <v>Saturday lunch: the party did tghe Memorial challenge. The way they walted to be remembered is through love, joy and songs. They didn't have a specific song in mind, so I got them talking about the people they met so far, and who they loved -- which was quite a few (Miscelenia, Light and others). Then I asked them to think if those people also loved them, and after some thought they said they think they did -- so in practice their memorial is already created :-)</v>
      </c>
      <c r="D13" s="214"/>
      <c r="E13" s="214"/>
      <c r="F13" s="214"/>
    </row>
    <row r="14">
      <c r="A14" s="214" t="str">
        <f>IFERROR(__xludf.DUMMYFUNCTION("""COMPUTED_VALUE"""),"Dusty Peacock")</f>
        <v>Dusty Peacock</v>
      </c>
      <c r="B14" s="12" t="b">
        <f>IFERROR(__xludf.DUMMYFUNCTION("""COMPUTED_VALUE"""),TRUE)</f>
        <v>1</v>
      </c>
      <c r="C14" s="138" t="str">
        <f>IFERROR(__xludf.DUMMYFUNCTION("""COMPUTED_VALUE"""),"was warmly welcomed to their table at lumnch as if Dusty was Lady Gaga-famous, brought me a cup of coffee and told me all about their duchy and their need for a smoke stone jar and were invited up to the peacock camp after lunch. Came up, sang their heart"&amp;"s out and played guitar, then did 2 rounds of perfect square challenge. When asked if they were satisfied with the first square (rhombus) or second square (hourglass) they asked for one more round to try again, and nailed it. Lots of patience, comraderie,"&amp;" sharing of tasks. Got their item from Dusty.")</f>
        <v>was warmly welcomed to their table at lumnch as if Dusty was Lady Gaga-famous, brought me a cup of coffee and told me all about their duchy and their need for a smoke stone jar and were invited up to the peacock camp after lunch. Came up, sang their hearts out and played guitar, then did 2 rounds of perfect square challenge. When asked if they were satisfied with the first square (rhombus) or second square (hourglass) they asked for one more round to try again, and nailed it. Lots of patience, comraderie, sharing of tasks. Got their item from Dusty.</v>
      </c>
      <c r="D14" s="214"/>
      <c r="E14" s="214"/>
      <c r="F14" s="214"/>
    </row>
    <row r="15">
      <c r="A15" s="32" t="str">
        <f>IFERROR(__xludf.DUMMYFUNCTION("""COMPUTED_VALUE"""),"Equinoxious")</f>
        <v>Equinoxious</v>
      </c>
      <c r="B15" s="12" t="b">
        <f>IFERROR(__xludf.DUMMYFUNCTION("""COMPUTED_VALUE"""),TRUE)</f>
        <v>1</v>
      </c>
      <c r="C15" s="138" t="str">
        <f>IFERROR(__xludf.DUMMYFUNCTION("""COMPUTED_VALUE"""),"they enthusiastically engaged with the test of 10 and were very grateful for the skull cup. I made sure to mention that i would miss it because it's so bad-ass --TSR")</f>
        <v>they enthusiastically engaged with the test of 10 and were very grateful for the skull cup. I made sure to mention that i would miss it because it's so bad-ass --TSR</v>
      </c>
      <c r="D15" s="214"/>
      <c r="E15" s="214"/>
      <c r="F15" s="214"/>
    </row>
    <row r="16">
      <c r="A16" s="214" t="str">
        <f>IFERROR(__xludf.DUMMYFUNCTION("""COMPUTED_VALUE"""),"Geneva Sprink")</f>
        <v>Geneva Sprink</v>
      </c>
      <c r="B16" s="12" t="b">
        <f>IFERROR(__xludf.DUMMYFUNCTION("""COMPUTED_VALUE"""),TRUE)</f>
        <v>1</v>
      </c>
      <c r="C16" s="137" t="str">
        <f>IFERROR(__xludf.DUMMYFUNCTION("""COMPUTED_VALUE"""),"Got the orb by surprising Geneva with a human pyramid! Very surprising and terrifying!")</f>
        <v>Got the orb by surprising Geneva with a human pyramid! Very surprising and terrifying!</v>
      </c>
      <c r="D16" s="214"/>
      <c r="E16" s="214"/>
      <c r="F16" s="214"/>
    </row>
    <row r="17">
      <c r="A17" s="216" t="str">
        <f>IFERROR(__xludf.DUMMYFUNCTION("""COMPUTED_VALUE"""),"Mind of a madman")</f>
        <v>Mind of a madman</v>
      </c>
      <c r="B17" s="216" t="b">
        <f>IFERROR(__xludf.DUMMYFUNCTION("""COMPUTED_VALUE"""),TRUE)</f>
        <v>1</v>
      </c>
      <c r="C17" s="137" t="str">
        <f>IFERROR(__xludf.DUMMYFUNCTION("""COMPUTED_VALUE"""),"Adorable.  Did the Mind in 13 minutes or something.  Sang Backstreet Boys.  5 out of 5.  (KLH)")</f>
        <v>Adorable.  Did the Mind in 13 minutes or something.  Sang Backstreet Boys.  5 out of 5.  (KLH)</v>
      </c>
      <c r="D17" s="214"/>
      <c r="E17" s="214"/>
      <c r="F17" s="214"/>
    </row>
    <row r="18">
      <c r="A18" s="216" t="str">
        <f>IFERROR(__xludf.DUMMYFUNCTION("""COMPUTED_VALUE"""),"Dimitri (Sunday)")</f>
        <v>Dimitri (Sunday)</v>
      </c>
      <c r="B18" s="232" t="b">
        <f>IFERROR(__xludf.DUMMYFUNCTION("""COMPUTED_VALUE"""),FALSE)</f>
        <v>0</v>
      </c>
      <c r="C18" s="263"/>
      <c r="D18" s="86"/>
      <c r="E18" s="214"/>
      <c r="F18" s="214"/>
    </row>
    <row r="19">
      <c r="A19" s="32" t="str">
        <f>IFERROR(__xludf.DUMMYFUNCTION("""COMPUTED_VALUE"""),"Ursula Smirch")</f>
        <v>Ursula Smirch</v>
      </c>
      <c r="B19" s="48" t="b">
        <f>IFERROR(__xludf.DUMMYFUNCTION("""COMPUTED_VALUE"""),FALSE)</f>
        <v>0</v>
      </c>
      <c r="C19" s="138"/>
      <c r="D19" s="12"/>
      <c r="E19" s="214"/>
      <c r="F19" s="214"/>
    </row>
    <row r="20">
      <c r="A20" s="32"/>
      <c r="B20" s="48"/>
      <c r="C20" s="138"/>
      <c r="D20" s="12"/>
      <c r="E20" s="214"/>
      <c r="F20" s="214"/>
    </row>
    <row r="21">
      <c r="A21" s="32"/>
      <c r="B21" s="48"/>
      <c r="C21" s="222"/>
      <c r="D21" s="12"/>
      <c r="E21" s="214"/>
      <c r="F21" s="214"/>
    </row>
    <row r="22">
      <c r="A22" s="32" t="str">
        <f>IFERROR(__xludf.DUMMYFUNCTION("""COMPUTED_VALUE"""),"CHARGE")</f>
        <v>CHARGE</v>
      </c>
      <c r="B22" s="48" t="str">
        <f>IFERROR(__xludf.DUMMYFUNCTION("""COMPUTED_VALUE"""),"(Milton Peacock)")</f>
        <v>(Milton Peacock)</v>
      </c>
      <c r="C22" s="138"/>
      <c r="D22" s="12"/>
      <c r="E22" s="214"/>
      <c r="F22" s="214"/>
    </row>
    <row r="23">
      <c r="A23" s="32" t="str">
        <f>IFERROR(__xludf.DUMMYFUNCTION("""COMPUTED_VALUE"""),"Character")</f>
        <v>Character</v>
      </c>
      <c r="B23" s="48" t="str">
        <f>IFERROR(__xludf.DUMMYFUNCTION("""COMPUTED_VALUE"""),"Gave Info")</f>
        <v>Gave Info</v>
      </c>
      <c r="C23" s="222" t="str">
        <f>IFERROR(__xludf.DUMMYFUNCTION("""COMPUTED_VALUE"""),"Notes")</f>
        <v>Notes</v>
      </c>
      <c r="D23" s="12"/>
      <c r="E23" s="214"/>
      <c r="F23" s="214"/>
    </row>
    <row r="24">
      <c r="A24" s="32" t="str">
        <f>IFERROR(__xludf.DUMMYFUNCTION("""COMPUTED_VALUE"""),"Jack Johnson")</f>
        <v>Jack Johnson</v>
      </c>
      <c r="B24" s="48" t="b">
        <f>IFERROR(__xludf.DUMMYFUNCTION("""COMPUTED_VALUE"""),TRUE)</f>
        <v>1</v>
      </c>
      <c r="C24" s="138" t="str">
        <f>IFERROR(__xludf.DUMMYFUNCTION("""COMPUTED_VALUE"""),"Met with Caster Fri Night, hopefully enough to establish connection - PSC")</f>
        <v>Met with Caster Fri Night, hopefully enough to establish connection - PSC</v>
      </c>
      <c r="D24" s="12"/>
      <c r="E24" s="214"/>
      <c r="F24" s="214"/>
    </row>
    <row r="25">
      <c r="A25" s="32" t="str">
        <f>IFERROR(__xludf.DUMMYFUNCTION("""COMPUTED_VALUE"""),"Dusty Peacock")</f>
        <v>Dusty Peacock</v>
      </c>
      <c r="B25" s="48" t="b">
        <f>IFERROR(__xludf.DUMMYFUNCTION("""COMPUTED_VALUE"""),TRUE)</f>
        <v>1</v>
      </c>
      <c r="C25" s="138"/>
      <c r="D25" s="12"/>
      <c r="E25" s="214"/>
      <c r="F25" s="214"/>
    </row>
    <row r="26">
      <c r="A26" s="32" t="str">
        <f>IFERROR(__xludf.DUMMYFUNCTION("""COMPUTED_VALUE"""),"Donna Peacock")</f>
        <v>Donna Peacock</v>
      </c>
      <c r="B26" s="48" t="b">
        <f>IFERROR(__xludf.DUMMYFUNCTION("""COMPUTED_VALUE"""),TRUE)</f>
        <v>1</v>
      </c>
      <c r="C26" s="138" t="str">
        <f>IFERROR(__xludf.DUMMYFUNCTION("""COMPUTED_VALUE"""),"Had a good conversation with Waylon and a bunch of Peacocks around 3pm. Went well. They seemed interested. -LBD")</f>
        <v>Had a good conversation with Waylon and a bunch of Peacocks around 3pm. Went well. They seemed interested. -LBD</v>
      </c>
      <c r="D26" s="12"/>
      <c r="E26" s="214"/>
      <c r="F26" s="214"/>
    </row>
    <row r="27">
      <c r="A27" s="32" t="str">
        <f>IFERROR(__xludf.DUMMYFUNCTION("""COMPUTED_VALUE"""),"Joni Peacock")</f>
        <v>Joni Peacock</v>
      </c>
      <c r="B27" s="48" t="b">
        <f>IFERROR(__xludf.DUMMYFUNCTION("""COMPUTED_VALUE"""),TRUE)</f>
        <v>1</v>
      </c>
      <c r="C27" s="138"/>
      <c r="D27" s="12"/>
      <c r="E27" s="214"/>
      <c r="F27" s="214"/>
    </row>
    <row r="28">
      <c r="A28" s="32" t="str">
        <f>IFERROR(__xludf.DUMMYFUNCTION("""COMPUTED_VALUE"""),"Edwin Davies")</f>
        <v>Edwin Davies</v>
      </c>
      <c r="B28" s="48" t="b">
        <f>IFERROR(__xludf.DUMMYFUNCTION("""COMPUTED_VALUE"""),TRUE)</f>
        <v>1</v>
      </c>
      <c r="C28" s="222" t="str">
        <f>IFERROR(__xludf.DUMMYFUNCTION("""COMPUTED_VALUE"""),"Brief interaction after lunch - spoke to 2 or 3 party members.")</f>
        <v>Brief interaction after lunch - spoke to 2 or 3 party members.</v>
      </c>
      <c r="D28" s="12"/>
      <c r="E28" s="214"/>
      <c r="F28" s="214"/>
    </row>
    <row r="29">
      <c r="A29" s="32" t="str">
        <f>IFERROR(__xludf.DUMMYFUNCTION("""COMPUTED_VALUE"""),"Pearl Bryce")</f>
        <v>Pearl Bryce</v>
      </c>
      <c r="B29" s="48" t="b">
        <f>IFERROR(__xludf.DUMMYFUNCTION("""COMPUTED_VALUE"""),TRUE)</f>
        <v>1</v>
      </c>
      <c r="C29" s="138" t="str">
        <f>IFERROR(__xludf.DUMMYFUNCTION("""COMPUTED_VALUE""")," Spoke to the party at lunch, they seemed interested. Told them to find some Peacock and ask more questions!")</f>
        <v> Spoke to the party at lunch, they seemed interested. Told them to find some Peacock and ask more questions!</v>
      </c>
      <c r="D29" s="12"/>
      <c r="E29" s="214"/>
      <c r="F29" s="214"/>
    </row>
    <row r="30">
      <c r="A30" s="32" t="str">
        <f>IFERROR(__xludf.DUMMYFUNCTION("""COMPUTED_VALUE"""),"Cal Coleman")</f>
        <v>Cal Coleman</v>
      </c>
      <c r="B30" s="48" t="b">
        <f>IFERROR(__xludf.DUMMYFUNCTION("""COMPUTED_VALUE"""),FALSE)</f>
        <v>0</v>
      </c>
      <c r="C30" s="138"/>
      <c r="D30" s="12"/>
      <c r="E30" s="214"/>
      <c r="F30" s="214"/>
    </row>
    <row r="31">
      <c r="A31" s="32" t="str">
        <f>IFERROR(__xludf.DUMMYFUNCTION("""COMPUTED_VALUE"""),"Huxley")</f>
        <v>Huxley</v>
      </c>
      <c r="B31" s="48" t="b">
        <f>IFERROR(__xludf.DUMMYFUNCTION("""COMPUTED_VALUE"""),FALSE)</f>
        <v>0</v>
      </c>
      <c r="C31" s="138"/>
      <c r="D31" s="12"/>
      <c r="E31" s="214"/>
      <c r="F31" s="214"/>
    </row>
    <row r="32">
      <c r="A32" s="32" t="str">
        <f>IFERROR(__xludf.DUMMYFUNCTION("""COMPUTED_VALUE"""),"Milton Peacock")</f>
        <v>Milton Peacock</v>
      </c>
      <c r="B32" s="48" t="b">
        <f>IFERROR(__xludf.DUMMYFUNCTION("""COMPUTED_VALUE"""),TRUE)</f>
        <v>1</v>
      </c>
      <c r="C32" s="138" t="str">
        <f>IFERROR(__xludf.DUMMYFUNCTION("""COMPUTED_VALUE"""),"Fri pm made friends, also had conversation at fire pit Fri pm with Orion about how he wants speedy trials and if he has evidence and a confession he'll find people guilty. --JF
Saturday at dinner. LONG conversation, hitting all the topics: Why'd you do it"&amp;"? (gambling debts). What's your game? (poker) Who did you owe money to? (Lots of people). Anyone you would take a sword for? (change topic). What do you think of Miscellania - would you bring her as your date for the wedding, etc.  They also zoomed in whe"&amp;"n I was listing things she was good at when I mentioned investing amongst other topics -- investing in what? How does she invest? Did she invest for you?  They're thinking some sort of Ponzi scheme maybe. They want to talk with me in private later (of cou"&amp;"rse I'll be gone). Basically they seem all over this and I expect the revelation tonight will get gears turning.")</f>
        <v>Fri pm made friends, also had conversation at fire pit Fri pm with Orion about how he wants speedy trials and if he has evidence and a confession he'll find people guilty. --JF
Saturday at dinner. LONG conversation, hitting all the topics: Why'd you do it? (gambling debts). What's your game? (poker) Who did you owe money to? (Lots of people). Anyone you would take a sword for? (change topic). What do you think of Miscellania - would you bring her as your date for the wedding, etc.  They also zoomed in when I was listing things she was good at when I mentioned investing amongst other topics -- investing in what? How does she invest? Did she invest for you?  They're thinking some sort of Ponzi scheme maybe. They want to talk with me in private later (of course I'll be gone). Basically they seem all over this and I expect the revelation tonight will get gears turning.</v>
      </c>
      <c r="D32" s="12"/>
      <c r="E32" s="214"/>
      <c r="F32" s="214"/>
    </row>
    <row r="33">
      <c r="A33" s="32" t="str">
        <f>IFERROR(__xludf.DUMMYFUNCTION("""COMPUTED_VALUE"""),"Charlie Peacock")</f>
        <v>Charlie Peacock</v>
      </c>
      <c r="B33" s="48" t="b">
        <f>IFERROR(__xludf.DUMMYFUNCTION("""COMPUTED_VALUE"""),FALSE)</f>
        <v>0</v>
      </c>
      <c r="C33" s="138"/>
      <c r="D33" s="12"/>
      <c r="E33" s="214"/>
      <c r="F33" s="214"/>
    </row>
    <row r="34">
      <c r="A34" s="32" t="str">
        <f>IFERROR(__xludf.DUMMYFUNCTION("""COMPUTED_VALUE"""),"Elliott Peacock")</f>
        <v>Elliott Peacock</v>
      </c>
      <c r="B34" s="48" t="b">
        <f>IFERROR(__xludf.DUMMYFUNCTION("""COMPUTED_VALUE"""),TRUE)</f>
        <v>1</v>
      </c>
      <c r="C34" s="138" t="str">
        <f>IFERROR(__xludf.DUMMYFUNCTION("""COMPUTED_VALUE"""),"asked good questions about Mick, seemed interested in his wellbeing (MR)")</f>
        <v>asked good questions about Mick, seemed interested in his wellbeing (MR)</v>
      </c>
      <c r="D34" s="12"/>
      <c r="E34" s="214"/>
      <c r="F34" s="214"/>
    </row>
    <row r="35">
      <c r="A35" s="32" t="str">
        <f>IFERROR(__xludf.DUMMYFUNCTION("""COMPUTED_VALUE"""),"Shaun Peacock")</f>
        <v>Shaun Peacock</v>
      </c>
      <c r="B35" s="48" t="b">
        <f>IFERROR(__xludf.DUMMYFUNCTION("""COMPUTED_VALUE"""),TRUE)</f>
        <v>1</v>
      </c>
      <c r="C35" s="138"/>
      <c r="D35" s="12"/>
      <c r="E35" s="214"/>
      <c r="F35" s="214"/>
    </row>
    <row r="36">
      <c r="A36" s="32" t="str">
        <f>IFERROR(__xludf.DUMMYFUNCTION("""COMPUTED_VALUE"""),"Obsidian")</f>
        <v>Obsidian</v>
      </c>
      <c r="B36" s="48" t="b">
        <f>IFERROR(__xludf.DUMMYFUNCTION("""COMPUTED_VALUE"""),FALSE)</f>
        <v>0</v>
      </c>
      <c r="C36" s="138"/>
      <c r="D36" s="12"/>
      <c r="E36" s="214"/>
      <c r="F36" s="214"/>
    </row>
    <row r="37">
      <c r="A37" s="32" t="str">
        <f>IFERROR(__xludf.DUMMYFUNCTION("""COMPUTED_VALUE"""),"Dorito")</f>
        <v>Dorito</v>
      </c>
      <c r="B37" s="48" t="b">
        <f>IFERROR(__xludf.DUMMYFUNCTION("""COMPUTED_VALUE"""),TRUE)</f>
        <v>1</v>
      </c>
      <c r="C37" s="138" t="str">
        <f>IFERROR(__xludf.DUMMYFUNCTION("""COMPUTED_VALUE"""),"talked about good family dynamic of peacocks before lunch and they were sold on wanting to meet more peacocks.")</f>
        <v>talked about good family dynamic of peacocks before lunch and they were sold on wanting to meet more peacocks.</v>
      </c>
      <c r="D37" s="12"/>
      <c r="E37" s="214"/>
      <c r="F37" s="214"/>
    </row>
    <row r="38">
      <c r="A38" s="32" t="str">
        <f>IFERROR(__xludf.DUMMYFUNCTION("""COMPUTED_VALUE"""),"Dimitri")</f>
        <v>Dimitri</v>
      </c>
      <c r="B38" s="48" t="b">
        <f>IFERROR(__xludf.DUMMYFUNCTION("""COMPUTED_VALUE"""),TRUE)</f>
        <v>1</v>
      </c>
      <c r="C38" s="138" t="str">
        <f>IFERROR(__xludf.DUMMYFUNCTION("""COMPUTED_VALUE"""),"Took the note and were looking it over; asked me the circumstances under which I'd gotten the autograph.")</f>
        <v>Took the note and were looking it over; asked me the circumstances under which I'd gotten the autograph.</v>
      </c>
      <c r="D38" s="12"/>
      <c r="E38" s="214"/>
      <c r="F38" s="214"/>
    </row>
    <row r="39">
      <c r="A39" s="32" t="str">
        <f>IFERROR(__xludf.DUMMYFUNCTION("""COMPUTED_VALUE"""),"Kora Peacekeeper")</f>
        <v>Kora Peacekeeper</v>
      </c>
      <c r="B39" s="48" t="b">
        <f>IFERROR(__xludf.DUMMYFUNCTION("""COMPUTED_VALUE"""),TRUE)</f>
        <v>1</v>
      </c>
      <c r="C39" s="138" t="str">
        <f>IFERROR(__xludf.DUMMYFUNCTION("""COMPUTED_VALUE"""),"Very interested, plan to make it a point to see Milton 's handwriting CL")</f>
        <v>Very interested, plan to make it a point to see Milton 's handwriting CL</v>
      </c>
      <c r="D39" s="12"/>
      <c r="E39" s="214"/>
      <c r="F39" s="214"/>
    </row>
    <row r="40">
      <c r="A40" s="32" t="str">
        <f>IFERROR(__xludf.DUMMYFUNCTION("""COMPUTED_VALUE"""),"Malachi")</f>
        <v>Malachi</v>
      </c>
      <c r="B40" s="48" t="b">
        <f>IFERROR(__xludf.DUMMYFUNCTION("""COMPUTED_VALUE"""),TRUE)</f>
        <v>1</v>
      </c>
      <c r="C40" s="138" t="str">
        <f>IFERROR(__xludf.DUMMYFUNCTION("""COMPUTED_VALUE"""),"Walked up. Talked to them. They sounded like they'd heard lots of clues, but were not quite centering in on what the answer is. This was in the tavern during soulspeaking.")</f>
        <v>Walked up. Talked to them. They sounded like they'd heard lots of clues, but were not quite centering in on what the answer is. This was in the tavern during soulspeaking.</v>
      </c>
      <c r="D40" s="12"/>
      <c r="E40" s="214"/>
      <c r="F40" s="214"/>
    </row>
    <row r="41">
      <c r="A41" s="32" t="str">
        <f>IFERROR(__xludf.DUMMYFUNCTION("""COMPUTED_VALUE"""),"Kullis Toolforger")</f>
        <v>Kullis Toolforger</v>
      </c>
      <c r="B41" s="48" t="b">
        <f>IFERROR(__xludf.DUMMYFUNCTION("""COMPUTED_VALUE"""),FALSE)</f>
        <v>0</v>
      </c>
      <c r="C41" s="138"/>
      <c r="D41" s="12"/>
      <c r="E41" s="214"/>
      <c r="F41" s="214"/>
    </row>
    <row r="42">
      <c r="A42" s="32" t="str">
        <f>IFERROR(__xludf.DUMMYFUNCTION("""COMPUTED_VALUE"""),"Koreos")</f>
        <v>Koreos</v>
      </c>
      <c r="B42" s="48" t="b">
        <f>IFERROR(__xludf.DUMMYFUNCTION("""COMPUTED_VALUE"""),TRUE)</f>
        <v>1</v>
      </c>
      <c r="C42" s="138" t="str">
        <f>IFERROR(__xludf.DUMMYFUNCTION("""COMPUTED_VALUE"""),"worked it in to Miltons conversation very much focused on her investing")</f>
        <v>worked it in to Miltons conversation very much focused on her investing</v>
      </c>
      <c r="D42" s="12"/>
      <c r="E42" s="214"/>
      <c r="F42" s="214"/>
    </row>
    <row r="43">
      <c r="A43" s="32" t="str">
        <f>IFERROR(__xludf.DUMMYFUNCTION("""COMPUTED_VALUE"""),"Lexia")</f>
        <v>Lexia</v>
      </c>
      <c r="B43" s="48" t="b">
        <f>IFERROR(__xludf.DUMMYFUNCTION("""COMPUTED_VALUE"""),TRUE)</f>
        <v>1</v>
      </c>
      <c r="C43" s="138"/>
      <c r="D43" s="12"/>
      <c r="E43" s="214"/>
      <c r="F43" s="214"/>
    </row>
    <row r="44">
      <c r="A44" s="32" t="str">
        <f>IFERROR(__xludf.DUMMYFUNCTION("""COMPUTED_VALUE"""),"Honoré Valerius")</f>
        <v>Honoré Valerius</v>
      </c>
      <c r="B44" s="48" t="b">
        <f>IFERROR(__xludf.DUMMYFUNCTION("""COMPUTED_VALUE"""),TRUE)</f>
        <v>1</v>
      </c>
      <c r="C44" s="138"/>
      <c r="D44" s="12"/>
      <c r="E44" s="214"/>
      <c r="F44" s="214"/>
    </row>
    <row r="45">
      <c r="A45" s="32" t="str">
        <f>IFERROR(__xludf.DUMMYFUNCTION("""COMPUTED_VALUE"""),"Aria Morgan")</f>
        <v>Aria Morgan</v>
      </c>
      <c r="B45" s="48" t="b">
        <f>IFERROR(__xludf.DUMMYFUNCTION("""COMPUTED_VALUE"""),TRUE)</f>
        <v>1</v>
      </c>
      <c r="C45" s="138" t="str">
        <f>IFERROR(__xludf.DUMMYFUNCTION("""COMPUTED_VALUE"""),"Sat AM breakfast- Aria shared story about Milton nervously trying to book PFS for gig at theater, and explained how difficult it must be to book large group/expensive, Aria wishes she could help. Entire party was engaged, they wanted to meet a Peacock, Ar"&amp;"ia introduced them to Tanya, they all sang a song together at breakfast. DG")</f>
        <v>Sat AM breakfast- Aria shared story about Milton nervously trying to book PFS for gig at theater, and explained how difficult it must be to book large group/expensive, Aria wishes she could help. Entire party was engaged, they wanted to meet a Peacock, Aria introduced them to Tanya, they all sang a song together at breakfast. DG</v>
      </c>
      <c r="D45" s="12"/>
      <c r="E45" s="214"/>
      <c r="F45" s="214"/>
    </row>
    <row r="46">
      <c r="A46" s="32" t="str">
        <f>IFERROR(__xludf.DUMMYFUNCTION("""COMPUTED_VALUE"""),"Phyllis Fieri")</f>
        <v>Phyllis Fieri</v>
      </c>
      <c r="B46" s="48" t="b">
        <f>IFERROR(__xludf.DUMMYFUNCTION("""COMPUTED_VALUE"""),TRUE)</f>
        <v>1</v>
      </c>
      <c r="C46" s="138" t="str">
        <f>IFERROR(__xludf.DUMMYFUNCTION("""COMPUTED_VALUE"""),"Full party conversation at peacock camp, charge was given by JJ and Cal Coleman offered services.  Party was curious about Milton's stress about money and the disappearance of this unexpected $")</f>
        <v>Full party conversation at peacock camp, charge was given by JJ and Cal Coleman offered services.  Party was curious about Milton's stress about money and the disappearance of this unexpected $</v>
      </c>
      <c r="D46" s="12"/>
      <c r="E46" s="214"/>
      <c r="F46" s="214"/>
    </row>
    <row r="47">
      <c r="A47" s="214" t="str">
        <f>IFERROR(__xludf.DUMMYFUNCTION("""COMPUTED_VALUE"""),"Nemaia")</f>
        <v>Nemaia</v>
      </c>
      <c r="B47" s="12" t="b">
        <f>IFERROR(__xludf.DUMMYFUNCTION("""COMPUTED_VALUE"""),FALSE)</f>
        <v>0</v>
      </c>
      <c r="C47" s="137"/>
      <c r="D47" s="214"/>
      <c r="E47" s="214"/>
      <c r="F47" s="214"/>
    </row>
    <row r="48">
      <c r="A48" s="214" t="str">
        <f>IFERROR(__xludf.DUMMYFUNCTION("""COMPUTED_VALUE"""),"Ember")</f>
        <v>Ember</v>
      </c>
      <c r="B48" s="12" t="b">
        <f>IFERROR(__xludf.DUMMYFUNCTION("""COMPUTED_VALUE"""),TRUE)</f>
        <v>1</v>
      </c>
      <c r="C48" s="137" t="str">
        <f>IFERROR(__xludf.DUMMYFUNCTION("""COMPUTED_VALUE"""),"Had not heard anything about embezzlement as of 11a on Sat. Told them he was ""dating not-dating"" one of those hot muses. -Mirin")</f>
        <v>Had not heard anything about embezzlement as of 11a on Sat. Told them he was "dating not-dating" one of those hot muses. -Mirin</v>
      </c>
      <c r="D48" s="214"/>
      <c r="E48" s="214"/>
      <c r="F48" s="214"/>
    </row>
    <row r="49">
      <c r="A49" s="214" t="str">
        <f>IFERROR(__xludf.DUMMYFUNCTION("""COMPUTED_VALUE"""),"Esmerelda")</f>
        <v>Esmerelda</v>
      </c>
      <c r="B49" s="12" t="b">
        <f>IFERROR(__xludf.DUMMYFUNCTION("""COMPUTED_VALUE"""),TRUE)</f>
        <v>1</v>
      </c>
      <c r="C49" s="137" t="str">
        <f>IFERROR(__xludf.DUMMYFUNCTION("""COMPUTED_VALUE"""),"Gave Traveler Ender a personal reading to help them get to their next set location, told him my readings are usually accurate - just look at Misc. &amp; Milton! - ESD")</f>
        <v>Gave Traveler Ender a personal reading to help them get to their next set location, told him my readings are usually accurate - just look at Misc. &amp; Milton! - ESD</v>
      </c>
      <c r="D49" s="214"/>
      <c r="E49" s="214"/>
      <c r="F49" s="214"/>
    </row>
    <row r="50">
      <c r="A50" s="214" t="str">
        <f>IFERROR(__xludf.DUMMYFUNCTION("""COMPUTED_VALUE"""),"Sylvie Valerius")</f>
        <v>Sylvie Valerius</v>
      </c>
      <c r="B50" s="12" t="b">
        <f>IFERROR(__xludf.DUMMYFUNCTION("""COMPUTED_VALUE"""),TRUE)</f>
        <v>1</v>
      </c>
      <c r="C50" s="137" t="str">
        <f>IFERROR(__xludf.DUMMYFUNCTION("""COMPUTED_VALUE"""),"knowledge 100% imparted 4pm")</f>
        <v>knowledge 100% imparted 4pm</v>
      </c>
      <c r="D50" s="214"/>
      <c r="E50" s="214"/>
      <c r="F50" s="214"/>
    </row>
    <row r="51">
      <c r="A51" s="214" t="str">
        <f>IFERROR(__xludf.DUMMYFUNCTION("""COMPUTED_VALUE"""),"Belle Bishop")</f>
        <v>Belle Bishop</v>
      </c>
      <c r="B51" s="12" t="b">
        <f>IFERROR(__xludf.DUMMYFUNCTION("""COMPUTED_VALUE"""),TRUE)</f>
        <v>1</v>
      </c>
      <c r="C51" s="137" t="str">
        <f>IFERROR(__xludf.DUMMYFUNCTION("""COMPUTED_VALUE"""),"Had a delightful conversation with them at lunch. I asked if they thought I should encourage Milton to bring her to the wedding as his plus one and they said yes. When I said I just didn't want to overstep - in case they were actually just friends - they'"&amp;"d keep an eye out and let me know if they get the right ""vibe"" that suggests I should ask Milton the question")</f>
        <v>Had a delightful conversation with them at lunch. I asked if they thought I should encourage Milton to bring her to the wedding as his plus one and they said yes. When I said I just didn't want to overstep - in case they were actually just friends - they'd keep an eye out and let me know if they get the right "vibe" that suggests I should ask Milton the question</v>
      </c>
      <c r="D51" s="214"/>
      <c r="E51" s="214"/>
      <c r="F51" s="214"/>
    </row>
    <row r="52">
      <c r="A52" s="214" t="str">
        <f>IFERROR(__xludf.DUMMYFUNCTION("""COMPUTED_VALUE"""),"Fenwick Michaels")</f>
        <v>Fenwick Michaels</v>
      </c>
      <c r="B52" s="12" t="b">
        <f>IFERROR(__xludf.DUMMYFUNCTION("""COMPUTED_VALUE"""),TRUE)</f>
        <v>1</v>
      </c>
      <c r="C52" s="137" t="str">
        <f>IFERROR(__xludf.DUMMYFUNCTION("""COMPUTED_VALUE"""),"They were already thinking that Milton was covering for Miscellania.  They think he invested the money in her Ponzi scheme.  Only one member of the party is ready to abandon the party path to use the Testimony spell on Milton.")</f>
        <v>They were already thinking that Milton was covering for Miscellania.  They think he invested the money in her Ponzi scheme.  Only one member of the party is ready to abandon the party path to use the Testimony spell on Milton.</v>
      </c>
      <c r="D52" s="214"/>
      <c r="E52" s="214"/>
      <c r="F52" s="214"/>
    </row>
    <row r="53">
      <c r="A53" s="214" t="str">
        <f>IFERROR(__xludf.DUMMYFUNCTION("""COMPUTED_VALUE"""),"Revelations")</f>
        <v>Revelations</v>
      </c>
      <c r="B53" s="12"/>
      <c r="C53" s="137"/>
      <c r="D53" s="214"/>
      <c r="E53" s="214"/>
      <c r="F53" s="214"/>
    </row>
    <row r="54">
      <c r="A54" s="214" t="str">
        <f>IFERROR(__xludf.DUMMYFUNCTION("""COMPUTED_VALUE"""),"Dramina")</f>
        <v>Dramina</v>
      </c>
      <c r="B54" s="12" t="b">
        <f>IFERROR(__xludf.DUMMYFUNCTION("""COMPUTED_VALUE"""),FALSE)</f>
        <v>0</v>
      </c>
      <c r="C54" s="137"/>
      <c r="D54" s="214"/>
      <c r="E54" s="214"/>
      <c r="F54" s="214"/>
    </row>
    <row r="55">
      <c r="A55" s="214" t="str">
        <f>IFERROR(__xludf.DUMMYFUNCTION("""COMPUTED_VALUE"""),"Celeste Wilde")</f>
        <v>Celeste Wilde</v>
      </c>
      <c r="B55" s="12" t="b">
        <f>IFERROR(__xludf.DUMMYFUNCTION("""COMPUTED_VALUE"""),FALSE)</f>
        <v>0</v>
      </c>
      <c r="C55" s="137"/>
      <c r="D55" s="214"/>
      <c r="E55" s="214"/>
      <c r="F55" s="214"/>
    </row>
    <row r="56">
      <c r="A56" s="214" t="str">
        <f>IFERROR(__xludf.DUMMYFUNCTION("""COMPUTED_VALUE"""),"Mila")</f>
        <v>Mila</v>
      </c>
      <c r="B56" s="12" t="b">
        <f>IFERROR(__xludf.DUMMYFUNCTION("""COMPUTED_VALUE"""),FALSE)</f>
        <v>0</v>
      </c>
      <c r="C56" s="137"/>
      <c r="D56" s="214"/>
      <c r="E56" s="214"/>
      <c r="F56" s="214"/>
    </row>
    <row r="57">
      <c r="A57" s="214"/>
      <c r="B57" s="12"/>
      <c r="C57" s="137"/>
      <c r="D57" s="214"/>
      <c r="E57" s="214"/>
      <c r="F57" s="214"/>
    </row>
    <row r="58">
      <c r="A58" s="214" t="str">
        <f>IFERROR(__xludf.DUMMYFUNCTION("""COMPUTED_VALUE"""),"GENERAL NOTES")</f>
        <v>GENERAL NOTES</v>
      </c>
      <c r="B58" s="12"/>
      <c r="C58" s="137"/>
      <c r="D58" s="214"/>
      <c r="E58" s="214"/>
      <c r="F58" s="214"/>
    </row>
    <row r="59">
      <c r="A59" s="214" t="str">
        <f>IFERROR(__xludf.DUMMYFUNCTION("""COMPUTED_VALUE"""),"Poppy had a conversation with one of Waylon's folks around the fire. Seemed very concerned about who they could trust in World's Edge, whether there were rivalries, etc. Wouldn't say why they were really here - just said here for ""tourism.""")</f>
        <v>Poppy had a conversation with one of Waylon's folks around the fire. Seemed very concerned about who they could trust in World's Edge, whether there were rivalries, etc. Wouldn't say why they were really here - just said here for "tourism."</v>
      </c>
      <c r="B59" s="12"/>
      <c r="C59" s="137"/>
      <c r="D59" s="214"/>
      <c r="E59" s="214"/>
      <c r="F59" s="214"/>
    </row>
    <row r="60">
      <c r="A60" s="214" t="str">
        <f>IFERROR(__xludf.DUMMYFUNCTION("""COMPUTED_VALUE"""),"Two of the men are VERY high energy fighters, I would not be surprised to hear of an injury.")</f>
        <v>Two of the men are VERY high energy fighters, I would not be surprised to hear of an injury.</v>
      </c>
      <c r="B60" s="12"/>
      <c r="C60" s="137"/>
      <c r="D60" s="214"/>
      <c r="E60" s="214"/>
      <c r="F60" s="214"/>
    </row>
    <row r="61">
      <c r="A61" s="214" t="str">
        <f>IFERROR(__xludf.DUMMYFUNCTION("""COMPUTED_VALUE"""),"""Nutmeg"" and ""Oak"" are very interested in soaking up background stories from many characters.  Spent a lot of time at Fri pm fire doing more of that. —JF")</f>
        <v>"Nutmeg" and "Oak" are very interested in soaking up background stories from many characters.  Spent a lot of time at Fri pm fire doing more of that. —JF</v>
      </c>
      <c r="B61" s="12"/>
      <c r="C61" s="137"/>
      <c r="D61" s="214"/>
      <c r="E61" s="214"/>
      <c r="F61" s="214"/>
    </row>
    <row r="62">
      <c r="A62" s="214" t="str">
        <f>IFERROR(__xludf.DUMMYFUNCTION("""COMPUTED_VALUE"""),"Talked to them Friday night before they went out to C&amp;E; they asked the name of our group, and I told them the handbook bit about how Equi objected to ""White Skulls"".  When they came back, they said, hey, you had that whole skull thing going on, do you "&amp;"have a skull cup?  I make clear that that's just a metaphor, we don't have skulls...but in fact their vision should lead them to Equi.  So.  I'm sure they'll get there, but I may have accidentally steered them away from the right answer.  --LN")</f>
        <v>Talked to them Friday night before they went out to C&amp;E; they asked the name of our group, and I told them the handbook bit about how Equi objected to "White Skulls".  When they came back, they said, hey, you had that whole skull thing going on, do you have a skull cup?  I make clear that that's just a metaphor, we don't have skulls...but in fact their vision should lead them to Equi.  So.  I'm sure they'll get there, but I may have accidentally steered them away from the right answer.  --LN</v>
      </c>
      <c r="B62" s="12"/>
      <c r="C62" s="137"/>
      <c r="D62" s="214"/>
      <c r="E62" s="214"/>
      <c r="F62" s="214"/>
    </row>
    <row r="63">
      <c r="A63" s="214" t="str">
        <f>IFERROR(__xludf.DUMMYFUNCTION("""COMPUTED_VALUE"""),"Worked with Sythwan to fight chitters.  Both rangers sootheded.  Seemed to communicate well - Peggy Saturday 8-10")</f>
        <v>Worked with Sythwan to fight chitters.  Both rangers sootheded.  Seemed to communicate well - Peggy Saturday 8-10</v>
      </c>
      <c r="B63" s="12"/>
      <c r="C63" s="137"/>
      <c r="D63" s="214"/>
      <c r="E63" s="214"/>
      <c r="F63" s="214"/>
    </row>
    <row r="64">
      <c r="A64" s="214" t="str">
        <f>IFERROR(__xludf.DUMMYFUNCTION("""COMPUTED_VALUE"""),"party photo taken -Mirin")</f>
        <v>party photo taken -Mirin</v>
      </c>
      <c r="B64" s="12"/>
      <c r="C64" s="137"/>
      <c r="D64" s="214"/>
      <c r="E64" s="214"/>
      <c r="F64" s="214"/>
    </row>
    <row r="65">
      <c r="A65" s="214" t="str">
        <f>IFERROR(__xludf.DUMMYFUNCTION("""COMPUTED_VALUE"""),"Surprised  Geneva Sprink by making a 6 person pyramid on top of the circular picnic table!")</f>
        <v>Surprised  Geneva Sprink by making a 6 person pyramid on top of the circular picnic table!</v>
      </c>
      <c r="B65" s="12"/>
      <c r="C65" s="137"/>
      <c r="D65" s="214"/>
      <c r="E65" s="214"/>
      <c r="F65" s="214"/>
    </row>
    <row r="66">
      <c r="A66" s="214" t="str">
        <f>IFERROR(__xludf.DUMMYFUNCTION("""COMPUTED_VALUE"""),"They are very interested in the details of the use of magic at the trial, especially truth magic, and how it relates to their Testimony details. Gave the explanation of what isn't allowed in the trial, and the ways in which magic is sometimes used outside"&amp;" of trials to learn/find things, but that all testimony during the trial cannot be compelled/etc. --TR")</f>
        <v>They are very interested in the details of the use of magic at the trial, especially truth magic, and how it relates to their Testimony details. Gave the explanation of what isn't allowed in the trial, and the ways in which magic is sometimes used outside of trials to learn/find things, but that all testimony during the trial cannot be compelled/etc. --TR</v>
      </c>
      <c r="B66" s="12"/>
      <c r="C66" s="137"/>
      <c r="D66" s="214"/>
      <c r="E66" s="214"/>
      <c r="F66" s="214"/>
    </row>
    <row r="67">
      <c r="A67" s="214" t="str">
        <f>IFERROR(__xludf.DUMMYFUNCTION("""COMPUTED_VALUE"""),"Bought a root foot spell renewal, having used theirs successfully; fought cursed Skeever on Hillside side; jovial &amp; seemed to be connected as a party - Saturday Noon  -- MO")</f>
        <v>Bought a root foot spell renewal, having used theirs successfully; fought cursed Skeever on Hillside side; jovial &amp; seemed to be connected as a party - Saturday Noon  -- MO</v>
      </c>
      <c r="B67" s="12"/>
      <c r="C67" s="137"/>
      <c r="D67" s="214"/>
      <c r="E67" s="214"/>
      <c r="F67" s="214"/>
    </row>
    <row r="68">
      <c r="A68" s="214" t="str">
        <f>IFERROR(__xludf.DUMMYFUNCTION("""COMPUTED_VALUE"""),"Seeker came to Shadow for guidance at 352PM Sat.  We balanced introspection with not being in guidance at 400, he reflected and got his hits back. - BW")</f>
        <v>Seeker came to Shadow for guidance at 352PM Sat.  We balanced introspection with not being in guidance at 400, he reflected and got his hits back. - BW</v>
      </c>
      <c r="B68" s="12"/>
      <c r="C68" s="137"/>
      <c r="D68" s="214"/>
      <c r="E68" s="214"/>
      <c r="F68" s="214"/>
    </row>
    <row r="69">
      <c r="A69" s="214" t="str">
        <f>IFERROR(__xludf.DUMMYFUNCTION("""COMPUTED_VALUE"""),"Sang Backstreet Boys in Mind of a Madman - amazing - Kels")</f>
        <v>Sang Backstreet Boys in Mind of a Madman - amazing - Kels</v>
      </c>
      <c r="B69" s="12"/>
      <c r="C69" s="137"/>
      <c r="D69" s="214"/>
      <c r="E69" s="214"/>
      <c r="F69" s="214"/>
    </row>
    <row r="70">
      <c r="A70" s="214" t="str">
        <f>IFERROR(__xludf.DUMMYFUNCTION("""COMPUTED_VALUE"""),"Walking them to soul speaking they talked about believing that Milton is innocent; they wish that Dimitri would have given them the wine today rather than waiting until tomorrow, but they trust that he'll give it tomorrow; then after soul speaking they wa"&amp;"lked away singing ""Beneditu Gracia"" beautifully. - MO")</f>
        <v>Walking them to soul speaking they talked about believing that Milton is innocent; they wish that Dimitri would have given them the wine today rather than waiting until tomorrow, but they trust that he'll give it tomorrow; then after soul speaking they walked away singing "Beneditu Gracia" beautifully. - MO</v>
      </c>
      <c r="B70" s="12"/>
      <c r="C70" s="137"/>
      <c r="D70" s="214"/>
      <c r="E70" s="214"/>
      <c r="F70" s="214"/>
    </row>
    <row r="71">
      <c r="A71" s="214"/>
      <c r="B71" s="12"/>
      <c r="C71" s="137"/>
      <c r="D71" s="214"/>
      <c r="E71" s="214"/>
      <c r="F71" s="214"/>
    </row>
    <row r="72">
      <c r="A72" s="214"/>
      <c r="B72" s="12"/>
      <c r="C72" s="137"/>
      <c r="D72" s="214"/>
      <c r="E72" s="214"/>
      <c r="F72" s="214"/>
    </row>
    <row r="73">
      <c r="A73" s="214"/>
      <c r="B73" s="12"/>
      <c r="C73" s="137"/>
      <c r="D73" s="214"/>
      <c r="E73" s="214"/>
      <c r="F73" s="214"/>
    </row>
    <row r="74">
      <c r="A74" s="214"/>
      <c r="B74" s="12"/>
      <c r="C74" s="137"/>
      <c r="D74" s="214"/>
      <c r="E74" s="214"/>
      <c r="F74" s="214"/>
    </row>
    <row r="75">
      <c r="A75" s="214"/>
      <c r="B75" s="12"/>
      <c r="C75" s="137"/>
      <c r="D75" s="214"/>
      <c r="E75" s="214"/>
      <c r="F75" s="214"/>
    </row>
    <row r="76">
      <c r="A76" s="214"/>
      <c r="B76" s="12"/>
      <c r="C76" s="137"/>
      <c r="D76" s="214"/>
      <c r="E76" s="214"/>
      <c r="F76" s="214"/>
    </row>
    <row r="77">
      <c r="A77" s="214"/>
      <c r="B77" s="12"/>
      <c r="C77" s="137"/>
      <c r="D77" s="214"/>
      <c r="E77" s="214"/>
      <c r="F77" s="214"/>
    </row>
    <row r="78">
      <c r="A78" s="214"/>
      <c r="B78" s="12"/>
      <c r="C78" s="137"/>
      <c r="D78" s="214"/>
      <c r="E78" s="214"/>
      <c r="F78" s="214"/>
    </row>
    <row r="79">
      <c r="A79" s="214"/>
      <c r="B79" s="12"/>
      <c r="C79" s="137"/>
      <c r="D79" s="214"/>
      <c r="E79" s="214"/>
      <c r="F79" s="214"/>
    </row>
    <row r="80">
      <c r="A80" s="214"/>
      <c r="B80" s="12"/>
      <c r="C80" s="137"/>
      <c r="D80" s="214"/>
      <c r="E80" s="214"/>
      <c r="F80" s="214"/>
    </row>
    <row r="81">
      <c r="A81" s="214"/>
      <c r="B81" s="12"/>
      <c r="C81" s="137"/>
      <c r="D81" s="214"/>
      <c r="E81" s="214"/>
      <c r="F81" s="214"/>
    </row>
    <row r="82">
      <c r="A82" s="214"/>
      <c r="B82" s="12"/>
      <c r="C82" s="137"/>
      <c r="D82" s="214"/>
      <c r="E82" s="214"/>
      <c r="F82" s="214"/>
    </row>
    <row r="83">
      <c r="A83" s="214"/>
      <c r="B83" s="12"/>
      <c r="C83" s="137"/>
      <c r="D83" s="214"/>
      <c r="E83" s="214"/>
      <c r="F83" s="214"/>
    </row>
    <row r="84">
      <c r="B84" s="12"/>
      <c r="C84" s="137"/>
    </row>
    <row r="85">
      <c r="B85" s="12"/>
      <c r="C85" s="137"/>
    </row>
    <row r="86">
      <c r="B86" s="12"/>
      <c r="C86" s="137"/>
    </row>
    <row r="87">
      <c r="B87" s="12"/>
      <c r="C87" s="137"/>
    </row>
    <row r="88">
      <c r="B88" s="12"/>
      <c r="C88" s="137"/>
    </row>
    <row r="89">
      <c r="B89" s="12"/>
      <c r="C89" s="137"/>
    </row>
    <row r="90">
      <c r="B90" s="12"/>
      <c r="C90" s="137"/>
    </row>
    <row r="91">
      <c r="B91" s="12"/>
      <c r="C91" s="137"/>
    </row>
    <row r="92">
      <c r="B92" s="12"/>
      <c r="C92" s="137"/>
    </row>
    <row r="93">
      <c r="B93" s="12"/>
      <c r="C93" s="137"/>
    </row>
    <row r="94">
      <c r="B94" s="12"/>
      <c r="C94" s="137"/>
    </row>
    <row r="95">
      <c r="B95" s="12"/>
      <c r="C95" s="137"/>
    </row>
    <row r="96">
      <c r="B96" s="12"/>
      <c r="C96" s="137"/>
    </row>
    <row r="97">
      <c r="B97" s="12"/>
      <c r="C97" s="137"/>
    </row>
    <row r="98">
      <c r="B98" s="12"/>
      <c r="C98" s="137"/>
    </row>
    <row r="99">
      <c r="B99" s="12"/>
      <c r="C99" s="137"/>
    </row>
    <row r="100">
      <c r="B100" s="12"/>
      <c r="C100" s="137"/>
    </row>
    <row r="101">
      <c r="B101" s="12"/>
      <c r="C101" s="137"/>
    </row>
    <row r="102">
      <c r="B102" s="12"/>
      <c r="C102" s="137"/>
    </row>
    <row r="103">
      <c r="B103" s="12"/>
      <c r="C103" s="137"/>
    </row>
    <row r="104">
      <c r="B104" s="12"/>
      <c r="C104" s="137"/>
    </row>
    <row r="105">
      <c r="B105" s="12"/>
      <c r="C105" s="137"/>
    </row>
    <row r="106">
      <c r="B106" s="12"/>
      <c r="C106" s="137"/>
    </row>
    <row r="107">
      <c r="B107" s="12"/>
      <c r="C107" s="137"/>
    </row>
    <row r="108">
      <c r="B108" s="12"/>
      <c r="C108" s="137"/>
    </row>
    <row r="109">
      <c r="B109" s="12"/>
      <c r="C109" s="137"/>
    </row>
    <row r="110">
      <c r="B110" s="12"/>
      <c r="C110" s="137"/>
    </row>
    <row r="111">
      <c r="B111" s="12"/>
      <c r="C111" s="137"/>
    </row>
    <row r="112">
      <c r="B112" s="12"/>
      <c r="C112" s="137"/>
    </row>
    <row r="113">
      <c r="B113" s="12"/>
      <c r="C113" s="137"/>
    </row>
    <row r="114">
      <c r="B114" s="12"/>
      <c r="C114" s="137"/>
    </row>
    <row r="115">
      <c r="B115" s="12"/>
      <c r="C115" s="137"/>
    </row>
    <row r="116">
      <c r="B116" s="12"/>
      <c r="C116" s="137"/>
    </row>
    <row r="117">
      <c r="B117" s="12"/>
      <c r="C117" s="137"/>
    </row>
    <row r="118">
      <c r="B118" s="12"/>
      <c r="C118" s="137"/>
    </row>
    <row r="119">
      <c r="B119" s="12"/>
      <c r="C119" s="137"/>
    </row>
    <row r="120">
      <c r="B120" s="12"/>
      <c r="C120" s="137"/>
    </row>
    <row r="121">
      <c r="B121" s="12"/>
      <c r="C121" s="137"/>
    </row>
    <row r="122">
      <c r="B122" s="12"/>
      <c r="C122" s="137"/>
    </row>
    <row r="123">
      <c r="B123" s="12"/>
      <c r="C123" s="137"/>
    </row>
    <row r="124">
      <c r="B124" s="12"/>
      <c r="C124" s="137"/>
    </row>
    <row r="125">
      <c r="B125" s="12"/>
      <c r="C125" s="137"/>
    </row>
    <row r="126">
      <c r="B126" s="12"/>
      <c r="C126" s="137"/>
    </row>
    <row r="127">
      <c r="B127" s="12"/>
      <c r="C127" s="137"/>
    </row>
    <row r="128">
      <c r="B128" s="12"/>
      <c r="C128" s="137"/>
    </row>
    <row r="129">
      <c r="B129" s="12"/>
      <c r="C129" s="137"/>
    </row>
    <row r="130">
      <c r="B130" s="12"/>
      <c r="C130" s="137"/>
    </row>
    <row r="131">
      <c r="B131" s="12"/>
      <c r="C131" s="137"/>
    </row>
    <row r="132">
      <c r="B132" s="12"/>
      <c r="C132" s="137"/>
    </row>
    <row r="133">
      <c r="B133" s="12"/>
      <c r="C133" s="137"/>
    </row>
    <row r="134">
      <c r="B134" s="12"/>
      <c r="C134" s="137"/>
    </row>
    <row r="135">
      <c r="B135" s="12"/>
      <c r="C135" s="137"/>
    </row>
    <row r="136">
      <c r="B136" s="12"/>
      <c r="C136" s="137"/>
    </row>
    <row r="137">
      <c r="B137" s="12"/>
      <c r="C137" s="137"/>
    </row>
    <row r="138">
      <c r="B138" s="12"/>
      <c r="C138" s="137"/>
    </row>
    <row r="139">
      <c r="B139" s="12"/>
      <c r="C139" s="137"/>
    </row>
    <row r="140">
      <c r="B140" s="12"/>
      <c r="C140" s="137"/>
    </row>
    <row r="141">
      <c r="B141" s="12"/>
      <c r="C141" s="137"/>
    </row>
    <row r="142">
      <c r="B142" s="12"/>
      <c r="C142" s="137"/>
    </row>
    <row r="143">
      <c r="B143" s="12"/>
      <c r="C143" s="137"/>
    </row>
    <row r="144">
      <c r="B144" s="12"/>
      <c r="C144" s="137"/>
    </row>
    <row r="145">
      <c r="B145" s="12"/>
      <c r="C145" s="137"/>
    </row>
    <row r="146">
      <c r="B146" s="12"/>
      <c r="C146" s="137"/>
    </row>
    <row r="147">
      <c r="B147" s="12"/>
      <c r="C147" s="137"/>
    </row>
    <row r="148">
      <c r="B148" s="12"/>
      <c r="C148" s="137"/>
    </row>
    <row r="149">
      <c r="B149" s="12"/>
      <c r="C149" s="137"/>
    </row>
    <row r="150">
      <c r="B150" s="12"/>
      <c r="C150" s="137"/>
    </row>
    <row r="151">
      <c r="B151" s="12"/>
      <c r="C151" s="137"/>
    </row>
    <row r="152">
      <c r="B152" s="12"/>
      <c r="C152" s="137"/>
    </row>
    <row r="153">
      <c r="B153" s="12"/>
      <c r="C153" s="137"/>
    </row>
    <row r="154">
      <c r="B154" s="12"/>
      <c r="C154" s="137"/>
    </row>
    <row r="155">
      <c r="B155" s="12"/>
      <c r="C155" s="137"/>
    </row>
    <row r="156">
      <c r="B156" s="12"/>
      <c r="C156" s="137"/>
    </row>
    <row r="157">
      <c r="B157" s="12"/>
      <c r="C157" s="137"/>
    </row>
    <row r="158">
      <c r="B158" s="12"/>
      <c r="C158" s="137"/>
    </row>
    <row r="159">
      <c r="B159" s="12"/>
      <c r="C159" s="137"/>
    </row>
    <row r="160">
      <c r="B160" s="12"/>
      <c r="C160" s="137"/>
    </row>
    <row r="161">
      <c r="B161" s="12"/>
      <c r="C161" s="137"/>
    </row>
    <row r="162">
      <c r="B162" s="12"/>
      <c r="C162" s="137"/>
    </row>
    <row r="163">
      <c r="B163" s="12"/>
      <c r="C163" s="137"/>
    </row>
    <row r="164">
      <c r="B164" s="12"/>
      <c r="C164" s="137"/>
    </row>
    <row r="165">
      <c r="B165" s="12"/>
      <c r="C165" s="137"/>
    </row>
    <row r="166">
      <c r="B166" s="12"/>
      <c r="C166" s="137"/>
    </row>
    <row r="167">
      <c r="B167" s="12"/>
      <c r="C167" s="137"/>
    </row>
    <row r="168">
      <c r="B168" s="12"/>
      <c r="C168" s="137"/>
    </row>
    <row r="169">
      <c r="B169" s="12"/>
      <c r="C169" s="137"/>
    </row>
    <row r="170">
      <c r="B170" s="12"/>
      <c r="C170" s="137"/>
    </row>
    <row r="171">
      <c r="B171" s="12"/>
      <c r="C171" s="137"/>
    </row>
    <row r="172">
      <c r="B172" s="12"/>
      <c r="C172" s="137"/>
    </row>
    <row r="173">
      <c r="B173" s="12"/>
      <c r="C173" s="137"/>
    </row>
    <row r="174">
      <c r="B174" s="12"/>
      <c r="C174" s="137"/>
    </row>
    <row r="175">
      <c r="B175" s="12"/>
      <c r="C175" s="137"/>
    </row>
    <row r="176">
      <c r="B176" s="12"/>
      <c r="C176" s="137"/>
    </row>
    <row r="177">
      <c r="B177" s="12"/>
      <c r="C177" s="137"/>
    </row>
    <row r="178">
      <c r="B178" s="12"/>
      <c r="C178" s="137"/>
    </row>
    <row r="179">
      <c r="B179" s="12"/>
      <c r="C179" s="137"/>
    </row>
    <row r="180">
      <c r="B180" s="12"/>
      <c r="C180" s="137"/>
    </row>
    <row r="181">
      <c r="B181" s="12"/>
      <c r="C181" s="137"/>
    </row>
    <row r="182">
      <c r="B182" s="12"/>
      <c r="C182" s="137"/>
    </row>
    <row r="183">
      <c r="B183" s="12"/>
      <c r="C183" s="137"/>
    </row>
    <row r="184">
      <c r="B184" s="12"/>
      <c r="C184" s="137"/>
    </row>
    <row r="185">
      <c r="B185" s="12"/>
      <c r="C185" s="137"/>
    </row>
    <row r="186">
      <c r="B186" s="12"/>
      <c r="C186" s="137"/>
    </row>
    <row r="187">
      <c r="B187" s="12"/>
      <c r="C187" s="137"/>
    </row>
    <row r="188">
      <c r="B188" s="12"/>
      <c r="C188" s="137"/>
    </row>
    <row r="189">
      <c r="B189" s="12"/>
      <c r="C189" s="137"/>
    </row>
    <row r="190">
      <c r="B190" s="12"/>
      <c r="C190" s="137"/>
    </row>
    <row r="191">
      <c r="B191" s="12"/>
      <c r="C191" s="137"/>
    </row>
    <row r="192">
      <c r="B192" s="12"/>
      <c r="C192" s="137"/>
    </row>
    <row r="193">
      <c r="B193" s="12"/>
      <c r="C193" s="137"/>
    </row>
    <row r="194">
      <c r="B194" s="12"/>
      <c r="C194" s="137"/>
    </row>
    <row r="195">
      <c r="B195" s="12"/>
      <c r="C195" s="137"/>
    </row>
    <row r="196">
      <c r="B196" s="12"/>
      <c r="C196" s="137"/>
    </row>
    <row r="197">
      <c r="B197" s="12"/>
      <c r="C197" s="137"/>
    </row>
    <row r="198">
      <c r="B198" s="12"/>
      <c r="C198" s="137"/>
    </row>
    <row r="199">
      <c r="B199" s="12"/>
      <c r="C199" s="137"/>
    </row>
    <row r="200">
      <c r="B200" s="12"/>
      <c r="C200" s="137"/>
    </row>
    <row r="201">
      <c r="B201" s="12"/>
      <c r="C201" s="137"/>
    </row>
    <row r="202">
      <c r="B202" s="12"/>
      <c r="C202" s="137"/>
    </row>
    <row r="203">
      <c r="B203" s="12"/>
      <c r="C203" s="137"/>
    </row>
    <row r="204">
      <c r="B204" s="12"/>
      <c r="C204" s="137"/>
    </row>
    <row r="205">
      <c r="B205" s="12"/>
      <c r="C205" s="137"/>
    </row>
    <row r="206">
      <c r="B206" s="12"/>
      <c r="C206" s="137"/>
    </row>
    <row r="207">
      <c r="B207" s="12"/>
      <c r="C207" s="137"/>
    </row>
    <row r="208">
      <c r="B208" s="12"/>
      <c r="C208" s="137"/>
    </row>
    <row r="209">
      <c r="B209" s="12"/>
      <c r="C209" s="137"/>
    </row>
    <row r="210">
      <c r="B210" s="12"/>
      <c r="C210" s="137"/>
    </row>
    <row r="211">
      <c r="B211" s="12"/>
      <c r="C211" s="137"/>
    </row>
    <row r="212">
      <c r="B212" s="12"/>
      <c r="C212" s="137"/>
    </row>
    <row r="213">
      <c r="B213" s="12"/>
      <c r="C213" s="137"/>
    </row>
    <row r="214">
      <c r="B214" s="12"/>
      <c r="C214" s="137"/>
    </row>
    <row r="215">
      <c r="B215" s="12"/>
      <c r="C215" s="137"/>
    </row>
    <row r="216">
      <c r="B216" s="12"/>
      <c r="C216" s="137"/>
    </row>
    <row r="217">
      <c r="B217" s="12"/>
      <c r="C217" s="137"/>
    </row>
    <row r="218">
      <c r="B218" s="12"/>
      <c r="C218" s="137"/>
    </row>
    <row r="219">
      <c r="B219" s="12"/>
      <c r="C219" s="137"/>
    </row>
    <row r="220">
      <c r="B220" s="12"/>
      <c r="C220" s="137"/>
    </row>
    <row r="221">
      <c r="B221" s="12"/>
      <c r="C221" s="137"/>
    </row>
    <row r="222">
      <c r="B222" s="12"/>
      <c r="C222" s="137"/>
    </row>
    <row r="223">
      <c r="B223" s="12"/>
      <c r="C223" s="137"/>
    </row>
    <row r="224">
      <c r="B224" s="12"/>
      <c r="C224" s="137"/>
    </row>
    <row r="225">
      <c r="B225" s="12"/>
      <c r="C225" s="137"/>
    </row>
    <row r="226">
      <c r="B226" s="12"/>
      <c r="C226" s="137"/>
    </row>
    <row r="227">
      <c r="B227" s="12"/>
      <c r="C227" s="137"/>
    </row>
    <row r="228">
      <c r="B228" s="12"/>
      <c r="C228" s="137"/>
    </row>
    <row r="229">
      <c r="B229" s="12"/>
      <c r="C229" s="137"/>
    </row>
    <row r="230">
      <c r="B230" s="12"/>
      <c r="C230" s="137"/>
    </row>
    <row r="231">
      <c r="B231" s="12"/>
      <c r="C231" s="137"/>
    </row>
    <row r="232">
      <c r="B232" s="12"/>
      <c r="C232" s="137"/>
    </row>
    <row r="233">
      <c r="B233" s="12"/>
      <c r="C233" s="137"/>
    </row>
    <row r="234">
      <c r="B234" s="12"/>
      <c r="C234" s="137"/>
    </row>
    <row r="235">
      <c r="B235" s="12"/>
      <c r="C235" s="137"/>
    </row>
    <row r="236">
      <c r="B236" s="12"/>
      <c r="C236" s="137"/>
    </row>
    <row r="237">
      <c r="B237" s="12"/>
      <c r="C237" s="137"/>
    </row>
    <row r="238">
      <c r="B238" s="12"/>
      <c r="C238" s="137"/>
    </row>
    <row r="239">
      <c r="B239" s="12"/>
      <c r="C239" s="137"/>
    </row>
    <row r="240">
      <c r="B240" s="12"/>
      <c r="C240" s="137"/>
    </row>
    <row r="241">
      <c r="B241" s="12"/>
      <c r="C241" s="137"/>
    </row>
    <row r="242">
      <c r="B242" s="12"/>
      <c r="C242" s="137"/>
    </row>
    <row r="243">
      <c r="B243" s="12"/>
      <c r="C243" s="137"/>
    </row>
    <row r="244">
      <c r="B244" s="12"/>
      <c r="C244" s="137"/>
    </row>
    <row r="245">
      <c r="B245" s="12"/>
      <c r="C245" s="137"/>
    </row>
    <row r="246">
      <c r="B246" s="12"/>
      <c r="C246" s="137"/>
    </row>
    <row r="247">
      <c r="B247" s="12"/>
      <c r="C247" s="137"/>
    </row>
    <row r="248">
      <c r="B248" s="12"/>
      <c r="C248" s="137"/>
    </row>
    <row r="249">
      <c r="B249" s="12"/>
      <c r="C249" s="137"/>
    </row>
    <row r="250">
      <c r="B250" s="12"/>
      <c r="C250" s="137"/>
    </row>
    <row r="251">
      <c r="B251" s="12"/>
      <c r="C251" s="137"/>
    </row>
    <row r="252">
      <c r="B252" s="12"/>
      <c r="C252" s="137"/>
    </row>
    <row r="253">
      <c r="B253" s="12"/>
      <c r="C253" s="137"/>
    </row>
    <row r="254">
      <c r="B254" s="12"/>
      <c r="C254" s="137"/>
    </row>
    <row r="255">
      <c r="B255" s="12"/>
      <c r="C255" s="137"/>
    </row>
    <row r="256">
      <c r="B256" s="12"/>
      <c r="C256" s="137"/>
    </row>
    <row r="257">
      <c r="B257" s="12"/>
      <c r="C257" s="137"/>
    </row>
    <row r="258">
      <c r="B258" s="12"/>
      <c r="C258" s="137"/>
    </row>
    <row r="259">
      <c r="B259" s="12"/>
      <c r="C259" s="137"/>
    </row>
    <row r="260">
      <c r="B260" s="12"/>
      <c r="C260" s="137"/>
    </row>
    <row r="261">
      <c r="B261" s="12"/>
      <c r="C261" s="137"/>
    </row>
    <row r="262">
      <c r="B262" s="12"/>
      <c r="C262" s="137"/>
    </row>
    <row r="263">
      <c r="B263" s="12"/>
      <c r="C263" s="137"/>
    </row>
    <row r="264">
      <c r="B264" s="12"/>
      <c r="C264" s="137"/>
    </row>
    <row r="265">
      <c r="B265" s="12"/>
      <c r="C265" s="137"/>
    </row>
    <row r="266">
      <c r="B266" s="12"/>
      <c r="C266" s="137"/>
    </row>
    <row r="267">
      <c r="B267" s="12"/>
      <c r="C267" s="137"/>
    </row>
    <row r="268">
      <c r="B268" s="12"/>
      <c r="C268" s="137"/>
    </row>
    <row r="269">
      <c r="B269" s="12"/>
      <c r="C269" s="137"/>
    </row>
    <row r="270">
      <c r="B270" s="12"/>
      <c r="C270" s="137"/>
    </row>
    <row r="271">
      <c r="B271" s="12"/>
      <c r="C271" s="137"/>
    </row>
    <row r="272">
      <c r="B272" s="12"/>
      <c r="C272" s="137"/>
    </row>
    <row r="273">
      <c r="B273" s="12"/>
      <c r="C273" s="137"/>
    </row>
    <row r="274">
      <c r="B274" s="12"/>
      <c r="C274" s="137"/>
    </row>
    <row r="275">
      <c r="B275" s="12"/>
      <c r="C275" s="137"/>
    </row>
    <row r="276">
      <c r="B276" s="12"/>
      <c r="C276" s="137"/>
    </row>
    <row r="277">
      <c r="B277" s="12"/>
      <c r="C277" s="137"/>
    </row>
    <row r="278">
      <c r="B278" s="12"/>
      <c r="C278" s="137"/>
    </row>
    <row r="279">
      <c r="B279" s="12"/>
      <c r="C279" s="137"/>
    </row>
    <row r="280">
      <c r="B280" s="12"/>
      <c r="C280" s="137"/>
    </row>
    <row r="281">
      <c r="B281" s="12"/>
      <c r="C281" s="137"/>
    </row>
    <row r="282">
      <c r="B282" s="12"/>
      <c r="C282" s="137"/>
    </row>
    <row r="283">
      <c r="B283" s="12"/>
      <c r="C283" s="137"/>
    </row>
    <row r="284">
      <c r="B284" s="12"/>
      <c r="C284" s="137"/>
    </row>
    <row r="285">
      <c r="B285" s="12"/>
      <c r="C285" s="137"/>
    </row>
    <row r="286">
      <c r="B286" s="12"/>
      <c r="C286" s="137"/>
    </row>
    <row r="287">
      <c r="B287" s="12"/>
      <c r="C287" s="137"/>
    </row>
    <row r="288">
      <c r="B288" s="12"/>
      <c r="C288" s="137"/>
    </row>
    <row r="289">
      <c r="B289" s="12"/>
      <c r="C289" s="137"/>
    </row>
    <row r="290">
      <c r="B290" s="12"/>
      <c r="C290" s="137"/>
    </row>
    <row r="291">
      <c r="B291" s="12"/>
      <c r="C291" s="137"/>
    </row>
    <row r="292">
      <c r="B292" s="12"/>
      <c r="C292" s="137"/>
    </row>
    <row r="293">
      <c r="B293" s="12"/>
      <c r="C293" s="137"/>
    </row>
    <row r="294">
      <c r="B294" s="12"/>
      <c r="C294" s="137"/>
    </row>
    <row r="295">
      <c r="B295" s="12"/>
      <c r="C295" s="137"/>
    </row>
    <row r="296">
      <c r="B296" s="12"/>
      <c r="C296" s="137"/>
    </row>
    <row r="297">
      <c r="B297" s="12"/>
      <c r="C297" s="137"/>
    </row>
    <row r="298">
      <c r="B298" s="12"/>
      <c r="C298" s="137"/>
    </row>
    <row r="299">
      <c r="B299" s="12"/>
      <c r="C299" s="137"/>
    </row>
    <row r="300">
      <c r="B300" s="12"/>
      <c r="C300" s="137"/>
    </row>
    <row r="301">
      <c r="B301" s="12"/>
      <c r="C301" s="137"/>
    </row>
    <row r="302">
      <c r="B302" s="12"/>
      <c r="C302" s="137"/>
    </row>
    <row r="303">
      <c r="B303" s="12"/>
      <c r="C303" s="137"/>
    </row>
    <row r="304">
      <c r="B304" s="12"/>
      <c r="C304" s="137"/>
    </row>
    <row r="305">
      <c r="B305" s="12"/>
      <c r="C305" s="137"/>
    </row>
    <row r="306">
      <c r="B306" s="12"/>
      <c r="C306" s="137"/>
    </row>
    <row r="307">
      <c r="B307" s="12"/>
      <c r="C307" s="137"/>
    </row>
    <row r="308">
      <c r="B308" s="12"/>
      <c r="C308" s="137"/>
    </row>
    <row r="309">
      <c r="B309" s="12"/>
      <c r="C309" s="137"/>
    </row>
    <row r="310">
      <c r="B310" s="12"/>
      <c r="C310" s="137"/>
    </row>
    <row r="311">
      <c r="B311" s="12"/>
      <c r="C311" s="137"/>
    </row>
    <row r="312">
      <c r="B312" s="12"/>
      <c r="C312" s="137"/>
    </row>
    <row r="313">
      <c r="B313" s="12"/>
      <c r="C313" s="137"/>
    </row>
    <row r="314">
      <c r="B314" s="12"/>
      <c r="C314" s="137"/>
    </row>
    <row r="315">
      <c r="B315" s="12"/>
      <c r="C315" s="137"/>
    </row>
    <row r="316">
      <c r="B316" s="12"/>
      <c r="C316" s="137"/>
    </row>
    <row r="317">
      <c r="B317" s="12"/>
      <c r="C317" s="137"/>
    </row>
    <row r="318">
      <c r="B318" s="12"/>
      <c r="C318" s="137"/>
    </row>
    <row r="319">
      <c r="B319" s="12"/>
      <c r="C319" s="137"/>
    </row>
    <row r="320">
      <c r="B320" s="12"/>
      <c r="C320" s="137"/>
    </row>
    <row r="321">
      <c r="B321" s="12"/>
      <c r="C321" s="137"/>
    </row>
    <row r="322">
      <c r="B322" s="12"/>
      <c r="C322" s="137"/>
    </row>
    <row r="323">
      <c r="B323" s="12"/>
      <c r="C323" s="137"/>
    </row>
    <row r="324">
      <c r="B324" s="12"/>
      <c r="C324" s="137"/>
    </row>
    <row r="325">
      <c r="B325" s="12"/>
      <c r="C325" s="137"/>
    </row>
    <row r="326">
      <c r="B326" s="12"/>
      <c r="C326" s="137"/>
    </row>
    <row r="327">
      <c r="B327" s="12"/>
      <c r="C327" s="137"/>
    </row>
    <row r="328">
      <c r="B328" s="12"/>
      <c r="C328" s="137"/>
    </row>
    <row r="329">
      <c r="B329" s="12"/>
      <c r="C329" s="137"/>
    </row>
    <row r="330">
      <c r="B330" s="12"/>
      <c r="C330" s="137"/>
    </row>
    <row r="331">
      <c r="B331" s="12"/>
      <c r="C331" s="137"/>
    </row>
    <row r="332">
      <c r="B332" s="12"/>
      <c r="C332" s="137"/>
    </row>
    <row r="333">
      <c r="B333" s="12"/>
      <c r="C333" s="137"/>
    </row>
    <row r="334">
      <c r="B334" s="12"/>
      <c r="C334" s="137"/>
    </row>
    <row r="335">
      <c r="B335" s="12"/>
      <c r="C335" s="137"/>
    </row>
    <row r="336">
      <c r="B336" s="12"/>
      <c r="C336" s="137"/>
    </row>
    <row r="337">
      <c r="B337" s="12"/>
      <c r="C337" s="137"/>
    </row>
    <row r="338">
      <c r="B338" s="12"/>
      <c r="C338" s="137"/>
    </row>
    <row r="339">
      <c r="B339" s="12"/>
      <c r="C339" s="137"/>
    </row>
    <row r="340">
      <c r="B340" s="12"/>
      <c r="C340" s="137"/>
    </row>
    <row r="341">
      <c r="B341" s="12"/>
      <c r="C341" s="137"/>
    </row>
    <row r="342">
      <c r="B342" s="12"/>
      <c r="C342" s="137"/>
    </row>
    <row r="343">
      <c r="B343" s="12"/>
      <c r="C343" s="137"/>
    </row>
    <row r="344">
      <c r="B344" s="12"/>
      <c r="C344" s="137"/>
    </row>
    <row r="345">
      <c r="B345" s="12"/>
      <c r="C345" s="137"/>
    </row>
    <row r="346">
      <c r="B346" s="12"/>
      <c r="C346" s="137"/>
    </row>
    <row r="347">
      <c r="B347" s="12"/>
      <c r="C347" s="137"/>
    </row>
    <row r="348">
      <c r="B348" s="12"/>
      <c r="C348" s="137"/>
    </row>
    <row r="349">
      <c r="B349" s="12"/>
      <c r="C349" s="137"/>
    </row>
    <row r="350">
      <c r="B350" s="12"/>
      <c r="C350" s="137"/>
    </row>
    <row r="351">
      <c r="B351" s="12"/>
      <c r="C351" s="137"/>
    </row>
    <row r="352">
      <c r="B352" s="12"/>
      <c r="C352" s="137"/>
    </row>
    <row r="353">
      <c r="B353" s="12"/>
      <c r="C353" s="137"/>
    </row>
    <row r="354">
      <c r="B354" s="12"/>
      <c r="C354" s="137"/>
    </row>
    <row r="355">
      <c r="B355" s="12"/>
      <c r="C355" s="137"/>
    </row>
    <row r="356">
      <c r="B356" s="12"/>
      <c r="C356" s="137"/>
    </row>
    <row r="357">
      <c r="B357" s="12"/>
      <c r="C357" s="137"/>
    </row>
    <row r="358">
      <c r="B358" s="12"/>
      <c r="C358" s="137"/>
    </row>
    <row r="359">
      <c r="B359" s="12"/>
      <c r="C359" s="137"/>
    </row>
    <row r="360">
      <c r="B360" s="12"/>
      <c r="C360" s="137"/>
    </row>
    <row r="361">
      <c r="B361" s="12"/>
      <c r="C361" s="137"/>
    </row>
    <row r="362">
      <c r="B362" s="12"/>
      <c r="C362" s="137"/>
    </row>
    <row r="363">
      <c r="B363" s="12"/>
      <c r="C363" s="137"/>
    </row>
    <row r="364">
      <c r="B364" s="12"/>
      <c r="C364" s="137"/>
    </row>
    <row r="365">
      <c r="B365" s="12"/>
      <c r="C365" s="137"/>
    </row>
    <row r="366">
      <c r="B366" s="12"/>
      <c r="C366" s="137"/>
    </row>
    <row r="367">
      <c r="B367" s="12"/>
      <c r="C367" s="137"/>
    </row>
    <row r="368">
      <c r="B368" s="12"/>
      <c r="C368" s="137"/>
    </row>
    <row r="369">
      <c r="B369" s="12"/>
      <c r="C369" s="137"/>
    </row>
    <row r="370">
      <c r="B370" s="12"/>
      <c r="C370" s="137"/>
    </row>
    <row r="371">
      <c r="B371" s="12"/>
      <c r="C371" s="137"/>
    </row>
    <row r="372">
      <c r="B372" s="12"/>
      <c r="C372" s="137"/>
    </row>
    <row r="373">
      <c r="B373" s="12"/>
      <c r="C373" s="137"/>
    </row>
    <row r="374">
      <c r="B374" s="12"/>
      <c r="C374" s="137"/>
    </row>
    <row r="375">
      <c r="B375" s="12"/>
      <c r="C375" s="137"/>
    </row>
    <row r="376">
      <c r="B376" s="12"/>
      <c r="C376" s="137"/>
    </row>
    <row r="377">
      <c r="B377" s="12"/>
      <c r="C377" s="137"/>
    </row>
    <row r="378">
      <c r="B378" s="12"/>
      <c r="C378" s="137"/>
    </row>
    <row r="379">
      <c r="B379" s="12"/>
      <c r="C379" s="137"/>
    </row>
    <row r="380">
      <c r="B380" s="12"/>
      <c r="C380" s="137"/>
    </row>
    <row r="381">
      <c r="B381" s="12"/>
      <c r="C381" s="137"/>
    </row>
    <row r="382">
      <c r="B382" s="12"/>
      <c r="C382" s="137"/>
    </row>
    <row r="383">
      <c r="B383" s="12"/>
      <c r="C383" s="137"/>
    </row>
    <row r="384">
      <c r="B384" s="12"/>
      <c r="C384" s="137"/>
    </row>
    <row r="385">
      <c r="B385" s="12"/>
      <c r="C385" s="137"/>
    </row>
    <row r="386">
      <c r="B386" s="12"/>
      <c r="C386" s="137"/>
    </row>
    <row r="387">
      <c r="B387" s="12"/>
      <c r="C387" s="137"/>
    </row>
    <row r="388">
      <c r="B388" s="12"/>
      <c r="C388" s="137"/>
    </row>
    <row r="389">
      <c r="B389" s="12"/>
      <c r="C389" s="137"/>
    </row>
    <row r="390">
      <c r="B390" s="12"/>
      <c r="C390" s="137"/>
    </row>
    <row r="391">
      <c r="B391" s="12"/>
      <c r="C391" s="137"/>
    </row>
    <row r="392">
      <c r="B392" s="12"/>
      <c r="C392" s="137"/>
    </row>
    <row r="393">
      <c r="B393" s="12"/>
      <c r="C393" s="137"/>
    </row>
    <row r="394">
      <c r="B394" s="12"/>
      <c r="C394" s="137"/>
    </row>
    <row r="395">
      <c r="B395" s="12"/>
      <c r="C395" s="137"/>
    </row>
    <row r="396">
      <c r="B396" s="12"/>
      <c r="C396" s="137"/>
    </row>
    <row r="397">
      <c r="B397" s="12"/>
      <c r="C397" s="137"/>
    </row>
    <row r="398">
      <c r="B398" s="12"/>
      <c r="C398" s="137"/>
    </row>
    <row r="399">
      <c r="B399" s="12"/>
      <c r="C399" s="137"/>
    </row>
    <row r="400">
      <c r="B400" s="12"/>
      <c r="C400" s="137"/>
    </row>
    <row r="401">
      <c r="B401" s="12"/>
      <c r="C401" s="137"/>
    </row>
    <row r="402">
      <c r="B402" s="12"/>
      <c r="C402" s="137"/>
    </row>
    <row r="403">
      <c r="B403" s="12"/>
      <c r="C403" s="137"/>
    </row>
    <row r="404">
      <c r="B404" s="12"/>
      <c r="C404" s="137"/>
    </row>
    <row r="405">
      <c r="B405" s="12"/>
      <c r="C405" s="137"/>
    </row>
    <row r="406">
      <c r="B406" s="12"/>
      <c r="C406" s="137"/>
    </row>
    <row r="407">
      <c r="B407" s="12"/>
      <c r="C407" s="137"/>
    </row>
    <row r="408">
      <c r="B408" s="12"/>
      <c r="C408" s="137"/>
    </row>
    <row r="409">
      <c r="B409" s="12"/>
      <c r="C409" s="137"/>
    </row>
    <row r="410">
      <c r="B410" s="12"/>
      <c r="C410" s="137"/>
    </row>
    <row r="411">
      <c r="B411" s="12"/>
      <c r="C411" s="137"/>
    </row>
    <row r="412">
      <c r="B412" s="12"/>
      <c r="C412" s="137"/>
    </row>
    <row r="413">
      <c r="B413" s="12"/>
      <c r="C413" s="137"/>
    </row>
    <row r="414">
      <c r="B414" s="12"/>
      <c r="C414" s="137"/>
    </row>
    <row r="415">
      <c r="B415" s="12"/>
      <c r="C415" s="137"/>
    </row>
    <row r="416">
      <c r="B416" s="12"/>
      <c r="C416" s="137"/>
    </row>
    <row r="417">
      <c r="B417" s="12"/>
      <c r="C417" s="137"/>
    </row>
    <row r="418">
      <c r="B418" s="12"/>
      <c r="C418" s="137"/>
    </row>
    <row r="419">
      <c r="B419" s="12"/>
      <c r="C419" s="137"/>
    </row>
    <row r="420">
      <c r="B420" s="12"/>
      <c r="C420" s="137"/>
    </row>
    <row r="421">
      <c r="B421" s="12"/>
      <c r="C421" s="137"/>
    </row>
    <row r="422">
      <c r="B422" s="12"/>
      <c r="C422" s="137"/>
    </row>
    <row r="423">
      <c r="B423" s="12"/>
      <c r="C423" s="137"/>
    </row>
    <row r="424">
      <c r="B424" s="12"/>
      <c r="C424" s="137"/>
    </row>
    <row r="425">
      <c r="B425" s="12"/>
      <c r="C425" s="137"/>
    </row>
    <row r="426">
      <c r="B426" s="12"/>
      <c r="C426" s="137"/>
    </row>
    <row r="427">
      <c r="B427" s="12"/>
      <c r="C427" s="137"/>
    </row>
    <row r="428">
      <c r="B428" s="12"/>
      <c r="C428" s="137"/>
    </row>
    <row r="429">
      <c r="B429" s="12"/>
      <c r="C429" s="137"/>
    </row>
    <row r="430">
      <c r="B430" s="12"/>
      <c r="C430" s="137"/>
    </row>
    <row r="431">
      <c r="B431" s="12"/>
      <c r="C431" s="137"/>
    </row>
    <row r="432">
      <c r="B432" s="12"/>
      <c r="C432" s="137"/>
    </row>
    <row r="433">
      <c r="B433" s="12"/>
      <c r="C433" s="137"/>
    </row>
    <row r="434">
      <c r="B434" s="12"/>
      <c r="C434" s="137"/>
    </row>
    <row r="435">
      <c r="B435" s="12"/>
      <c r="C435" s="137"/>
    </row>
    <row r="436">
      <c r="B436" s="12"/>
      <c r="C436" s="137"/>
    </row>
    <row r="437">
      <c r="B437" s="12"/>
      <c r="C437" s="137"/>
    </row>
    <row r="438">
      <c r="B438" s="12"/>
      <c r="C438" s="137"/>
    </row>
    <row r="439">
      <c r="B439" s="12"/>
      <c r="C439" s="137"/>
    </row>
    <row r="440">
      <c r="B440" s="12"/>
      <c r="C440" s="137"/>
    </row>
    <row r="441">
      <c r="B441" s="12"/>
      <c r="C441" s="137"/>
    </row>
    <row r="442">
      <c r="B442" s="12"/>
      <c r="C442" s="137"/>
    </row>
    <row r="443">
      <c r="B443" s="12"/>
      <c r="C443" s="137"/>
    </row>
    <row r="444">
      <c r="B444" s="12"/>
      <c r="C444" s="137"/>
    </row>
    <row r="445">
      <c r="B445" s="12"/>
      <c r="C445" s="137"/>
    </row>
    <row r="446">
      <c r="B446" s="12"/>
      <c r="C446" s="137"/>
    </row>
    <row r="447">
      <c r="B447" s="12"/>
      <c r="C447" s="137"/>
    </row>
    <row r="448">
      <c r="B448" s="12"/>
      <c r="C448" s="137"/>
    </row>
    <row r="449">
      <c r="B449" s="12"/>
      <c r="C449" s="137"/>
    </row>
    <row r="450">
      <c r="B450" s="12"/>
      <c r="C450" s="137"/>
    </row>
    <row r="451">
      <c r="B451" s="12"/>
      <c r="C451" s="137"/>
    </row>
    <row r="452">
      <c r="B452" s="12"/>
      <c r="C452" s="137"/>
    </row>
    <row r="453">
      <c r="B453" s="12"/>
      <c r="C453" s="137"/>
    </row>
    <row r="454">
      <c r="B454" s="12"/>
      <c r="C454" s="137"/>
    </row>
    <row r="455">
      <c r="B455" s="12"/>
      <c r="C455" s="137"/>
    </row>
    <row r="456">
      <c r="B456" s="12"/>
      <c r="C456" s="137"/>
    </row>
    <row r="457">
      <c r="B457" s="12"/>
      <c r="C457" s="137"/>
    </row>
    <row r="458">
      <c r="B458" s="12"/>
      <c r="C458" s="137"/>
    </row>
    <row r="459">
      <c r="B459" s="12"/>
      <c r="C459" s="137"/>
    </row>
    <row r="460">
      <c r="B460" s="12"/>
      <c r="C460" s="137"/>
    </row>
    <row r="461">
      <c r="B461" s="12"/>
      <c r="C461" s="137"/>
    </row>
    <row r="462">
      <c r="B462" s="12"/>
      <c r="C462" s="137"/>
    </row>
    <row r="463">
      <c r="B463" s="12"/>
      <c r="C463" s="137"/>
    </row>
    <row r="464">
      <c r="B464" s="12"/>
      <c r="C464" s="137"/>
    </row>
    <row r="465">
      <c r="B465" s="12"/>
      <c r="C465" s="137"/>
    </row>
    <row r="466">
      <c r="B466" s="12"/>
      <c r="C466" s="137"/>
    </row>
    <row r="467">
      <c r="B467" s="12"/>
      <c r="C467" s="137"/>
    </row>
    <row r="468">
      <c r="B468" s="12"/>
      <c r="C468" s="137"/>
    </row>
    <row r="469">
      <c r="B469" s="12"/>
      <c r="C469" s="137"/>
    </row>
    <row r="470">
      <c r="B470" s="12"/>
      <c r="C470" s="137"/>
    </row>
    <row r="471">
      <c r="B471" s="12"/>
      <c r="C471" s="137"/>
    </row>
    <row r="472">
      <c r="B472" s="12"/>
      <c r="C472" s="137"/>
    </row>
    <row r="473">
      <c r="B473" s="12"/>
      <c r="C473" s="137"/>
    </row>
    <row r="474">
      <c r="B474" s="12"/>
      <c r="C474" s="137"/>
    </row>
    <row r="475">
      <c r="B475" s="12"/>
      <c r="C475" s="137"/>
    </row>
    <row r="476">
      <c r="B476" s="12"/>
      <c r="C476" s="137"/>
    </row>
    <row r="477">
      <c r="B477" s="12"/>
      <c r="C477" s="137"/>
    </row>
    <row r="478">
      <c r="B478" s="12"/>
      <c r="C478" s="137"/>
    </row>
    <row r="479">
      <c r="B479" s="12"/>
      <c r="C479" s="137"/>
    </row>
    <row r="480">
      <c r="B480" s="12"/>
      <c r="C480" s="137"/>
    </row>
    <row r="481">
      <c r="B481" s="12"/>
      <c r="C481" s="137"/>
    </row>
    <row r="482">
      <c r="B482" s="12"/>
      <c r="C482" s="137"/>
    </row>
    <row r="483">
      <c r="B483" s="12"/>
      <c r="C483" s="137"/>
    </row>
    <row r="484">
      <c r="B484" s="12"/>
      <c r="C484" s="137"/>
    </row>
    <row r="485">
      <c r="B485" s="12"/>
      <c r="C485" s="137"/>
    </row>
    <row r="486">
      <c r="B486" s="12"/>
      <c r="C486" s="137"/>
    </row>
    <row r="487">
      <c r="B487" s="12"/>
      <c r="C487" s="137"/>
    </row>
    <row r="488">
      <c r="B488" s="12"/>
      <c r="C488" s="137"/>
    </row>
    <row r="489">
      <c r="B489" s="12"/>
      <c r="C489" s="137"/>
    </row>
    <row r="490">
      <c r="B490" s="12"/>
      <c r="C490" s="137"/>
    </row>
    <row r="491">
      <c r="B491" s="12"/>
      <c r="C491" s="137"/>
    </row>
    <row r="492">
      <c r="B492" s="12"/>
      <c r="C492" s="137"/>
    </row>
    <row r="493">
      <c r="B493" s="12"/>
      <c r="C493" s="137"/>
    </row>
    <row r="494">
      <c r="B494" s="12"/>
      <c r="C494" s="137"/>
    </row>
    <row r="495">
      <c r="B495" s="12"/>
      <c r="C495" s="137"/>
    </row>
    <row r="496">
      <c r="B496" s="12"/>
      <c r="C496" s="137"/>
    </row>
    <row r="497">
      <c r="B497" s="12"/>
      <c r="C497" s="137"/>
    </row>
    <row r="498">
      <c r="B498" s="12"/>
      <c r="C498" s="137"/>
    </row>
    <row r="499">
      <c r="B499" s="12"/>
      <c r="C499" s="137"/>
    </row>
    <row r="500">
      <c r="B500" s="12"/>
      <c r="C500" s="137"/>
    </row>
    <row r="501">
      <c r="B501" s="12"/>
      <c r="C501" s="137"/>
    </row>
    <row r="502">
      <c r="B502" s="12"/>
      <c r="C502" s="137"/>
    </row>
    <row r="503">
      <c r="B503" s="12"/>
      <c r="C503" s="137"/>
    </row>
    <row r="504">
      <c r="B504" s="12"/>
      <c r="C504" s="137"/>
    </row>
    <row r="505">
      <c r="B505" s="12"/>
      <c r="C505" s="137"/>
    </row>
    <row r="506">
      <c r="B506" s="12"/>
      <c r="C506" s="137"/>
    </row>
    <row r="507">
      <c r="B507" s="12"/>
      <c r="C507" s="137"/>
    </row>
    <row r="508">
      <c r="B508" s="12"/>
      <c r="C508" s="137"/>
    </row>
    <row r="509">
      <c r="B509" s="12"/>
      <c r="C509" s="137"/>
    </row>
    <row r="510">
      <c r="B510" s="12"/>
      <c r="C510" s="137"/>
    </row>
    <row r="511">
      <c r="B511" s="12"/>
      <c r="C511" s="137"/>
    </row>
    <row r="512">
      <c r="B512" s="12"/>
      <c r="C512" s="137"/>
    </row>
    <row r="513">
      <c r="B513" s="12"/>
      <c r="C513" s="137"/>
    </row>
    <row r="514">
      <c r="B514" s="12"/>
      <c r="C514" s="137"/>
    </row>
    <row r="515">
      <c r="B515" s="12"/>
      <c r="C515" s="137"/>
    </row>
    <row r="516">
      <c r="B516" s="12"/>
      <c r="C516" s="137"/>
    </row>
    <row r="517">
      <c r="B517" s="12"/>
      <c r="C517" s="137"/>
    </row>
    <row r="518">
      <c r="B518" s="12"/>
      <c r="C518" s="137"/>
    </row>
    <row r="519">
      <c r="B519" s="12"/>
      <c r="C519" s="137"/>
    </row>
    <row r="520">
      <c r="B520" s="12"/>
      <c r="C520" s="137"/>
    </row>
    <row r="521">
      <c r="B521" s="12"/>
      <c r="C521" s="137"/>
    </row>
    <row r="522">
      <c r="B522" s="12"/>
      <c r="C522" s="137"/>
    </row>
    <row r="523">
      <c r="B523" s="12"/>
      <c r="C523" s="137"/>
    </row>
    <row r="524">
      <c r="B524" s="12"/>
      <c r="C524" s="137"/>
    </row>
    <row r="525">
      <c r="B525" s="12"/>
      <c r="C525" s="137"/>
    </row>
    <row r="526">
      <c r="B526" s="12"/>
      <c r="C526" s="137"/>
    </row>
    <row r="527">
      <c r="B527" s="12"/>
      <c r="C527" s="137"/>
    </row>
    <row r="528">
      <c r="B528" s="12"/>
      <c r="C528" s="137"/>
    </row>
    <row r="529">
      <c r="B529" s="12"/>
      <c r="C529" s="137"/>
    </row>
    <row r="530">
      <c r="B530" s="12"/>
      <c r="C530" s="137"/>
    </row>
    <row r="531">
      <c r="B531" s="12"/>
      <c r="C531" s="137"/>
    </row>
    <row r="532">
      <c r="B532" s="12"/>
      <c r="C532" s="137"/>
    </row>
    <row r="533">
      <c r="B533" s="12"/>
      <c r="C533" s="137"/>
    </row>
    <row r="534">
      <c r="B534" s="12"/>
      <c r="C534" s="137"/>
    </row>
    <row r="535">
      <c r="B535" s="12"/>
      <c r="C535" s="137"/>
    </row>
    <row r="536">
      <c r="B536" s="12"/>
      <c r="C536" s="137"/>
    </row>
    <row r="537">
      <c r="B537" s="12"/>
      <c r="C537" s="137"/>
    </row>
    <row r="538">
      <c r="B538" s="12"/>
      <c r="C538" s="137"/>
    </row>
    <row r="539">
      <c r="B539" s="12"/>
      <c r="C539" s="137"/>
    </row>
    <row r="540">
      <c r="B540" s="12"/>
      <c r="C540" s="137"/>
    </row>
    <row r="541">
      <c r="B541" s="12"/>
      <c r="C541" s="137"/>
    </row>
    <row r="542">
      <c r="B542" s="12"/>
      <c r="C542" s="137"/>
    </row>
    <row r="543">
      <c r="B543" s="12"/>
      <c r="C543" s="137"/>
    </row>
    <row r="544">
      <c r="B544" s="12"/>
      <c r="C544" s="137"/>
    </row>
    <row r="545">
      <c r="B545" s="12"/>
      <c r="C545" s="137"/>
    </row>
    <row r="546">
      <c r="B546" s="12"/>
      <c r="C546" s="137"/>
    </row>
    <row r="547">
      <c r="B547" s="12"/>
      <c r="C547" s="137"/>
    </row>
    <row r="548">
      <c r="B548" s="12"/>
      <c r="C548" s="137"/>
    </row>
    <row r="549">
      <c r="B549" s="12"/>
      <c r="C549" s="137"/>
    </row>
    <row r="550">
      <c r="B550" s="12"/>
      <c r="C550" s="137"/>
    </row>
    <row r="551">
      <c r="B551" s="12"/>
      <c r="C551" s="137"/>
    </row>
    <row r="552">
      <c r="B552" s="12"/>
      <c r="C552" s="137"/>
    </row>
    <row r="553">
      <c r="B553" s="12"/>
      <c r="C553" s="137"/>
    </row>
    <row r="554">
      <c r="B554" s="12"/>
      <c r="C554" s="137"/>
    </row>
    <row r="555">
      <c r="B555" s="12"/>
      <c r="C555" s="137"/>
    </row>
    <row r="556">
      <c r="B556" s="12"/>
      <c r="C556" s="137"/>
    </row>
    <row r="557">
      <c r="B557" s="12"/>
      <c r="C557" s="137"/>
    </row>
    <row r="558">
      <c r="B558" s="12"/>
      <c r="C558" s="137"/>
    </row>
    <row r="559">
      <c r="B559" s="12"/>
      <c r="C559" s="137"/>
    </row>
    <row r="560">
      <c r="B560" s="12"/>
      <c r="C560" s="137"/>
    </row>
    <row r="561">
      <c r="B561" s="12"/>
      <c r="C561" s="137"/>
    </row>
    <row r="562">
      <c r="B562" s="12"/>
      <c r="C562" s="137"/>
    </row>
    <row r="563">
      <c r="B563" s="12"/>
      <c r="C563" s="137"/>
    </row>
    <row r="564">
      <c r="B564" s="12"/>
      <c r="C564" s="137"/>
    </row>
    <row r="565">
      <c r="B565" s="12"/>
      <c r="C565" s="137"/>
    </row>
    <row r="566">
      <c r="B566" s="12"/>
      <c r="C566" s="137"/>
    </row>
    <row r="567">
      <c r="B567" s="12"/>
      <c r="C567" s="137"/>
    </row>
    <row r="568">
      <c r="B568" s="12"/>
      <c r="C568" s="137"/>
    </row>
    <row r="569">
      <c r="B569" s="12"/>
      <c r="C569" s="137"/>
    </row>
    <row r="570">
      <c r="B570" s="12"/>
      <c r="C570" s="137"/>
    </row>
    <row r="571">
      <c r="B571" s="12"/>
      <c r="C571" s="137"/>
    </row>
    <row r="572">
      <c r="B572" s="12"/>
      <c r="C572" s="137"/>
    </row>
    <row r="573">
      <c r="B573" s="12"/>
      <c r="C573" s="137"/>
    </row>
    <row r="574">
      <c r="B574" s="12"/>
      <c r="C574" s="137"/>
    </row>
    <row r="575">
      <c r="B575" s="12"/>
      <c r="C575" s="137"/>
    </row>
    <row r="576">
      <c r="B576" s="12"/>
      <c r="C576" s="137"/>
    </row>
    <row r="577">
      <c r="B577" s="12"/>
      <c r="C577" s="137"/>
    </row>
    <row r="578">
      <c r="B578" s="12"/>
      <c r="C578" s="137"/>
    </row>
    <row r="579">
      <c r="B579" s="12"/>
      <c r="C579" s="137"/>
    </row>
    <row r="580">
      <c r="B580" s="12"/>
      <c r="C580" s="137"/>
    </row>
    <row r="581">
      <c r="B581" s="12"/>
      <c r="C581" s="137"/>
    </row>
    <row r="582">
      <c r="B582" s="12"/>
      <c r="C582" s="137"/>
    </row>
    <row r="583">
      <c r="B583" s="12"/>
      <c r="C583" s="137"/>
    </row>
    <row r="584">
      <c r="B584" s="12"/>
      <c r="C584" s="137"/>
    </row>
    <row r="585">
      <c r="B585" s="12"/>
      <c r="C585" s="137"/>
    </row>
    <row r="586">
      <c r="B586" s="12"/>
      <c r="C586" s="137"/>
    </row>
    <row r="587">
      <c r="B587" s="12"/>
      <c r="C587" s="137"/>
    </row>
    <row r="588">
      <c r="B588" s="12"/>
      <c r="C588" s="137"/>
    </row>
    <row r="589">
      <c r="B589" s="12"/>
      <c r="C589" s="137"/>
    </row>
    <row r="590">
      <c r="B590" s="12"/>
      <c r="C590" s="137"/>
    </row>
    <row r="591">
      <c r="B591" s="12"/>
      <c r="C591" s="137"/>
    </row>
    <row r="592">
      <c r="B592" s="12"/>
      <c r="C592" s="137"/>
    </row>
    <row r="593">
      <c r="B593" s="12"/>
      <c r="C593" s="137"/>
    </row>
    <row r="594">
      <c r="B594" s="12"/>
      <c r="C594" s="137"/>
    </row>
    <row r="595">
      <c r="B595" s="12"/>
      <c r="C595" s="137"/>
    </row>
    <row r="596">
      <c r="B596" s="12"/>
      <c r="C596" s="137"/>
    </row>
    <row r="597">
      <c r="B597" s="12"/>
      <c r="C597" s="137"/>
    </row>
    <row r="598">
      <c r="B598" s="12"/>
      <c r="C598" s="137"/>
    </row>
    <row r="599">
      <c r="B599" s="12"/>
      <c r="C599" s="137"/>
    </row>
    <row r="600">
      <c r="B600" s="12"/>
      <c r="C600" s="137"/>
    </row>
    <row r="601">
      <c r="B601" s="12"/>
      <c r="C601" s="137"/>
    </row>
    <row r="602">
      <c r="B602" s="12"/>
      <c r="C602" s="137"/>
    </row>
    <row r="603">
      <c r="B603" s="12"/>
      <c r="C603" s="137"/>
    </row>
    <row r="604">
      <c r="B604" s="12"/>
      <c r="C604" s="137"/>
    </row>
    <row r="605">
      <c r="B605" s="12"/>
      <c r="C605" s="137"/>
    </row>
    <row r="606">
      <c r="B606" s="12"/>
      <c r="C606" s="137"/>
    </row>
    <row r="607">
      <c r="B607" s="12"/>
      <c r="C607" s="137"/>
    </row>
    <row r="608">
      <c r="B608" s="12"/>
      <c r="C608" s="137"/>
    </row>
    <row r="609">
      <c r="B609" s="12"/>
      <c r="C609" s="137"/>
    </row>
    <row r="610">
      <c r="B610" s="12"/>
      <c r="C610" s="137"/>
    </row>
    <row r="611">
      <c r="B611" s="12"/>
      <c r="C611" s="137"/>
    </row>
    <row r="612">
      <c r="B612" s="12"/>
      <c r="C612" s="137"/>
    </row>
    <row r="613">
      <c r="B613" s="12"/>
      <c r="C613" s="137"/>
    </row>
    <row r="614">
      <c r="B614" s="12"/>
      <c r="C614" s="137"/>
    </row>
    <row r="615">
      <c r="B615" s="12"/>
      <c r="C615" s="137"/>
    </row>
    <row r="616">
      <c r="B616" s="12"/>
      <c r="C616" s="137"/>
    </row>
    <row r="617">
      <c r="B617" s="12"/>
      <c r="C617" s="137"/>
    </row>
    <row r="618">
      <c r="B618" s="12"/>
      <c r="C618" s="137"/>
    </row>
    <row r="619">
      <c r="B619" s="12"/>
      <c r="C619" s="137"/>
    </row>
    <row r="620">
      <c r="B620" s="12"/>
      <c r="C620" s="137"/>
    </row>
    <row r="621">
      <c r="B621" s="12"/>
      <c r="C621" s="137"/>
    </row>
    <row r="622">
      <c r="B622" s="12"/>
      <c r="C622" s="137"/>
    </row>
    <row r="623">
      <c r="B623" s="12"/>
      <c r="C623" s="137"/>
    </row>
    <row r="624">
      <c r="B624" s="12"/>
      <c r="C624" s="137"/>
    </row>
    <row r="625">
      <c r="B625" s="12"/>
      <c r="C625" s="137"/>
    </row>
    <row r="626">
      <c r="B626" s="12"/>
      <c r="C626" s="137"/>
    </row>
    <row r="627">
      <c r="B627" s="12"/>
      <c r="C627" s="137"/>
    </row>
    <row r="628">
      <c r="B628" s="12"/>
      <c r="C628" s="137"/>
    </row>
    <row r="629">
      <c r="B629" s="12"/>
      <c r="C629" s="137"/>
    </row>
    <row r="630">
      <c r="B630" s="12"/>
      <c r="C630" s="137"/>
    </row>
    <row r="631">
      <c r="B631" s="12"/>
      <c r="C631" s="137"/>
    </row>
    <row r="632">
      <c r="B632" s="12"/>
      <c r="C632" s="137"/>
    </row>
    <row r="633">
      <c r="B633" s="12"/>
      <c r="C633" s="137"/>
    </row>
    <row r="634">
      <c r="B634" s="12"/>
      <c r="C634" s="137"/>
    </row>
    <row r="635">
      <c r="B635" s="12"/>
      <c r="C635" s="137"/>
    </row>
    <row r="636">
      <c r="B636" s="12"/>
      <c r="C636" s="137"/>
    </row>
    <row r="637">
      <c r="B637" s="12"/>
      <c r="C637" s="137"/>
    </row>
    <row r="638">
      <c r="B638" s="12"/>
      <c r="C638" s="137"/>
    </row>
    <row r="639">
      <c r="B639" s="12"/>
      <c r="C639" s="137"/>
    </row>
    <row r="640">
      <c r="B640" s="12"/>
      <c r="C640" s="137"/>
    </row>
    <row r="641">
      <c r="B641" s="12"/>
      <c r="C641" s="137"/>
    </row>
    <row r="642">
      <c r="B642" s="12"/>
      <c r="C642" s="137"/>
    </row>
    <row r="643">
      <c r="B643" s="12"/>
      <c r="C643" s="137"/>
    </row>
    <row r="644">
      <c r="B644" s="12"/>
      <c r="C644" s="137"/>
    </row>
    <row r="645">
      <c r="B645" s="12"/>
      <c r="C645" s="137"/>
    </row>
    <row r="646">
      <c r="B646" s="12"/>
      <c r="C646" s="137"/>
    </row>
    <row r="647">
      <c r="B647" s="12"/>
      <c r="C647" s="137"/>
    </row>
    <row r="648">
      <c r="B648" s="12"/>
      <c r="C648" s="137"/>
    </row>
    <row r="649">
      <c r="B649" s="12"/>
      <c r="C649" s="137"/>
    </row>
    <row r="650">
      <c r="B650" s="12"/>
      <c r="C650" s="137"/>
    </row>
    <row r="651">
      <c r="B651" s="12"/>
      <c r="C651" s="137"/>
    </row>
    <row r="652">
      <c r="B652" s="12"/>
      <c r="C652" s="137"/>
    </row>
    <row r="653">
      <c r="B653" s="12"/>
      <c r="C653" s="137"/>
    </row>
    <row r="654">
      <c r="B654" s="12"/>
      <c r="C654" s="137"/>
    </row>
    <row r="655">
      <c r="B655" s="12"/>
      <c r="C655" s="137"/>
    </row>
    <row r="656">
      <c r="B656" s="12"/>
      <c r="C656" s="137"/>
    </row>
    <row r="657">
      <c r="B657" s="12"/>
      <c r="C657" s="137"/>
    </row>
    <row r="658">
      <c r="B658" s="12"/>
      <c r="C658" s="137"/>
    </row>
    <row r="659">
      <c r="B659" s="12"/>
      <c r="C659" s="137"/>
    </row>
    <row r="660">
      <c r="B660" s="12"/>
      <c r="C660" s="137"/>
    </row>
    <row r="661">
      <c r="B661" s="12"/>
      <c r="C661" s="137"/>
    </row>
    <row r="662">
      <c r="B662" s="12"/>
      <c r="C662" s="137"/>
    </row>
    <row r="663">
      <c r="B663" s="12"/>
      <c r="C663" s="137"/>
    </row>
    <row r="664">
      <c r="B664" s="12"/>
      <c r="C664" s="137"/>
    </row>
    <row r="665">
      <c r="B665" s="12"/>
      <c r="C665" s="137"/>
    </row>
    <row r="666">
      <c r="B666" s="12"/>
      <c r="C666" s="137"/>
    </row>
    <row r="667">
      <c r="B667" s="12"/>
      <c r="C667" s="137"/>
    </row>
    <row r="668">
      <c r="B668" s="12"/>
      <c r="C668" s="137"/>
    </row>
    <row r="669">
      <c r="B669" s="12"/>
      <c r="C669" s="137"/>
    </row>
    <row r="670">
      <c r="B670" s="12"/>
      <c r="C670" s="137"/>
    </row>
    <row r="671">
      <c r="B671" s="12"/>
      <c r="C671" s="137"/>
    </row>
    <row r="672">
      <c r="B672" s="12"/>
      <c r="C672" s="137"/>
    </row>
    <row r="673">
      <c r="B673" s="12"/>
      <c r="C673" s="137"/>
    </row>
    <row r="674">
      <c r="B674" s="12"/>
      <c r="C674" s="137"/>
    </row>
    <row r="675">
      <c r="B675" s="12"/>
      <c r="C675" s="137"/>
    </row>
    <row r="676">
      <c r="B676" s="12"/>
      <c r="C676" s="137"/>
    </row>
    <row r="677">
      <c r="B677" s="12"/>
      <c r="C677" s="137"/>
    </row>
    <row r="678">
      <c r="B678" s="12"/>
      <c r="C678" s="137"/>
    </row>
    <row r="679">
      <c r="B679" s="12"/>
      <c r="C679" s="137"/>
    </row>
    <row r="680">
      <c r="B680" s="12"/>
      <c r="C680" s="137"/>
    </row>
    <row r="681">
      <c r="B681" s="12"/>
      <c r="C681" s="137"/>
    </row>
    <row r="682">
      <c r="B682" s="12"/>
      <c r="C682" s="137"/>
    </row>
    <row r="683">
      <c r="B683" s="12"/>
      <c r="C683" s="137"/>
    </row>
    <row r="684">
      <c r="B684" s="12"/>
      <c r="C684" s="137"/>
    </row>
    <row r="685">
      <c r="B685" s="12"/>
      <c r="C685" s="137"/>
    </row>
    <row r="686">
      <c r="B686" s="12"/>
      <c r="C686" s="137"/>
    </row>
    <row r="687">
      <c r="B687" s="12"/>
      <c r="C687" s="137"/>
    </row>
    <row r="688">
      <c r="B688" s="12"/>
      <c r="C688" s="137"/>
    </row>
    <row r="689">
      <c r="B689" s="12"/>
      <c r="C689" s="137"/>
    </row>
    <row r="690">
      <c r="B690" s="12"/>
      <c r="C690" s="137"/>
    </row>
    <row r="691">
      <c r="B691" s="12"/>
      <c r="C691" s="137"/>
    </row>
    <row r="692">
      <c r="B692" s="12"/>
      <c r="C692" s="137"/>
    </row>
    <row r="693">
      <c r="B693" s="12"/>
      <c r="C693" s="137"/>
    </row>
    <row r="694">
      <c r="B694" s="12"/>
      <c r="C694" s="137"/>
    </row>
    <row r="695">
      <c r="B695" s="12"/>
      <c r="C695" s="137"/>
    </row>
    <row r="696">
      <c r="B696" s="12"/>
      <c r="C696" s="137"/>
    </row>
    <row r="697">
      <c r="B697" s="12"/>
      <c r="C697" s="137"/>
    </row>
    <row r="698">
      <c r="B698" s="12"/>
      <c r="C698" s="137"/>
    </row>
    <row r="699">
      <c r="B699" s="12"/>
      <c r="C699" s="137"/>
    </row>
    <row r="700">
      <c r="B700" s="12"/>
      <c r="C700" s="137"/>
    </row>
    <row r="701">
      <c r="B701" s="12"/>
      <c r="C701" s="137"/>
    </row>
    <row r="702">
      <c r="B702" s="12"/>
      <c r="C702" s="137"/>
    </row>
    <row r="703">
      <c r="B703" s="12"/>
      <c r="C703" s="137"/>
    </row>
    <row r="704">
      <c r="B704" s="12"/>
      <c r="C704" s="137"/>
    </row>
    <row r="705">
      <c r="B705" s="12"/>
      <c r="C705" s="137"/>
    </row>
    <row r="706">
      <c r="B706" s="12"/>
      <c r="C706" s="137"/>
    </row>
    <row r="707">
      <c r="B707" s="12"/>
      <c r="C707" s="137"/>
    </row>
    <row r="708">
      <c r="B708" s="12"/>
      <c r="C708" s="137"/>
    </row>
    <row r="709">
      <c r="B709" s="12"/>
      <c r="C709" s="137"/>
    </row>
    <row r="710">
      <c r="B710" s="12"/>
      <c r="C710" s="137"/>
    </row>
    <row r="711">
      <c r="B711" s="12"/>
      <c r="C711" s="137"/>
    </row>
    <row r="712">
      <c r="B712" s="12"/>
      <c r="C712" s="137"/>
    </row>
    <row r="713">
      <c r="B713" s="12"/>
      <c r="C713" s="137"/>
    </row>
    <row r="714">
      <c r="B714" s="12"/>
      <c r="C714" s="137"/>
    </row>
    <row r="715">
      <c r="B715" s="12"/>
      <c r="C715" s="137"/>
    </row>
    <row r="716">
      <c r="B716" s="12"/>
      <c r="C716" s="137"/>
    </row>
    <row r="717">
      <c r="B717" s="12"/>
      <c r="C717" s="137"/>
    </row>
    <row r="718">
      <c r="B718" s="12"/>
      <c r="C718" s="137"/>
    </row>
    <row r="719">
      <c r="B719" s="12"/>
      <c r="C719" s="137"/>
    </row>
    <row r="720">
      <c r="B720" s="12"/>
      <c r="C720" s="137"/>
    </row>
    <row r="721">
      <c r="B721" s="12"/>
      <c r="C721" s="137"/>
    </row>
    <row r="722">
      <c r="B722" s="12"/>
      <c r="C722" s="137"/>
    </row>
    <row r="723">
      <c r="B723" s="12"/>
      <c r="C723" s="137"/>
    </row>
    <row r="724">
      <c r="B724" s="12"/>
      <c r="C724" s="137"/>
    </row>
    <row r="725">
      <c r="B725" s="12"/>
      <c r="C725" s="137"/>
    </row>
    <row r="726">
      <c r="B726" s="12"/>
      <c r="C726" s="137"/>
    </row>
    <row r="727">
      <c r="B727" s="12"/>
      <c r="C727" s="137"/>
    </row>
    <row r="728">
      <c r="B728" s="12"/>
      <c r="C728" s="137"/>
    </row>
    <row r="729">
      <c r="B729" s="12"/>
      <c r="C729" s="137"/>
    </row>
    <row r="730">
      <c r="B730" s="12"/>
      <c r="C730" s="137"/>
    </row>
    <row r="731">
      <c r="B731" s="12"/>
      <c r="C731" s="137"/>
    </row>
    <row r="732">
      <c r="B732" s="12"/>
      <c r="C732" s="137"/>
    </row>
    <row r="733">
      <c r="B733" s="12"/>
      <c r="C733" s="137"/>
    </row>
    <row r="734">
      <c r="B734" s="12"/>
      <c r="C734" s="137"/>
    </row>
    <row r="735">
      <c r="B735" s="12"/>
      <c r="C735" s="137"/>
    </row>
    <row r="736">
      <c r="B736" s="12"/>
      <c r="C736" s="137"/>
    </row>
    <row r="737">
      <c r="B737" s="12"/>
      <c r="C737" s="137"/>
    </row>
    <row r="738">
      <c r="B738" s="12"/>
      <c r="C738" s="137"/>
    </row>
    <row r="739">
      <c r="B739" s="12"/>
      <c r="C739" s="137"/>
    </row>
    <row r="740">
      <c r="B740" s="12"/>
      <c r="C740" s="137"/>
    </row>
    <row r="741">
      <c r="B741" s="12"/>
      <c r="C741" s="137"/>
    </row>
    <row r="742">
      <c r="B742" s="12"/>
      <c r="C742" s="137"/>
    </row>
    <row r="743">
      <c r="B743" s="12"/>
      <c r="C743" s="137"/>
    </row>
    <row r="744">
      <c r="B744" s="12"/>
      <c r="C744" s="137"/>
    </row>
    <row r="745">
      <c r="B745" s="12"/>
      <c r="C745" s="137"/>
    </row>
    <row r="746">
      <c r="B746" s="12"/>
      <c r="C746" s="137"/>
    </row>
    <row r="747">
      <c r="B747" s="12"/>
      <c r="C747" s="137"/>
    </row>
    <row r="748">
      <c r="B748" s="12"/>
      <c r="C748" s="137"/>
    </row>
    <row r="749">
      <c r="B749" s="12"/>
      <c r="C749" s="137"/>
    </row>
    <row r="750">
      <c r="B750" s="12"/>
      <c r="C750" s="137"/>
    </row>
    <row r="751">
      <c r="B751" s="12"/>
      <c r="C751" s="137"/>
    </row>
    <row r="752">
      <c r="B752" s="12"/>
      <c r="C752" s="137"/>
    </row>
    <row r="753">
      <c r="B753" s="12"/>
      <c r="C753" s="137"/>
    </row>
    <row r="754">
      <c r="B754" s="12"/>
      <c r="C754" s="137"/>
    </row>
    <row r="755">
      <c r="B755" s="12"/>
      <c r="C755" s="137"/>
    </row>
    <row r="756">
      <c r="B756" s="12"/>
      <c r="C756" s="137"/>
    </row>
    <row r="757">
      <c r="B757" s="12"/>
      <c r="C757" s="137"/>
    </row>
    <row r="758">
      <c r="B758" s="12"/>
      <c r="C758" s="137"/>
    </row>
    <row r="759">
      <c r="B759" s="12"/>
      <c r="C759" s="137"/>
    </row>
    <row r="760">
      <c r="B760" s="12"/>
      <c r="C760" s="137"/>
    </row>
    <row r="761">
      <c r="B761" s="12"/>
      <c r="C761" s="137"/>
    </row>
    <row r="762">
      <c r="B762" s="12"/>
      <c r="C762" s="137"/>
    </row>
    <row r="763">
      <c r="B763" s="12"/>
      <c r="C763" s="137"/>
    </row>
    <row r="764">
      <c r="B764" s="12"/>
      <c r="C764" s="137"/>
    </row>
    <row r="765">
      <c r="B765" s="12"/>
      <c r="C765" s="137"/>
    </row>
    <row r="766">
      <c r="B766" s="12"/>
      <c r="C766" s="137"/>
    </row>
    <row r="767">
      <c r="B767" s="12"/>
      <c r="C767" s="137"/>
    </row>
    <row r="768">
      <c r="B768" s="12"/>
      <c r="C768" s="137"/>
    </row>
    <row r="769">
      <c r="B769" s="12"/>
      <c r="C769" s="137"/>
    </row>
    <row r="770">
      <c r="B770" s="12"/>
      <c r="C770" s="137"/>
    </row>
    <row r="771">
      <c r="B771" s="12"/>
      <c r="C771" s="137"/>
    </row>
    <row r="772">
      <c r="B772" s="12"/>
      <c r="C772" s="137"/>
    </row>
    <row r="773">
      <c r="B773" s="12"/>
      <c r="C773" s="137"/>
    </row>
    <row r="774">
      <c r="B774" s="12"/>
      <c r="C774" s="137"/>
    </row>
    <row r="775">
      <c r="B775" s="12"/>
      <c r="C775" s="137"/>
    </row>
    <row r="776">
      <c r="B776" s="12"/>
      <c r="C776" s="137"/>
    </row>
    <row r="777">
      <c r="B777" s="12"/>
      <c r="C777" s="137"/>
    </row>
    <row r="778">
      <c r="B778" s="12"/>
      <c r="C778" s="137"/>
    </row>
    <row r="779">
      <c r="B779" s="12"/>
      <c r="C779" s="137"/>
    </row>
    <row r="780">
      <c r="B780" s="12"/>
      <c r="C780" s="137"/>
    </row>
    <row r="781">
      <c r="B781" s="12"/>
      <c r="C781" s="137"/>
    </row>
    <row r="782">
      <c r="B782" s="12"/>
      <c r="C782" s="137"/>
    </row>
    <row r="783">
      <c r="B783" s="12"/>
      <c r="C783" s="137"/>
    </row>
    <row r="784">
      <c r="B784" s="12"/>
      <c r="C784" s="137"/>
    </row>
    <row r="785">
      <c r="B785" s="12"/>
      <c r="C785" s="137"/>
    </row>
    <row r="786">
      <c r="B786" s="12"/>
      <c r="C786" s="137"/>
    </row>
    <row r="787">
      <c r="B787" s="12"/>
      <c r="C787" s="137"/>
    </row>
    <row r="788">
      <c r="B788" s="12"/>
      <c r="C788" s="137"/>
    </row>
    <row r="789">
      <c r="B789" s="12"/>
      <c r="C789" s="137"/>
    </row>
    <row r="790">
      <c r="B790" s="12"/>
      <c r="C790" s="137"/>
    </row>
    <row r="791">
      <c r="B791" s="12"/>
      <c r="C791" s="137"/>
    </row>
    <row r="792">
      <c r="B792" s="12"/>
      <c r="C792" s="137"/>
    </row>
    <row r="793">
      <c r="B793" s="12"/>
      <c r="C793" s="137"/>
    </row>
    <row r="794">
      <c r="B794" s="12"/>
      <c r="C794" s="137"/>
    </row>
    <row r="795">
      <c r="B795" s="12"/>
      <c r="C795" s="137"/>
    </row>
    <row r="796">
      <c r="B796" s="12"/>
      <c r="C796" s="137"/>
    </row>
    <row r="797">
      <c r="B797" s="12"/>
      <c r="C797" s="137"/>
    </row>
    <row r="798">
      <c r="B798" s="12"/>
      <c r="C798" s="137"/>
    </row>
    <row r="799">
      <c r="B799" s="12"/>
      <c r="C799" s="137"/>
    </row>
    <row r="800">
      <c r="B800" s="12"/>
      <c r="C800" s="137"/>
    </row>
    <row r="801">
      <c r="B801" s="12"/>
      <c r="C801" s="137"/>
    </row>
    <row r="802">
      <c r="B802" s="12"/>
      <c r="C802" s="137"/>
    </row>
    <row r="803">
      <c r="B803" s="12"/>
      <c r="C803" s="137"/>
    </row>
    <row r="804">
      <c r="B804" s="12"/>
      <c r="C804" s="137"/>
    </row>
    <row r="805">
      <c r="B805" s="12"/>
      <c r="C805" s="137"/>
    </row>
    <row r="806">
      <c r="B806" s="12"/>
      <c r="C806" s="137"/>
    </row>
    <row r="807">
      <c r="B807" s="12"/>
      <c r="C807" s="137"/>
    </row>
    <row r="808">
      <c r="B808" s="12"/>
      <c r="C808" s="137"/>
    </row>
    <row r="809">
      <c r="B809" s="12"/>
      <c r="C809" s="137"/>
    </row>
    <row r="810">
      <c r="B810" s="12"/>
      <c r="C810" s="137"/>
    </row>
    <row r="811">
      <c r="B811" s="12"/>
      <c r="C811" s="137"/>
    </row>
    <row r="812">
      <c r="B812" s="12"/>
      <c r="C812" s="137"/>
    </row>
    <row r="813">
      <c r="B813" s="12"/>
      <c r="C813" s="137"/>
    </row>
    <row r="814">
      <c r="B814" s="12"/>
      <c r="C814" s="137"/>
    </row>
    <row r="815">
      <c r="B815" s="12"/>
      <c r="C815" s="137"/>
    </row>
    <row r="816">
      <c r="B816" s="12"/>
      <c r="C816" s="137"/>
    </row>
    <row r="817">
      <c r="B817" s="12"/>
      <c r="C817" s="137"/>
    </row>
    <row r="818">
      <c r="B818" s="12"/>
      <c r="C818" s="137"/>
    </row>
    <row r="819">
      <c r="B819" s="12"/>
      <c r="C819" s="137"/>
    </row>
    <row r="820">
      <c r="B820" s="12"/>
      <c r="C820" s="137"/>
    </row>
    <row r="821">
      <c r="B821" s="12"/>
      <c r="C821" s="137"/>
    </row>
    <row r="822">
      <c r="B822" s="12"/>
      <c r="C822" s="137"/>
    </row>
    <row r="823">
      <c r="B823" s="12"/>
      <c r="C823" s="137"/>
    </row>
    <row r="824">
      <c r="B824" s="12"/>
      <c r="C824" s="137"/>
    </row>
    <row r="825">
      <c r="B825" s="12"/>
      <c r="C825" s="137"/>
    </row>
    <row r="826">
      <c r="B826" s="12"/>
      <c r="C826" s="137"/>
    </row>
    <row r="827">
      <c r="B827" s="12"/>
      <c r="C827" s="137"/>
    </row>
    <row r="828">
      <c r="B828" s="12"/>
      <c r="C828" s="137"/>
    </row>
    <row r="829">
      <c r="B829" s="12"/>
      <c r="C829" s="137"/>
    </row>
    <row r="830">
      <c r="B830" s="12"/>
      <c r="C830" s="137"/>
    </row>
    <row r="831">
      <c r="B831" s="12"/>
      <c r="C831" s="137"/>
    </row>
    <row r="832">
      <c r="B832" s="12"/>
      <c r="C832" s="137"/>
    </row>
    <row r="833">
      <c r="B833" s="12"/>
      <c r="C833" s="137"/>
    </row>
    <row r="834">
      <c r="B834" s="12"/>
      <c r="C834" s="137"/>
    </row>
    <row r="835">
      <c r="B835" s="12"/>
      <c r="C835" s="137"/>
    </row>
    <row r="836">
      <c r="B836" s="12"/>
      <c r="C836" s="137"/>
    </row>
    <row r="837">
      <c r="B837" s="12"/>
      <c r="C837" s="137"/>
    </row>
    <row r="838">
      <c r="B838" s="12"/>
      <c r="C838" s="137"/>
    </row>
    <row r="839">
      <c r="B839" s="12"/>
      <c r="C839" s="137"/>
    </row>
    <row r="840">
      <c r="B840" s="12"/>
      <c r="C840" s="137"/>
    </row>
    <row r="841">
      <c r="B841" s="12"/>
      <c r="C841" s="137"/>
    </row>
    <row r="842">
      <c r="B842" s="12"/>
      <c r="C842" s="137"/>
    </row>
    <row r="843">
      <c r="B843" s="12"/>
      <c r="C843" s="137"/>
    </row>
    <row r="844">
      <c r="B844" s="12"/>
      <c r="C844" s="137"/>
    </row>
    <row r="845">
      <c r="B845" s="12"/>
      <c r="C845" s="137"/>
    </row>
    <row r="846">
      <c r="B846" s="12"/>
      <c r="C846" s="137"/>
    </row>
    <row r="847">
      <c r="B847" s="12"/>
      <c r="C847" s="137"/>
    </row>
    <row r="848">
      <c r="B848" s="12"/>
      <c r="C848" s="137"/>
    </row>
    <row r="849">
      <c r="B849" s="12"/>
      <c r="C849" s="137"/>
    </row>
    <row r="850">
      <c r="B850" s="12"/>
      <c r="C850" s="137"/>
    </row>
    <row r="851">
      <c r="B851" s="12"/>
      <c r="C851" s="137"/>
    </row>
    <row r="852">
      <c r="B852" s="12"/>
      <c r="C852" s="137"/>
    </row>
    <row r="853">
      <c r="B853" s="12"/>
      <c r="C853" s="137"/>
    </row>
    <row r="854">
      <c r="B854" s="12"/>
      <c r="C854" s="137"/>
    </row>
    <row r="855">
      <c r="B855" s="12"/>
      <c r="C855" s="137"/>
    </row>
    <row r="856">
      <c r="B856" s="12"/>
      <c r="C856" s="137"/>
    </row>
    <row r="857">
      <c r="B857" s="12"/>
      <c r="C857" s="137"/>
    </row>
    <row r="858">
      <c r="B858" s="12"/>
      <c r="C858" s="137"/>
    </row>
    <row r="859">
      <c r="B859" s="12"/>
      <c r="C859" s="137"/>
    </row>
    <row r="860">
      <c r="B860" s="12"/>
      <c r="C860" s="137"/>
    </row>
    <row r="861">
      <c r="B861" s="12"/>
      <c r="C861" s="137"/>
    </row>
    <row r="862">
      <c r="B862" s="12"/>
      <c r="C862" s="137"/>
    </row>
    <row r="863">
      <c r="B863" s="12"/>
      <c r="C863" s="137"/>
    </row>
    <row r="864">
      <c r="B864" s="12"/>
      <c r="C864" s="137"/>
    </row>
    <row r="865">
      <c r="B865" s="12"/>
      <c r="C865" s="137"/>
    </row>
    <row r="866">
      <c r="B866" s="12"/>
      <c r="C866" s="137"/>
    </row>
    <row r="867">
      <c r="B867" s="12"/>
      <c r="C867" s="137"/>
    </row>
    <row r="868">
      <c r="B868" s="12"/>
      <c r="C868" s="137"/>
    </row>
    <row r="869">
      <c r="B869" s="12"/>
      <c r="C869" s="137"/>
    </row>
    <row r="870">
      <c r="B870" s="12"/>
      <c r="C870" s="137"/>
    </row>
    <row r="871">
      <c r="B871" s="12"/>
      <c r="C871" s="137"/>
    </row>
    <row r="872">
      <c r="B872" s="12"/>
      <c r="C872" s="137"/>
    </row>
    <row r="873">
      <c r="B873" s="12"/>
      <c r="C873" s="137"/>
    </row>
    <row r="874">
      <c r="B874" s="12"/>
      <c r="C874" s="137"/>
    </row>
    <row r="875">
      <c r="B875" s="12"/>
      <c r="C875" s="137"/>
    </row>
    <row r="876">
      <c r="B876" s="12"/>
      <c r="C876" s="137"/>
    </row>
    <row r="877">
      <c r="B877" s="12"/>
      <c r="C877" s="137"/>
    </row>
    <row r="878">
      <c r="B878" s="12"/>
      <c r="C878" s="137"/>
    </row>
    <row r="879">
      <c r="B879" s="12"/>
      <c r="C879" s="137"/>
    </row>
    <row r="880">
      <c r="B880" s="12"/>
      <c r="C880" s="137"/>
    </row>
    <row r="881">
      <c r="B881" s="12"/>
      <c r="C881" s="137"/>
    </row>
    <row r="882">
      <c r="B882" s="12"/>
      <c r="C882" s="137"/>
    </row>
    <row r="883">
      <c r="B883" s="12"/>
      <c r="C883" s="137"/>
    </row>
    <row r="884">
      <c r="B884" s="12"/>
      <c r="C884" s="137"/>
    </row>
    <row r="885">
      <c r="B885" s="12"/>
      <c r="C885" s="137"/>
    </row>
    <row r="886">
      <c r="B886" s="12"/>
      <c r="C886" s="137"/>
    </row>
    <row r="887">
      <c r="B887" s="12"/>
      <c r="C887" s="137"/>
    </row>
    <row r="888">
      <c r="B888" s="12"/>
      <c r="C888" s="137"/>
    </row>
    <row r="889">
      <c r="B889" s="12"/>
      <c r="C889" s="137"/>
    </row>
    <row r="890">
      <c r="B890" s="12"/>
      <c r="C890" s="137"/>
    </row>
    <row r="891">
      <c r="B891" s="12"/>
      <c r="C891" s="137"/>
    </row>
    <row r="892">
      <c r="B892" s="12"/>
      <c r="C892" s="137"/>
    </row>
    <row r="893">
      <c r="B893" s="12"/>
      <c r="C893" s="137"/>
    </row>
    <row r="894">
      <c r="B894" s="12"/>
      <c r="C894" s="137"/>
    </row>
    <row r="895">
      <c r="B895" s="12"/>
      <c r="C895" s="137"/>
    </row>
    <row r="896">
      <c r="B896" s="12"/>
      <c r="C896" s="137"/>
    </row>
    <row r="897">
      <c r="B897" s="12"/>
      <c r="C897" s="137"/>
    </row>
    <row r="898">
      <c r="B898" s="12"/>
      <c r="C898" s="137"/>
    </row>
    <row r="899">
      <c r="B899" s="12"/>
      <c r="C899" s="137"/>
    </row>
    <row r="900">
      <c r="B900" s="12"/>
      <c r="C900" s="137"/>
    </row>
    <row r="901">
      <c r="B901" s="12"/>
      <c r="C901" s="137"/>
    </row>
    <row r="902">
      <c r="B902" s="12"/>
      <c r="C902" s="137"/>
    </row>
    <row r="903">
      <c r="B903" s="12"/>
      <c r="C903" s="137"/>
    </row>
    <row r="904">
      <c r="B904" s="12"/>
      <c r="C904" s="137"/>
    </row>
    <row r="905">
      <c r="B905" s="12"/>
      <c r="C905" s="137"/>
    </row>
    <row r="906">
      <c r="B906" s="12"/>
      <c r="C906" s="137"/>
    </row>
    <row r="907">
      <c r="B907" s="12"/>
      <c r="C907" s="137"/>
    </row>
    <row r="908">
      <c r="B908" s="12"/>
      <c r="C908" s="137"/>
    </row>
    <row r="909">
      <c r="B909" s="12"/>
      <c r="C909" s="137"/>
    </row>
    <row r="910">
      <c r="B910" s="12"/>
      <c r="C910" s="137"/>
    </row>
    <row r="911">
      <c r="B911" s="12"/>
      <c r="C911" s="137"/>
    </row>
    <row r="912">
      <c r="B912" s="12"/>
      <c r="C912" s="137"/>
    </row>
    <row r="913">
      <c r="B913" s="12"/>
      <c r="C913" s="137"/>
    </row>
    <row r="914">
      <c r="B914" s="12"/>
      <c r="C914" s="137"/>
    </row>
    <row r="915">
      <c r="B915" s="12"/>
      <c r="C915" s="137"/>
    </row>
    <row r="916">
      <c r="B916" s="12"/>
      <c r="C916" s="137"/>
    </row>
    <row r="917">
      <c r="B917" s="12"/>
      <c r="C917" s="137"/>
    </row>
    <row r="918">
      <c r="B918" s="12"/>
      <c r="C918" s="137"/>
    </row>
    <row r="919">
      <c r="B919" s="12"/>
      <c r="C919" s="137"/>
    </row>
    <row r="920">
      <c r="B920" s="12"/>
      <c r="C920" s="137"/>
    </row>
    <row r="921">
      <c r="B921" s="12"/>
      <c r="C921" s="137"/>
    </row>
    <row r="922">
      <c r="B922" s="12"/>
      <c r="C922" s="137"/>
    </row>
    <row r="923">
      <c r="B923" s="12"/>
      <c r="C923" s="137"/>
    </row>
    <row r="924">
      <c r="B924" s="12"/>
      <c r="C924" s="137"/>
    </row>
    <row r="925">
      <c r="B925" s="12"/>
      <c r="C925" s="137"/>
    </row>
    <row r="926">
      <c r="B926" s="12"/>
      <c r="C926" s="137"/>
    </row>
    <row r="927">
      <c r="B927" s="12"/>
      <c r="C927" s="137"/>
    </row>
    <row r="928">
      <c r="B928" s="12"/>
      <c r="C928" s="137"/>
    </row>
    <row r="929">
      <c r="B929" s="12"/>
      <c r="C929" s="137"/>
    </row>
    <row r="930">
      <c r="B930" s="12"/>
      <c r="C930" s="137"/>
    </row>
    <row r="931">
      <c r="B931" s="12"/>
      <c r="C931" s="137"/>
    </row>
    <row r="932">
      <c r="B932" s="12"/>
      <c r="C932" s="137"/>
    </row>
    <row r="933">
      <c r="B933" s="12"/>
      <c r="C933" s="137"/>
    </row>
    <row r="934">
      <c r="B934" s="12"/>
      <c r="C934" s="137"/>
    </row>
    <row r="935">
      <c r="B935" s="12"/>
      <c r="C935" s="137"/>
    </row>
    <row r="936">
      <c r="B936" s="12"/>
      <c r="C936" s="137"/>
    </row>
    <row r="937">
      <c r="B937" s="12"/>
      <c r="C937" s="137"/>
    </row>
    <row r="938">
      <c r="B938" s="12"/>
      <c r="C938" s="137"/>
    </row>
    <row r="939">
      <c r="B939" s="12"/>
      <c r="C939" s="137"/>
    </row>
    <row r="940">
      <c r="B940" s="12"/>
      <c r="C940" s="137"/>
    </row>
    <row r="941">
      <c r="B941" s="12"/>
      <c r="C941" s="137"/>
    </row>
    <row r="942">
      <c r="B942" s="12"/>
      <c r="C942" s="137"/>
    </row>
    <row r="943">
      <c r="B943" s="12"/>
      <c r="C943" s="137"/>
    </row>
    <row r="944">
      <c r="B944" s="12"/>
      <c r="C944" s="137"/>
    </row>
    <row r="945">
      <c r="B945" s="12"/>
      <c r="C945" s="137"/>
    </row>
    <row r="946">
      <c r="B946" s="12"/>
      <c r="C946" s="137"/>
    </row>
    <row r="947">
      <c r="B947" s="12"/>
      <c r="C947" s="137"/>
    </row>
    <row r="948">
      <c r="B948" s="12"/>
      <c r="C948" s="137"/>
    </row>
    <row r="949">
      <c r="B949" s="12"/>
      <c r="C949" s="137"/>
    </row>
    <row r="950">
      <c r="B950" s="12"/>
      <c r="C950" s="137"/>
    </row>
    <row r="951">
      <c r="B951" s="12"/>
      <c r="C951" s="137"/>
    </row>
    <row r="952">
      <c r="B952" s="12"/>
      <c r="C952" s="137"/>
    </row>
    <row r="953">
      <c r="B953" s="12"/>
      <c r="C953" s="137"/>
    </row>
    <row r="954">
      <c r="B954" s="12"/>
      <c r="C954" s="137"/>
    </row>
    <row r="955">
      <c r="B955" s="12"/>
      <c r="C955" s="137"/>
    </row>
    <row r="956">
      <c r="B956" s="12"/>
      <c r="C956" s="137"/>
    </row>
    <row r="957">
      <c r="B957" s="12"/>
      <c r="C957" s="137"/>
    </row>
    <row r="958">
      <c r="B958" s="12"/>
      <c r="C958" s="137"/>
    </row>
    <row r="959">
      <c r="B959" s="12"/>
      <c r="C959" s="137"/>
    </row>
    <row r="960">
      <c r="B960" s="12"/>
      <c r="C960" s="137"/>
    </row>
    <row r="961">
      <c r="B961" s="12"/>
      <c r="C961" s="137"/>
    </row>
    <row r="962">
      <c r="B962" s="12"/>
      <c r="C962" s="137"/>
    </row>
    <row r="963">
      <c r="B963" s="12"/>
      <c r="C963" s="137"/>
    </row>
    <row r="964">
      <c r="B964" s="12"/>
      <c r="C964" s="137"/>
    </row>
    <row r="965">
      <c r="B965" s="12"/>
      <c r="C965" s="137"/>
    </row>
    <row r="966">
      <c r="B966" s="12"/>
      <c r="C966" s="137"/>
    </row>
    <row r="967">
      <c r="B967" s="12"/>
      <c r="C967" s="137"/>
    </row>
    <row r="968">
      <c r="B968" s="12"/>
      <c r="C968" s="137"/>
    </row>
    <row r="969">
      <c r="B969" s="12"/>
      <c r="C969" s="137"/>
    </row>
    <row r="970">
      <c r="B970" s="12"/>
      <c r="C970" s="137"/>
    </row>
    <row r="971">
      <c r="B971" s="12"/>
      <c r="C971" s="137"/>
    </row>
    <row r="972">
      <c r="B972" s="12"/>
      <c r="C972" s="137"/>
    </row>
    <row r="973">
      <c r="B973" s="12"/>
      <c r="C973" s="137"/>
    </row>
    <row r="974">
      <c r="B974" s="12"/>
      <c r="C974" s="137"/>
    </row>
    <row r="975">
      <c r="B975" s="12"/>
      <c r="C975" s="137"/>
    </row>
    <row r="976">
      <c r="B976" s="12"/>
      <c r="C976" s="137"/>
    </row>
    <row r="977">
      <c r="B977" s="12"/>
      <c r="C977" s="137"/>
    </row>
    <row r="978">
      <c r="B978" s="12"/>
      <c r="C978" s="137"/>
    </row>
    <row r="979">
      <c r="B979" s="12"/>
      <c r="C979" s="137"/>
    </row>
    <row r="980">
      <c r="B980" s="12"/>
      <c r="C980" s="137"/>
    </row>
    <row r="981">
      <c r="B981" s="12"/>
      <c r="C981" s="137"/>
    </row>
    <row r="982">
      <c r="B982" s="12"/>
      <c r="C982" s="137"/>
    </row>
    <row r="983">
      <c r="B983" s="12"/>
      <c r="C983" s="137"/>
    </row>
    <row r="984">
      <c r="B984" s="12"/>
      <c r="C984" s="137"/>
    </row>
    <row r="985">
      <c r="B985" s="12"/>
      <c r="C985" s="137"/>
    </row>
    <row r="986">
      <c r="B986" s="12"/>
      <c r="C986" s="137"/>
    </row>
    <row r="987">
      <c r="B987" s="12"/>
      <c r="C987" s="137"/>
    </row>
    <row r="988">
      <c r="B988" s="12"/>
      <c r="C988" s="137"/>
    </row>
    <row r="989">
      <c r="B989" s="12"/>
      <c r="C989" s="137"/>
    </row>
    <row r="990">
      <c r="B990" s="12"/>
      <c r="C990" s="137"/>
    </row>
    <row r="991">
      <c r="B991" s="12"/>
      <c r="C991" s="137"/>
    </row>
    <row r="992">
      <c r="B992" s="12"/>
      <c r="C992" s="137"/>
    </row>
    <row r="993">
      <c r="B993" s="12"/>
      <c r="C993" s="137"/>
    </row>
    <row r="994">
      <c r="B994" s="12"/>
      <c r="C994" s="137"/>
    </row>
    <row r="995">
      <c r="B995" s="12"/>
      <c r="C995" s="137"/>
    </row>
    <row r="996">
      <c r="B996" s="12"/>
      <c r="C996" s="137"/>
    </row>
    <row r="997">
      <c r="B997" s="12"/>
      <c r="C997" s="137"/>
    </row>
    <row r="998">
      <c r="B998" s="12"/>
      <c r="C998" s="137"/>
    </row>
    <row r="999">
      <c r="B999" s="12"/>
      <c r="C999" s="137"/>
    </row>
    <row r="1000">
      <c r="B1000" s="12"/>
      <c r="C1000" s="137"/>
    </row>
    <row r="1001">
      <c r="B1001" s="12"/>
      <c r="C1001" s="137"/>
    </row>
  </sheetData>
  <drawing r:id="rId1"/>
</worksheet>
</file>